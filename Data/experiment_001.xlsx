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6" activeTab="6" autoFilterDateGrouping="1"/>
  </bookViews>
  <sheets>
    <sheet name="Sample Setup" sheetId="1" state="visible" r:id="rId1"/>
    <sheet name="Results" sheetId="2" state="visible" r:id="rId2"/>
    <sheet name="Amplification Data" sheetId="3" state="visible" r:id="rId3"/>
    <sheet name="STD Curve" sheetId="4" state="visible" r:id="rId4"/>
    <sheet name="NC" sheetId="5" state="visible" r:id="rId5"/>
    <sheet name="PC" sheetId="6" state="visible" r:id="rId6"/>
    <sheet name="S1" sheetId="7" state="visible" r:id="rId7"/>
  </sheets>
  <definedNames>
    <definedName name="_xlnm._FilterDatabase" localSheetId="1" hidden="1">'Results'!$A$23:$AS$119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7">
    <font>
      <name val="Arial"/>
      <sz val="10"/>
    </font>
    <font>
      <name val="Arial"/>
      <b val="1"/>
      <color indexed="8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8">
    <fill>
      <patternFill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2" fillId="5" borderId="2" pivotButton="0" quotePrefix="0" xfId="0"/>
    <xf numFmtId="0" fontId="0" fillId="4" borderId="1" pivotButton="0" quotePrefix="0" xfId="0"/>
    <xf numFmtId="164" fontId="0" fillId="5" borderId="2" pivotButton="0" quotePrefix="0" xfId="0"/>
    <xf numFmtId="0" fontId="2" fillId="5" borderId="2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2" pivotButton="0" quotePrefix="0" xfId="0"/>
    <xf numFmtId="0" fontId="3" fillId="0" borderId="2" pivotButton="0" quotePrefix="0" xfId="0"/>
    <xf numFmtId="0" fontId="6" fillId="0" borderId="2" pivotButton="0" quotePrefix="0" xfId="0"/>
    <xf numFmtId="0" fontId="3" fillId="0" borderId="0" pivotButton="0" quotePrefix="0" xfId="0"/>
    <xf numFmtId="0" fontId="3" fillId="0" borderId="3" pivotButton="0" quotePrefix="0" xfId="0"/>
    <xf numFmtId="0" fontId="5" fillId="6" borderId="9" applyAlignment="1" pivotButton="0" quotePrefix="0" xfId="0">
      <alignment horizontal="center" vertical="center" wrapText="1"/>
    </xf>
    <xf numFmtId="0" fontId="2" fillId="6" borderId="9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0" fillId="0" borderId="6" pivotButton="0" quotePrefix="0" xfId="0"/>
    <xf numFmtId="0" fontId="4" fillId="7" borderId="7" applyAlignment="1" pivotButton="0" quotePrefix="0" xfId="0">
      <alignment horizontal="center" vertical="center" wrapText="1"/>
    </xf>
    <xf numFmtId="0" fontId="2" fillId="7" borderId="7" applyAlignment="1" pivotButton="0" quotePrefix="0" xfId="0">
      <alignment horizontal="center" vertical="center" wrapText="1"/>
    </xf>
    <xf numFmtId="165" fontId="0" fillId="0" borderId="6" pivotButton="0" quotePrefix="0" xfId="0"/>
    <xf numFmtId="0" fontId="4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164" fontId="0" fillId="0" borderId="2" pivotButton="0" quotePrefix="0" xfId="0"/>
    <xf numFmtId="0" fontId="0" fillId="0" borderId="0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 wrapText="1"/>
    </xf>
    <xf numFmtId="0" fontId="3" fillId="4" borderId="3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80BEFF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E4F8FF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Curve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'STD Curve'!$D$1</f>
              <strCache>
                <ptCount val="1"/>
                <pt idx="0">
                  <v>Ct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3267963692038495"/>
                  <y val="-0.1790230387868183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'STD Curve'!$C$2:$C$19</f>
              <numCache>
                <formatCode>General</formatCode>
                <ptCount val="18"/>
                <pt idx="0">
                  <v>2.477121254719663</v>
                </pt>
                <pt idx="1">
                  <v>2.477121254719663</v>
                </pt>
                <pt idx="2">
                  <v>2.477121254719663</v>
                </pt>
                <pt idx="3">
                  <v>1.477121254719662</v>
                </pt>
                <pt idx="4">
                  <v>1.477121254719662</v>
                </pt>
                <pt idx="5">
                  <v>1.477121254719662</v>
                </pt>
                <pt idx="6">
                  <v>0.4771212547196624</v>
                </pt>
                <pt idx="7">
                  <v>0.4771212547196624</v>
                </pt>
                <pt idx="8">
                  <v>0.4771212547196624</v>
                </pt>
                <pt idx="9">
                  <v>-0.5228787452803376</v>
                </pt>
                <pt idx="10">
                  <v>-0.5228787452803376</v>
                </pt>
                <pt idx="11">
                  <v>-0.5228787452803376</v>
                </pt>
                <pt idx="12">
                  <v>-1.522878745280338</v>
                </pt>
                <pt idx="13">
                  <v>-1.522878745280338</v>
                </pt>
                <pt idx="14">
                  <v>-1.522878745280338</v>
                </pt>
                <pt idx="15">
                  <v>-2.522878745280337</v>
                </pt>
                <pt idx="16">
                  <v>-2.522878745280337</v>
                </pt>
                <pt idx="17">
                  <v>-2.522878745280337</v>
                </pt>
              </numCache>
            </numRef>
          </xVal>
          <yVal>
            <numRef>
              <f>'STD Curve'!$D$2:$D$19</f>
              <numCache>
                <formatCode>General</formatCode>
                <ptCount val="18"/>
                <pt idx="0">
                  <v>13.2588</v>
                </pt>
                <pt idx="1">
                  <v>13.1947</v>
                </pt>
                <pt idx="2">
                  <v>13.138</v>
                </pt>
                <pt idx="3">
                  <v>16.3923</v>
                </pt>
                <pt idx="4">
                  <v>16.42</v>
                </pt>
                <pt idx="5">
                  <v>16.4538</v>
                </pt>
                <pt idx="6">
                  <v>19.6245</v>
                </pt>
                <pt idx="7">
                  <v>19.7364</v>
                </pt>
                <pt idx="8">
                  <v>19.7427</v>
                </pt>
                <pt idx="9">
                  <v>22.9505</v>
                </pt>
                <pt idx="10">
                  <v>23.0167</v>
                </pt>
                <pt idx="11">
                  <v>23.0848</v>
                </pt>
                <pt idx="12">
                  <v>26.2974</v>
                </pt>
                <pt idx="13">
                  <v>26.3061</v>
                </pt>
                <pt idx="14">
                  <v>26.2529</v>
                </pt>
                <pt idx="15">
                  <v>29.5618</v>
                </pt>
                <pt idx="16">
                  <v>29.8118</v>
                </pt>
                <pt idx="17">
                  <v>29.7917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86412704"/>
        <axId val="1"/>
      </scatterChart>
      <valAx>
        <axId val="186412704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Log(Conc)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0" vert="horz"/>
          <a:lstStyle/>
          <a:p>
            <a:pPr>
              <a:defRPr sz="900" b="0" i="0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r>
              <a:t/>
            </a:r>
            <a:endParaRPr lang="en-US"/>
          </a:p>
        </txPr>
        <crossAx val="1"/>
        <crosses val="autoZero"/>
        <crossBetween val="midCat"/>
      </valAx>
      <valAx>
        <axId val="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Ct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6412704"/>
        <crosses val="autoZero"/>
        <crossBetween val="midCat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323850</colOff>
      <row>1</row>
      <rowOff>47625</rowOff>
    </from>
    <to>
      <col>15</col>
      <colOff>247650</colOff>
      <row>18</row>
      <rowOff>9525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topLeftCell="A11" workbookViewId="0">
      <selection activeCell="A1" sqref="A1"/>
    </sheetView>
  </sheetViews>
  <sheetFormatPr baseColWidth="8" defaultRowHeight="12.75"/>
  <cols>
    <col width="21.28515625" customWidth="1" min="1" max="1"/>
    <col width="23.42578125" customWidth="1" min="2" max="2"/>
    <col width="11.7109375" customWidth="1" min="3" max="3"/>
    <col width="14.28515625" customWidth="1" min="4" max="4"/>
    <col width="15.42578125" customWidth="1" min="5" max="5"/>
    <col width="13.85546875" customWidth="1" min="6" max="6"/>
    <col width="13.28515625" customWidth="1" min="7" max="7"/>
    <col width="11.7109375" customWidth="1" min="8" max="14"/>
  </cols>
  <sheetData>
    <row r="1">
      <c r="A1" s="35" t="inlineStr">
        <is>
          <t>Experiment Details:</t>
        </is>
      </c>
    </row>
    <row r="2">
      <c r="A2" s="36" t="inlineStr">
        <is>
          <t>Block Type:</t>
        </is>
      </c>
      <c r="B2" s="3" t="inlineStr">
        <is>
          <t>0.1 mL</t>
        </is>
      </c>
    </row>
    <row r="3">
      <c r="A3" s="36" t="inlineStr">
        <is>
          <t>Chemistry:</t>
        </is>
      </c>
      <c r="B3" s="3" t="inlineStr">
        <is>
          <t>TAQMAN</t>
        </is>
      </c>
    </row>
    <row r="4">
      <c r="A4" s="36" t="inlineStr">
        <is>
          <t>Date Created:</t>
        </is>
      </c>
      <c r="B4" s="3" t="inlineStr">
        <is>
          <t>17 Jul 2026 11:00:56 GMT-0700</t>
        </is>
      </c>
    </row>
    <row r="5">
      <c r="A5" s="36" t="inlineStr">
        <is>
          <t>Barcode:</t>
        </is>
      </c>
      <c r="B5" s="3" t="inlineStr"/>
    </row>
    <row r="6">
      <c r="A6" s="36" t="inlineStr">
        <is>
          <t>Comments:</t>
        </is>
      </c>
      <c r="B6" s="3" t="inlineStr">
        <is>
          <t>Update protein concentration
Correct dilutions
Correct spike information
For HCCP and ProA</t>
        </is>
      </c>
    </row>
    <row r="7">
      <c r="A7" s="36" t="inlineStr">
        <is>
          <t>Experiment Name:</t>
        </is>
      </c>
      <c r="B7" s="3" t="inlineStr">
        <is>
          <t>2026-07-17_MD_R3_GR</t>
        </is>
      </c>
    </row>
    <row r="8" ht="25.5" customHeight="1">
      <c r="A8" s="36" t="inlineStr">
        <is>
          <t>Experiment Run End Time:</t>
        </is>
      </c>
      <c r="B8" s="3" t="inlineStr">
        <is>
          <t>17 Jul 2026 16:14:21 GMT-0700</t>
        </is>
      </c>
    </row>
    <row r="9">
      <c r="A9" s="36" t="inlineStr">
        <is>
          <t>Experiment Type:</t>
        </is>
      </c>
      <c r="B9" s="3" t="inlineStr">
        <is>
          <t>Standard Curve</t>
        </is>
      </c>
    </row>
    <row r="10">
      <c r="A10" s="36" t="inlineStr">
        <is>
          <t>Instrument Name:</t>
        </is>
      </c>
      <c r="B10" s="3" t="inlineStr">
        <is>
          <t>272513207</t>
        </is>
      </c>
    </row>
    <row r="11" ht="25.5" customHeight="1">
      <c r="A11" s="36" t="inlineStr">
        <is>
          <t>Instrument Serial Number:</t>
        </is>
      </c>
      <c r="B11" s="3" t="inlineStr">
        <is>
          <t>272513207</t>
        </is>
      </c>
    </row>
    <row r="12">
      <c r="A12" s="36" t="inlineStr">
        <is>
          <t>Instrument Type:</t>
        </is>
      </c>
      <c r="B12" s="3" t="inlineStr">
        <is>
          <t>QuantStudio™ 5</t>
        </is>
      </c>
    </row>
    <row r="13">
      <c r="A13" s="36" t="inlineStr">
        <is>
          <t>Passive Reference:</t>
        </is>
      </c>
      <c r="B13" s="3" t="inlineStr">
        <is>
          <t>ROX</t>
        </is>
      </c>
    </row>
    <row r="14">
      <c r="A14" s="36" t="inlineStr">
        <is>
          <t>E-Sig Status:</t>
        </is>
      </c>
      <c r="B14" s="3" t="inlineStr">
        <is>
          <t>Unsigned</t>
        </is>
      </c>
    </row>
    <row r="15">
      <c r="A15" s="36" t="inlineStr">
        <is>
          <t>E-Sig By:</t>
        </is>
      </c>
      <c r="B15" s="3" t="inlineStr">
        <is>
          <t>NA</t>
        </is>
      </c>
    </row>
    <row r="16">
      <c r="A16" s="36" t="inlineStr">
        <is>
          <t>Fit:</t>
        </is>
      </c>
      <c r="B16" s="3" t="inlineStr">
        <is>
          <t>Linear</t>
        </is>
      </c>
    </row>
    <row r="17">
      <c r="A17" s="36" t="inlineStr">
        <is>
          <t>Weighting:</t>
        </is>
      </c>
      <c r="B17" s="3" t="inlineStr">
        <is>
          <t>None</t>
        </is>
      </c>
    </row>
    <row r="18">
      <c r="A18" s="36" t="inlineStr">
        <is>
          <t>Formula:</t>
        </is>
      </c>
      <c r="B18" s="3" t="inlineStr">
        <is>
          <t>N/A</t>
        </is>
      </c>
    </row>
    <row r="19">
      <c r="A19" s="36" t="inlineStr">
        <is>
          <t>Target:</t>
        </is>
      </c>
      <c r="B19" s="3" t="inlineStr">
        <is>
          <t>CHO</t>
        </is>
      </c>
      <c r="C19" s="3" t="inlineStr">
        <is>
          <t>R2 : 0.9998</t>
        </is>
      </c>
      <c r="D19" s="3" t="inlineStr">
        <is>
          <t>Slope : -3.3008</t>
        </is>
      </c>
      <c r="E19" s="3" t="inlineStr">
        <is>
          <t>y-Intercept : 21.3153</t>
        </is>
      </c>
      <c r="F19" s="3" t="inlineStr">
        <is>
          <t>Efficiency : 100.89</t>
        </is>
      </c>
      <c r="G19" s="3" t="inlineStr">
        <is>
          <t>Std error : 0.0116</t>
        </is>
      </c>
    </row>
    <row r="23" ht="25.5" customHeight="1">
      <c r="A23" s="35" t="inlineStr">
        <is>
          <t>Well</t>
        </is>
      </c>
      <c r="B23" s="35" t="inlineStr">
        <is>
          <t>Well Position</t>
        </is>
      </c>
      <c r="C23" s="35" t="inlineStr">
        <is>
          <t>Sample Name</t>
        </is>
      </c>
      <c r="D23" s="35" t="inlineStr">
        <is>
          <t>Sample Color</t>
        </is>
      </c>
      <c r="E23" s="35" t="inlineStr">
        <is>
          <t>Target Name</t>
        </is>
      </c>
      <c r="F23" s="35" t="inlineStr">
        <is>
          <t>Target Color</t>
        </is>
      </c>
      <c r="G23" s="35" t="inlineStr">
        <is>
          <t>Task</t>
        </is>
      </c>
      <c r="H23" s="35" t="inlineStr">
        <is>
          <t>Reporter</t>
        </is>
      </c>
      <c r="I23" s="35" t="inlineStr">
        <is>
          <t>Quencher</t>
        </is>
      </c>
      <c r="J23" s="35" t="inlineStr">
        <is>
          <t>Quantity</t>
        </is>
      </c>
      <c r="K23" s="35" t="inlineStr">
        <is>
          <t>Comments</t>
        </is>
      </c>
    </row>
    <row r="24">
      <c r="A24" s="2" t="inlineStr">
        <is>
          <t>A1</t>
        </is>
      </c>
      <c r="B24" s="2" t="n">
        <v>1</v>
      </c>
      <c r="C24" s="2" t="inlineStr">
        <is>
          <t>NTC</t>
        </is>
      </c>
      <c r="D24" s="2" t="inlineStr">
        <is>
          <t>RGB(77,77,77)</t>
        </is>
      </c>
      <c r="E24" s="2" t="inlineStr">
        <is>
          <t>CHO</t>
        </is>
      </c>
      <c r="F24" s="2" t="inlineStr">
        <is>
          <t>RGB(255,0,0)</t>
        </is>
      </c>
      <c r="G24" s="2" t="inlineStr">
        <is>
          <t>NTC</t>
        </is>
      </c>
      <c r="H24" s="2" t="inlineStr">
        <is>
          <t>FAM</t>
        </is>
      </c>
      <c r="I24" s="2" t="inlineStr">
        <is>
          <t>NONE</t>
        </is>
      </c>
      <c r="J24" s="2" t="inlineStr"/>
      <c r="K24" s="2" t="inlineStr"/>
    </row>
    <row r="25">
      <c r="A25" s="1" t="inlineStr">
        <is>
          <t>A2</t>
        </is>
      </c>
      <c r="B25" s="1" t="n">
        <v>2</v>
      </c>
      <c r="C25" s="1" t="inlineStr">
        <is>
          <t>NTC</t>
        </is>
      </c>
      <c r="D25" s="1" t="inlineStr">
        <is>
          <t>RGB(77,77,77)</t>
        </is>
      </c>
      <c r="E25" s="1" t="inlineStr">
        <is>
          <t>CHO</t>
        </is>
      </c>
      <c r="F25" s="1" t="inlineStr">
        <is>
          <t>RGB(255,0,0)</t>
        </is>
      </c>
      <c r="G25" s="1" t="inlineStr">
        <is>
          <t>NTC</t>
        </is>
      </c>
      <c r="H25" s="1" t="inlineStr">
        <is>
          <t>FAM</t>
        </is>
      </c>
      <c r="I25" s="1" t="inlineStr">
        <is>
          <t>NONE</t>
        </is>
      </c>
      <c r="J25" s="1" t="inlineStr"/>
      <c r="K25" s="1" t="inlineStr"/>
    </row>
    <row r="26">
      <c r="A26" s="2" t="inlineStr">
        <is>
          <t>A3</t>
        </is>
      </c>
      <c r="B26" s="2" t="n">
        <v>3</v>
      </c>
      <c r="C26" s="2" t="inlineStr">
        <is>
          <t>NTC</t>
        </is>
      </c>
      <c r="D26" s="2" t="inlineStr">
        <is>
          <t>RGB(77,77,77)</t>
        </is>
      </c>
      <c r="E26" s="2" t="inlineStr">
        <is>
          <t>CHO</t>
        </is>
      </c>
      <c r="F26" s="2" t="inlineStr">
        <is>
          <t>RGB(255,0,0)</t>
        </is>
      </c>
      <c r="G26" s="2" t="inlineStr">
        <is>
          <t>NTC</t>
        </is>
      </c>
      <c r="H26" s="2" t="inlineStr">
        <is>
          <t>FAM</t>
        </is>
      </c>
      <c r="I26" s="2" t="inlineStr">
        <is>
          <t>NONE</t>
        </is>
      </c>
      <c r="J26" s="2" t="inlineStr"/>
      <c r="K26" s="2" t="inlineStr"/>
    </row>
    <row r="27">
      <c r="A27" s="1" t="inlineStr">
        <is>
          <t>A4</t>
        </is>
      </c>
      <c r="B27" s="1" t="n">
        <v>4</v>
      </c>
      <c r="C27" s="1" t="inlineStr">
        <is>
          <t>S1 D1</t>
        </is>
      </c>
      <c r="D27" s="1" t="inlineStr">
        <is>
          <t>RGB(23,190,207)</t>
        </is>
      </c>
      <c r="E27" s="1" t="inlineStr">
        <is>
          <t>CHO</t>
        </is>
      </c>
      <c r="F27" s="1" t="inlineStr">
        <is>
          <t>RGB(255,0,0)</t>
        </is>
      </c>
      <c r="G27" s="1" t="inlineStr">
        <is>
          <t>UNKNOWN</t>
        </is>
      </c>
      <c r="H27" s="1" t="inlineStr">
        <is>
          <t>FAM</t>
        </is>
      </c>
      <c r="I27" s="1" t="inlineStr">
        <is>
          <t>NONE</t>
        </is>
      </c>
      <c r="J27" s="1" t="inlineStr"/>
      <c r="K27" s="1" t="inlineStr"/>
    </row>
    <row r="28">
      <c r="A28" s="2" t="inlineStr">
        <is>
          <t>A5</t>
        </is>
      </c>
      <c r="B28" s="2" t="n">
        <v>5</v>
      </c>
      <c r="C28" s="2" t="inlineStr">
        <is>
          <t>S1 D1</t>
        </is>
      </c>
      <c r="D28" s="2" t="inlineStr">
        <is>
          <t>RGB(23,190,207)</t>
        </is>
      </c>
      <c r="E28" s="2" t="inlineStr">
        <is>
          <t>CHO</t>
        </is>
      </c>
      <c r="F28" s="2" t="inlineStr">
        <is>
          <t>RGB(255,0,0)</t>
        </is>
      </c>
      <c r="G28" s="2" t="inlineStr">
        <is>
          <t>UNKNOWN</t>
        </is>
      </c>
      <c r="H28" s="2" t="inlineStr">
        <is>
          <t>FAM</t>
        </is>
      </c>
      <c r="I28" s="2" t="inlineStr">
        <is>
          <t>NONE</t>
        </is>
      </c>
      <c r="J28" s="2" t="inlineStr"/>
      <c r="K28" s="2" t="inlineStr"/>
    </row>
    <row r="29">
      <c r="A29" s="1" t="inlineStr">
        <is>
          <t>A6</t>
        </is>
      </c>
      <c r="B29" s="1" t="n">
        <v>6</v>
      </c>
      <c r="C29" s="1" t="inlineStr">
        <is>
          <t>S1 D1</t>
        </is>
      </c>
      <c r="D29" s="1" t="inlineStr">
        <is>
          <t>RGB(23,190,207)</t>
        </is>
      </c>
      <c r="E29" s="1" t="inlineStr">
        <is>
          <t>CHO</t>
        </is>
      </c>
      <c r="F29" s="1" t="inlineStr">
        <is>
          <t>RGB(255,0,0)</t>
        </is>
      </c>
      <c r="G29" s="1" t="inlineStr">
        <is>
          <t>UNKNOWN</t>
        </is>
      </c>
      <c r="H29" s="1" t="inlineStr">
        <is>
          <t>FAM</t>
        </is>
      </c>
      <c r="I29" s="1" t="inlineStr">
        <is>
          <t>NONE</t>
        </is>
      </c>
      <c r="J29" s="1" t="inlineStr"/>
      <c r="K29" s="1" t="inlineStr"/>
    </row>
    <row r="30">
      <c r="A30" s="2" t="inlineStr">
        <is>
          <t>A7</t>
        </is>
      </c>
      <c r="B30" s="2" t="n">
        <v>7</v>
      </c>
      <c r="C30" s="2" t="inlineStr">
        <is>
          <t>ERC - 60</t>
        </is>
      </c>
      <c r="D30" s="2" t="inlineStr">
        <is>
          <t>RGB(140,86,75)</t>
        </is>
      </c>
      <c r="E30" s="2" t="inlineStr">
        <is>
          <t>CHO</t>
        </is>
      </c>
      <c r="F30" s="2" t="inlineStr">
        <is>
          <t>RGB(255,0,0)</t>
        </is>
      </c>
      <c r="G30" s="2" t="inlineStr">
        <is>
          <t>UNKNOWN</t>
        </is>
      </c>
      <c r="H30" s="2" t="inlineStr">
        <is>
          <t>FAM</t>
        </is>
      </c>
      <c r="I30" s="2" t="inlineStr">
        <is>
          <t>NONE</t>
        </is>
      </c>
      <c r="J30" s="2" t="inlineStr"/>
      <c r="K30" s="2" t="inlineStr"/>
    </row>
    <row r="31">
      <c r="A31" s="1" t="inlineStr">
        <is>
          <t>A8</t>
        </is>
      </c>
      <c r="B31" s="1" t="n">
        <v>8</v>
      </c>
      <c r="C31" s="1" t="inlineStr">
        <is>
          <t>ERC - 60</t>
        </is>
      </c>
      <c r="D31" s="1" t="inlineStr">
        <is>
          <t>RGB(140,86,75)</t>
        </is>
      </c>
      <c r="E31" s="1" t="inlineStr">
        <is>
          <t>CHO</t>
        </is>
      </c>
      <c r="F31" s="1" t="inlineStr">
        <is>
          <t>RGB(255,0,0)</t>
        </is>
      </c>
      <c r="G31" s="1" t="inlineStr">
        <is>
          <t>UNKNOWN</t>
        </is>
      </c>
      <c r="H31" s="1" t="inlineStr">
        <is>
          <t>FAM</t>
        </is>
      </c>
      <c r="I31" s="1" t="inlineStr">
        <is>
          <t>NONE</t>
        </is>
      </c>
      <c r="J31" s="1" t="inlineStr"/>
      <c r="K31" s="1" t="inlineStr"/>
    </row>
    <row r="32">
      <c r="A32" s="2" t="inlineStr">
        <is>
          <t>A9</t>
        </is>
      </c>
      <c r="B32" s="2" t="n">
        <v>9</v>
      </c>
      <c r="C32" s="2" t="inlineStr">
        <is>
          <t>ERC - 60</t>
        </is>
      </c>
      <c r="D32" s="2" t="inlineStr">
        <is>
          <t>RGB(140,86,75)</t>
        </is>
      </c>
      <c r="E32" s="2" t="inlineStr">
        <is>
          <t>CHO</t>
        </is>
      </c>
      <c r="F32" s="2" t="inlineStr">
        <is>
          <t>RGB(255,0,0)</t>
        </is>
      </c>
      <c r="G32" s="2" t="inlineStr">
        <is>
          <t>UNKNOWN</t>
        </is>
      </c>
      <c r="H32" s="2" t="inlineStr">
        <is>
          <t>FAM</t>
        </is>
      </c>
      <c r="I32" s="2" t="inlineStr">
        <is>
          <t>NONE</t>
        </is>
      </c>
      <c r="J32" s="2" t="inlineStr"/>
      <c r="K32" s="2" t="inlineStr"/>
    </row>
    <row r="33">
      <c r="A33" s="1" t="inlineStr">
        <is>
          <t>A10</t>
        </is>
      </c>
      <c r="B33" s="1" t="n">
        <v>10</v>
      </c>
      <c r="C33" s="1" t="inlineStr">
        <is>
          <t>STD 300</t>
        </is>
      </c>
      <c r="D33" s="1" t="inlineStr">
        <is>
          <t>RGB(227,119,194)</t>
        </is>
      </c>
      <c r="E33" s="1" t="inlineStr">
        <is>
          <t>CHO</t>
        </is>
      </c>
      <c r="F33" s="1" t="inlineStr">
        <is>
          <t>RGB(255,0,0)</t>
        </is>
      </c>
      <c r="G33" s="1" t="inlineStr">
        <is>
          <t>STANDARD</t>
        </is>
      </c>
      <c r="H33" s="1" t="inlineStr">
        <is>
          <t>FAM</t>
        </is>
      </c>
      <c r="I33" s="1" t="inlineStr">
        <is>
          <t>NONE</t>
        </is>
      </c>
      <c r="J33" s="1" t="n">
        <v>300</v>
      </c>
      <c r="K33" s="1" t="inlineStr"/>
    </row>
    <row r="34">
      <c r="A34" s="2" t="inlineStr">
        <is>
          <t>A11</t>
        </is>
      </c>
      <c r="B34" s="2" t="n">
        <v>11</v>
      </c>
      <c r="C34" s="2" t="inlineStr">
        <is>
          <t>STD 300</t>
        </is>
      </c>
      <c r="D34" s="2" t="inlineStr">
        <is>
          <t>RGB(227,119,194)</t>
        </is>
      </c>
      <c r="E34" s="2" t="inlineStr">
        <is>
          <t>CHO</t>
        </is>
      </c>
      <c r="F34" s="2" t="inlineStr">
        <is>
          <t>RGB(255,0,0)</t>
        </is>
      </c>
      <c r="G34" s="2" t="inlineStr">
        <is>
          <t>STANDARD</t>
        </is>
      </c>
      <c r="H34" s="2" t="inlineStr">
        <is>
          <t>FAM</t>
        </is>
      </c>
      <c r="I34" s="2" t="inlineStr">
        <is>
          <t>NONE</t>
        </is>
      </c>
      <c r="J34" s="2" t="n">
        <v>300</v>
      </c>
      <c r="K34" s="2" t="inlineStr"/>
    </row>
    <row r="35">
      <c r="A35" s="1" t="inlineStr">
        <is>
          <t>A12</t>
        </is>
      </c>
      <c r="B35" s="1" t="n">
        <v>12</v>
      </c>
      <c r="C35" s="1" t="inlineStr">
        <is>
          <t>STD 300</t>
        </is>
      </c>
      <c r="D35" s="1" t="inlineStr">
        <is>
          <t>RGB(227,119,194)</t>
        </is>
      </c>
      <c r="E35" s="1" t="inlineStr">
        <is>
          <t>CHO</t>
        </is>
      </c>
      <c r="F35" s="1" t="inlineStr">
        <is>
          <t>RGB(255,0,0)</t>
        </is>
      </c>
      <c r="G35" s="1" t="inlineStr">
        <is>
          <t>STANDARD</t>
        </is>
      </c>
      <c r="H35" s="1" t="inlineStr">
        <is>
          <t>FAM</t>
        </is>
      </c>
      <c r="I35" s="1" t="inlineStr">
        <is>
          <t>NONE</t>
        </is>
      </c>
      <c r="J35" s="1" t="n">
        <v>300</v>
      </c>
      <c r="K35" s="1" t="inlineStr"/>
    </row>
    <row r="36">
      <c r="A36" s="2" t="inlineStr">
        <is>
          <t>B1</t>
        </is>
      </c>
      <c r="B36" s="2" t="n">
        <v>13</v>
      </c>
      <c r="C36" s="2" t="inlineStr">
        <is>
          <t>NEC - FB</t>
        </is>
      </c>
      <c r="D36" s="2" t="inlineStr">
        <is>
          <t>RGB(77,77,77)</t>
        </is>
      </c>
      <c r="E36" s="2" t="inlineStr">
        <is>
          <t>CHO</t>
        </is>
      </c>
      <c r="F36" s="2" t="inlineStr">
        <is>
          <t>RGB(255,0,0)</t>
        </is>
      </c>
      <c r="G36" s="2" t="inlineStr">
        <is>
          <t>NTC</t>
        </is>
      </c>
      <c r="H36" s="2" t="inlineStr">
        <is>
          <t>FAM</t>
        </is>
      </c>
      <c r="I36" s="2" t="inlineStr">
        <is>
          <t>NONE</t>
        </is>
      </c>
      <c r="J36" s="2" t="inlineStr"/>
      <c r="K36" s="2" t="inlineStr"/>
    </row>
    <row r="37">
      <c r="A37" s="1" t="inlineStr">
        <is>
          <t>B2</t>
        </is>
      </c>
      <c r="B37" s="1" t="n">
        <v>14</v>
      </c>
      <c r="C37" s="1" t="inlineStr">
        <is>
          <t>NEC - FB</t>
        </is>
      </c>
      <c r="D37" s="1" t="inlineStr">
        <is>
          <t>RGB(77,77,77)</t>
        </is>
      </c>
      <c r="E37" s="1" t="inlineStr">
        <is>
          <t>CHO</t>
        </is>
      </c>
      <c r="F37" s="1" t="inlineStr">
        <is>
          <t>RGB(255,0,0)</t>
        </is>
      </c>
      <c r="G37" s="1" t="inlineStr">
        <is>
          <t>NTC</t>
        </is>
      </c>
      <c r="H37" s="1" t="inlineStr">
        <is>
          <t>FAM</t>
        </is>
      </c>
      <c r="I37" s="1" t="inlineStr">
        <is>
          <t>NONE</t>
        </is>
      </c>
      <c r="J37" s="1" t="inlineStr"/>
      <c r="K37" s="1" t="inlineStr"/>
    </row>
    <row r="38">
      <c r="A38" s="2" t="inlineStr">
        <is>
          <t>B3</t>
        </is>
      </c>
      <c r="B38" s="2" t="n">
        <v>15</v>
      </c>
      <c r="C38" s="2" t="inlineStr">
        <is>
          <t>NEC - FB</t>
        </is>
      </c>
      <c r="D38" s="2" t="inlineStr">
        <is>
          <t>RGB(77,77,77)</t>
        </is>
      </c>
      <c r="E38" s="2" t="inlineStr">
        <is>
          <t>CHO</t>
        </is>
      </c>
      <c r="F38" s="2" t="inlineStr">
        <is>
          <t>RGB(255,0,0)</t>
        </is>
      </c>
      <c r="G38" s="2" t="inlineStr">
        <is>
          <t>NTC</t>
        </is>
      </c>
      <c r="H38" s="2" t="inlineStr">
        <is>
          <t>FAM</t>
        </is>
      </c>
      <c r="I38" s="2" t="inlineStr">
        <is>
          <t>NONE</t>
        </is>
      </c>
      <c r="J38" s="2" t="inlineStr"/>
      <c r="K38" s="2" t="inlineStr"/>
    </row>
    <row r="39">
      <c r="A39" s="1" t="inlineStr">
        <is>
          <t>B4</t>
        </is>
      </c>
      <c r="B39" s="1" t="n">
        <v>16</v>
      </c>
      <c r="C39" s="1" t="inlineStr">
        <is>
          <t>S1 D2</t>
        </is>
      </c>
      <c r="D39" s="1" t="inlineStr">
        <is>
          <t>RGB(31,119,180)</t>
        </is>
      </c>
      <c r="E39" s="1" t="inlineStr">
        <is>
          <t>CHO</t>
        </is>
      </c>
      <c r="F39" s="1" t="inlineStr">
        <is>
          <t>RGB(255,0,0)</t>
        </is>
      </c>
      <c r="G39" s="1" t="inlineStr">
        <is>
          <t>UNKNOWN</t>
        </is>
      </c>
      <c r="H39" s="1" t="inlineStr">
        <is>
          <t>FAM</t>
        </is>
      </c>
      <c r="I39" s="1" t="inlineStr">
        <is>
          <t>NONE</t>
        </is>
      </c>
      <c r="J39" s="1" t="inlineStr"/>
      <c r="K39" s="1" t="inlineStr"/>
    </row>
    <row r="40">
      <c r="A40" s="2" t="inlineStr">
        <is>
          <t>B5</t>
        </is>
      </c>
      <c r="B40" s="2" t="n">
        <v>17</v>
      </c>
      <c r="C40" s="2" t="inlineStr">
        <is>
          <t>S1 D2</t>
        </is>
      </c>
      <c r="D40" s="2" t="inlineStr">
        <is>
          <t>RGB(31,119,180)</t>
        </is>
      </c>
      <c r="E40" s="2" t="inlineStr">
        <is>
          <t>CHO</t>
        </is>
      </c>
      <c r="F40" s="2" t="inlineStr">
        <is>
          <t>RGB(255,0,0)</t>
        </is>
      </c>
      <c r="G40" s="2" t="inlineStr">
        <is>
          <t>UNKNOWN</t>
        </is>
      </c>
      <c r="H40" s="2" t="inlineStr">
        <is>
          <t>FAM</t>
        </is>
      </c>
      <c r="I40" s="2" t="inlineStr">
        <is>
          <t>NONE</t>
        </is>
      </c>
      <c r="J40" s="2" t="inlineStr"/>
      <c r="K40" s="2" t="inlineStr"/>
    </row>
    <row r="41">
      <c r="A41" s="1" t="inlineStr">
        <is>
          <t>B6</t>
        </is>
      </c>
      <c r="B41" s="1" t="n">
        <v>18</v>
      </c>
      <c r="C41" s="1" t="inlineStr">
        <is>
          <t>S1 D2</t>
        </is>
      </c>
      <c r="D41" s="1" t="inlineStr">
        <is>
          <t>RGB(31,119,180)</t>
        </is>
      </c>
      <c r="E41" s="1" t="inlineStr">
        <is>
          <t>CHO</t>
        </is>
      </c>
      <c r="F41" s="1" t="inlineStr">
        <is>
          <t>RGB(255,0,0)</t>
        </is>
      </c>
      <c r="G41" s="1" t="inlineStr">
        <is>
          <t>UNKNOWN</t>
        </is>
      </c>
      <c r="H41" s="1" t="inlineStr">
        <is>
          <t>FAM</t>
        </is>
      </c>
      <c r="I41" s="1" t="inlineStr">
        <is>
          <t>NONE</t>
        </is>
      </c>
      <c r="J41" s="1" t="inlineStr"/>
      <c r="K41" s="1" t="inlineStr"/>
    </row>
    <row r="42">
      <c r="A42" s="2" t="inlineStr">
        <is>
          <t>B7</t>
        </is>
      </c>
      <c r="B42" s="2" t="n">
        <v>19</v>
      </c>
      <c r="C42" s="2" t="inlineStr">
        <is>
          <t>ERC - 30</t>
        </is>
      </c>
      <c r="D42" s="2" t="inlineStr">
        <is>
          <t>RGB(255,127,14)</t>
        </is>
      </c>
      <c r="E42" s="2" t="inlineStr">
        <is>
          <t>CHO</t>
        </is>
      </c>
      <c r="F42" s="2" t="inlineStr">
        <is>
          <t>RGB(255,0,0)</t>
        </is>
      </c>
      <c r="G42" s="2" t="inlineStr">
        <is>
          <t>UNKNOWN</t>
        </is>
      </c>
      <c r="H42" s="2" t="inlineStr">
        <is>
          <t>FAM</t>
        </is>
      </c>
      <c r="I42" s="2" t="inlineStr">
        <is>
          <t>NONE</t>
        </is>
      </c>
      <c r="J42" s="2" t="inlineStr"/>
      <c r="K42" s="2" t="inlineStr"/>
    </row>
    <row r="43">
      <c r="A43" s="1" t="inlineStr">
        <is>
          <t>B8</t>
        </is>
      </c>
      <c r="B43" s="1" t="n">
        <v>20</v>
      </c>
      <c r="C43" s="1" t="inlineStr">
        <is>
          <t>ERC - 30</t>
        </is>
      </c>
      <c r="D43" s="1" t="inlineStr">
        <is>
          <t>RGB(255,127,14)</t>
        </is>
      </c>
      <c r="E43" s="1" t="inlineStr">
        <is>
          <t>CHO</t>
        </is>
      </c>
      <c r="F43" s="1" t="inlineStr">
        <is>
          <t>RGB(255,0,0)</t>
        </is>
      </c>
      <c r="G43" s="1" t="inlineStr">
        <is>
          <t>UNKNOWN</t>
        </is>
      </c>
      <c r="H43" s="1" t="inlineStr">
        <is>
          <t>FAM</t>
        </is>
      </c>
      <c r="I43" s="1" t="inlineStr">
        <is>
          <t>NONE</t>
        </is>
      </c>
      <c r="J43" s="1" t="inlineStr"/>
      <c r="K43" s="1" t="inlineStr"/>
    </row>
    <row r="44">
      <c r="A44" s="2" t="inlineStr">
        <is>
          <t>B9</t>
        </is>
      </c>
      <c r="B44" s="2" t="n">
        <v>21</v>
      </c>
      <c r="C44" s="2" t="inlineStr">
        <is>
          <t>ERC - 30</t>
        </is>
      </c>
      <c r="D44" s="2" t="inlineStr">
        <is>
          <t>RGB(255,127,14)</t>
        </is>
      </c>
      <c r="E44" s="2" t="inlineStr">
        <is>
          <t>CHO</t>
        </is>
      </c>
      <c r="F44" s="2" t="inlineStr">
        <is>
          <t>RGB(255,0,0)</t>
        </is>
      </c>
      <c r="G44" s="2" t="inlineStr">
        <is>
          <t>UNKNOWN</t>
        </is>
      </c>
      <c r="H44" s="2" t="inlineStr">
        <is>
          <t>FAM</t>
        </is>
      </c>
      <c r="I44" s="2" t="inlineStr">
        <is>
          <t>NONE</t>
        </is>
      </c>
      <c r="J44" s="2" t="inlineStr"/>
      <c r="K44" s="2" t="inlineStr"/>
    </row>
    <row r="45">
      <c r="A45" s="1" t="inlineStr">
        <is>
          <t>B10</t>
        </is>
      </c>
      <c r="B45" s="1" t="n">
        <v>22</v>
      </c>
      <c r="C45" s="1" t="inlineStr">
        <is>
          <t>STD 30</t>
        </is>
      </c>
      <c r="D45" s="1" t="inlineStr">
        <is>
          <t>RGB(127,127,127)</t>
        </is>
      </c>
      <c r="E45" s="1" t="inlineStr">
        <is>
          <t>CHO</t>
        </is>
      </c>
      <c r="F45" s="1" t="inlineStr">
        <is>
          <t>RGB(255,0,0)</t>
        </is>
      </c>
      <c r="G45" s="1" t="inlineStr">
        <is>
          <t>STANDARD</t>
        </is>
      </c>
      <c r="H45" s="1" t="inlineStr">
        <is>
          <t>FAM</t>
        </is>
      </c>
      <c r="I45" s="1" t="inlineStr">
        <is>
          <t>NONE</t>
        </is>
      </c>
      <c r="J45" s="1" t="n">
        <v>30</v>
      </c>
      <c r="K45" s="1" t="inlineStr"/>
    </row>
    <row r="46">
      <c r="A46" s="2" t="inlineStr">
        <is>
          <t>B11</t>
        </is>
      </c>
      <c r="B46" s="2" t="n">
        <v>23</v>
      </c>
      <c r="C46" s="2" t="inlineStr">
        <is>
          <t>STD 30</t>
        </is>
      </c>
      <c r="D46" s="2" t="inlineStr">
        <is>
          <t>RGB(127,127,127)</t>
        </is>
      </c>
      <c r="E46" s="2" t="inlineStr">
        <is>
          <t>CHO</t>
        </is>
      </c>
      <c r="F46" s="2" t="inlineStr">
        <is>
          <t>RGB(255,0,0)</t>
        </is>
      </c>
      <c r="G46" s="2" t="inlineStr">
        <is>
          <t>STANDARD</t>
        </is>
      </c>
      <c r="H46" s="2" t="inlineStr">
        <is>
          <t>FAM</t>
        </is>
      </c>
      <c r="I46" s="2" t="inlineStr">
        <is>
          <t>NONE</t>
        </is>
      </c>
      <c r="J46" s="2" t="n">
        <v>30</v>
      </c>
      <c r="K46" s="2" t="inlineStr"/>
    </row>
    <row r="47">
      <c r="A47" s="1" t="inlineStr">
        <is>
          <t>B12</t>
        </is>
      </c>
      <c r="B47" s="1" t="n">
        <v>24</v>
      </c>
      <c r="C47" s="1" t="inlineStr">
        <is>
          <t>STD 30</t>
        </is>
      </c>
      <c r="D47" s="1" t="inlineStr">
        <is>
          <t>RGB(127,127,127)</t>
        </is>
      </c>
      <c r="E47" s="1" t="inlineStr">
        <is>
          <t>CHO</t>
        </is>
      </c>
      <c r="F47" s="1" t="inlineStr">
        <is>
          <t>RGB(255,0,0)</t>
        </is>
      </c>
      <c r="G47" s="1" t="inlineStr">
        <is>
          <t>STANDARD</t>
        </is>
      </c>
      <c r="H47" s="1" t="inlineStr">
        <is>
          <t>FAM</t>
        </is>
      </c>
      <c r="I47" s="1" t="inlineStr">
        <is>
          <t>NONE</t>
        </is>
      </c>
      <c r="J47" s="1" t="n">
        <v>30</v>
      </c>
      <c r="K47" s="1" t="inlineStr"/>
    </row>
    <row r="48">
      <c r="A48" s="2" t="inlineStr">
        <is>
          <t>C1</t>
        </is>
      </c>
      <c r="B48" s="2" t="n">
        <v>25</v>
      </c>
      <c r="C48" s="2" t="inlineStr">
        <is>
          <t>NEC - PBS</t>
        </is>
      </c>
      <c r="D48" s="2" t="inlineStr">
        <is>
          <t>RGB(77,77,77)</t>
        </is>
      </c>
      <c r="E48" s="2" t="inlineStr">
        <is>
          <t>CHO</t>
        </is>
      </c>
      <c r="F48" s="2" t="inlineStr">
        <is>
          <t>RGB(255,0,0)</t>
        </is>
      </c>
      <c r="G48" s="2" t="inlineStr">
        <is>
          <t>NTC</t>
        </is>
      </c>
      <c r="H48" s="2" t="inlineStr">
        <is>
          <t>FAM</t>
        </is>
      </c>
      <c r="I48" s="2" t="inlineStr">
        <is>
          <t>NONE</t>
        </is>
      </c>
      <c r="J48" s="2" t="inlineStr"/>
      <c r="K48" s="2" t="inlineStr"/>
    </row>
    <row r="49">
      <c r="A49" s="1" t="inlineStr">
        <is>
          <t>C2</t>
        </is>
      </c>
      <c r="B49" s="1" t="n">
        <v>26</v>
      </c>
      <c r="C49" s="1" t="inlineStr">
        <is>
          <t>NEC - PBS</t>
        </is>
      </c>
      <c r="D49" s="1" t="inlineStr">
        <is>
          <t>RGB(77,77,77)</t>
        </is>
      </c>
      <c r="E49" s="1" t="inlineStr">
        <is>
          <t>CHO</t>
        </is>
      </c>
      <c r="F49" s="1" t="inlineStr">
        <is>
          <t>RGB(255,0,0)</t>
        </is>
      </c>
      <c r="G49" s="1" t="inlineStr">
        <is>
          <t>NTC</t>
        </is>
      </c>
      <c r="H49" s="1" t="inlineStr">
        <is>
          <t>FAM</t>
        </is>
      </c>
      <c r="I49" s="1" t="inlineStr">
        <is>
          <t>NONE</t>
        </is>
      </c>
      <c r="J49" s="1" t="inlineStr"/>
      <c r="K49" s="1" t="inlineStr"/>
    </row>
    <row r="50">
      <c r="A50" s="2" t="inlineStr">
        <is>
          <t>C3</t>
        </is>
      </c>
      <c r="B50" s="2" t="n">
        <v>27</v>
      </c>
      <c r="C50" s="2" t="inlineStr">
        <is>
          <t>NEC - PBS</t>
        </is>
      </c>
      <c r="D50" s="2" t="inlineStr">
        <is>
          <t>RGB(77,77,77)</t>
        </is>
      </c>
      <c r="E50" s="2" t="inlineStr">
        <is>
          <t>CHO</t>
        </is>
      </c>
      <c r="F50" s="2" t="inlineStr">
        <is>
          <t>RGB(255,0,0)</t>
        </is>
      </c>
      <c r="G50" s="2" t="inlineStr">
        <is>
          <t>NTC</t>
        </is>
      </c>
      <c r="H50" s="2" t="inlineStr">
        <is>
          <t>FAM</t>
        </is>
      </c>
      <c r="I50" s="2" t="inlineStr">
        <is>
          <t>NONE</t>
        </is>
      </c>
      <c r="J50" s="2" t="inlineStr"/>
      <c r="K50" s="2" t="inlineStr"/>
    </row>
    <row r="51">
      <c r="A51" s="1" t="inlineStr">
        <is>
          <t>C4</t>
        </is>
      </c>
      <c r="B51" s="1" t="n">
        <v>28</v>
      </c>
      <c r="C51" s="1" t="inlineStr">
        <is>
          <t>S1 D3</t>
        </is>
      </c>
      <c r="D51" s="1" t="inlineStr">
        <is>
          <t>RGB(255,127,14)</t>
        </is>
      </c>
      <c r="E51" s="1" t="inlineStr">
        <is>
          <t>CHO</t>
        </is>
      </c>
      <c r="F51" s="1" t="inlineStr">
        <is>
          <t>RGB(255,0,0)</t>
        </is>
      </c>
      <c r="G51" s="1" t="inlineStr">
        <is>
          <t>UNKNOWN</t>
        </is>
      </c>
      <c r="H51" s="1" t="inlineStr">
        <is>
          <t>FAM</t>
        </is>
      </c>
      <c r="I51" s="1" t="inlineStr">
        <is>
          <t>NONE</t>
        </is>
      </c>
      <c r="J51" s="1" t="inlineStr"/>
      <c r="K51" s="1" t="inlineStr"/>
    </row>
    <row r="52">
      <c r="A52" s="2" t="inlineStr">
        <is>
          <t>C5</t>
        </is>
      </c>
      <c r="B52" s="2" t="n">
        <v>29</v>
      </c>
      <c r="C52" s="2" t="inlineStr">
        <is>
          <t>S1 D3</t>
        </is>
      </c>
      <c r="D52" s="2" t="inlineStr">
        <is>
          <t>RGB(255,127,14)</t>
        </is>
      </c>
      <c r="E52" s="2" t="inlineStr">
        <is>
          <t>CHO</t>
        </is>
      </c>
      <c r="F52" s="2" t="inlineStr">
        <is>
          <t>RGB(255,0,0)</t>
        </is>
      </c>
      <c r="G52" s="2" t="inlineStr">
        <is>
          <t>UNKNOWN</t>
        </is>
      </c>
      <c r="H52" s="2" t="inlineStr">
        <is>
          <t>FAM</t>
        </is>
      </c>
      <c r="I52" s="2" t="inlineStr">
        <is>
          <t>NONE</t>
        </is>
      </c>
      <c r="J52" s="2" t="inlineStr"/>
      <c r="K52" s="2" t="inlineStr"/>
    </row>
    <row r="53">
      <c r="A53" s="1" t="inlineStr">
        <is>
          <t>C6</t>
        </is>
      </c>
      <c r="B53" s="1" t="n">
        <v>30</v>
      </c>
      <c r="C53" s="1" t="inlineStr">
        <is>
          <t>S1 D3</t>
        </is>
      </c>
      <c r="D53" s="1" t="inlineStr">
        <is>
          <t>RGB(255,127,14)</t>
        </is>
      </c>
      <c r="E53" s="1" t="inlineStr">
        <is>
          <t>CHO</t>
        </is>
      </c>
      <c r="F53" s="1" t="inlineStr">
        <is>
          <t>RGB(255,0,0)</t>
        </is>
      </c>
      <c r="G53" s="1" t="inlineStr">
        <is>
          <t>UNKNOWN</t>
        </is>
      </c>
      <c r="H53" s="1" t="inlineStr">
        <is>
          <t>FAM</t>
        </is>
      </c>
      <c r="I53" s="1" t="inlineStr">
        <is>
          <t>NONE</t>
        </is>
      </c>
      <c r="J53" s="1" t="inlineStr"/>
      <c r="K53" s="1" t="inlineStr"/>
    </row>
    <row r="54">
      <c r="A54" s="2" t="inlineStr">
        <is>
          <t>C7</t>
        </is>
      </c>
      <c r="B54" s="2" t="n">
        <v>31</v>
      </c>
      <c r="C54" s="2" t="inlineStr">
        <is>
          <t>ERC - 10</t>
        </is>
      </c>
      <c r="D54" s="2" t="inlineStr">
        <is>
          <t>RGB(44,160,44)</t>
        </is>
      </c>
      <c r="E54" s="2" t="inlineStr">
        <is>
          <t>CHO</t>
        </is>
      </c>
      <c r="F54" s="2" t="inlineStr">
        <is>
          <t>RGB(255,0,0)</t>
        </is>
      </c>
      <c r="G54" s="2" t="inlineStr">
        <is>
          <t>UNKNOWN</t>
        </is>
      </c>
      <c r="H54" s="2" t="inlineStr">
        <is>
          <t>FAM</t>
        </is>
      </c>
      <c r="I54" s="2" t="inlineStr">
        <is>
          <t>NONE</t>
        </is>
      </c>
      <c r="J54" s="2" t="inlineStr"/>
      <c r="K54" s="2" t="inlineStr"/>
    </row>
    <row r="55">
      <c r="A55" s="1" t="inlineStr">
        <is>
          <t>C8</t>
        </is>
      </c>
      <c r="B55" s="1" t="n">
        <v>32</v>
      </c>
      <c r="C55" s="1" t="inlineStr">
        <is>
          <t>ERC - 10</t>
        </is>
      </c>
      <c r="D55" s="1" t="inlineStr">
        <is>
          <t>RGB(44,160,44)</t>
        </is>
      </c>
      <c r="E55" s="1" t="inlineStr">
        <is>
          <t>CHO</t>
        </is>
      </c>
      <c r="F55" s="1" t="inlineStr">
        <is>
          <t>RGB(255,0,0)</t>
        </is>
      </c>
      <c r="G55" s="1" t="inlineStr">
        <is>
          <t>UNKNOWN</t>
        </is>
      </c>
      <c r="H55" s="1" t="inlineStr">
        <is>
          <t>FAM</t>
        </is>
      </c>
      <c r="I55" s="1" t="inlineStr">
        <is>
          <t>NONE</t>
        </is>
      </c>
      <c r="J55" s="1" t="inlineStr"/>
      <c r="K55" s="1" t="inlineStr"/>
    </row>
    <row r="56">
      <c r="A56" s="2" t="inlineStr">
        <is>
          <t>C9</t>
        </is>
      </c>
      <c r="B56" s="2" t="n">
        <v>33</v>
      </c>
      <c r="C56" s="2" t="inlineStr">
        <is>
          <t>ERC - 10</t>
        </is>
      </c>
      <c r="D56" s="2" t="inlineStr">
        <is>
          <t>RGB(44,160,44)</t>
        </is>
      </c>
      <c r="E56" s="2" t="inlineStr">
        <is>
          <t>CHO</t>
        </is>
      </c>
      <c r="F56" s="2" t="inlineStr">
        <is>
          <t>RGB(255,0,0)</t>
        </is>
      </c>
      <c r="G56" s="2" t="inlineStr">
        <is>
          <t>UNKNOWN</t>
        </is>
      </c>
      <c r="H56" s="2" t="inlineStr">
        <is>
          <t>FAM</t>
        </is>
      </c>
      <c r="I56" s="2" t="inlineStr">
        <is>
          <t>NONE</t>
        </is>
      </c>
      <c r="J56" s="2" t="inlineStr"/>
      <c r="K56" s="2" t="inlineStr"/>
    </row>
    <row r="57">
      <c r="A57" s="1" t="inlineStr">
        <is>
          <t>C10</t>
        </is>
      </c>
      <c r="B57" s="1" t="n">
        <v>34</v>
      </c>
      <c r="C57" s="1" t="inlineStr">
        <is>
          <t>STD 3</t>
        </is>
      </c>
      <c r="D57" s="1" t="inlineStr">
        <is>
          <t>RGB(188,189,34)</t>
        </is>
      </c>
      <c r="E57" s="1" t="inlineStr">
        <is>
          <t>CHO</t>
        </is>
      </c>
      <c r="F57" s="1" t="inlineStr">
        <is>
          <t>RGB(255,0,0)</t>
        </is>
      </c>
      <c r="G57" s="1" t="inlineStr">
        <is>
          <t>STANDARD</t>
        </is>
      </c>
      <c r="H57" s="1" t="inlineStr">
        <is>
          <t>FAM</t>
        </is>
      </c>
      <c r="I57" s="1" t="inlineStr">
        <is>
          <t>NONE</t>
        </is>
      </c>
      <c r="J57" s="1" t="n">
        <v>3</v>
      </c>
      <c r="K57" s="1" t="inlineStr"/>
    </row>
    <row r="58">
      <c r="A58" s="2" t="inlineStr">
        <is>
          <t>C11</t>
        </is>
      </c>
      <c r="B58" s="2" t="n">
        <v>35</v>
      </c>
      <c r="C58" s="2" t="inlineStr">
        <is>
          <t>STD 3</t>
        </is>
      </c>
      <c r="D58" s="2" t="inlineStr">
        <is>
          <t>RGB(188,189,34)</t>
        </is>
      </c>
      <c r="E58" s="2" t="inlineStr">
        <is>
          <t>CHO</t>
        </is>
      </c>
      <c r="F58" s="2" t="inlineStr">
        <is>
          <t>RGB(255,0,0)</t>
        </is>
      </c>
      <c r="G58" s="2" t="inlineStr">
        <is>
          <t>STANDARD</t>
        </is>
      </c>
      <c r="H58" s="2" t="inlineStr">
        <is>
          <t>FAM</t>
        </is>
      </c>
      <c r="I58" s="2" t="inlineStr">
        <is>
          <t>NONE</t>
        </is>
      </c>
      <c r="J58" s="2" t="n">
        <v>3</v>
      </c>
      <c r="K58" s="2" t="inlineStr"/>
    </row>
    <row r="59">
      <c r="A59" s="1" t="inlineStr">
        <is>
          <t>C12</t>
        </is>
      </c>
      <c r="B59" s="1" t="n">
        <v>36</v>
      </c>
      <c r="C59" s="1" t="inlineStr">
        <is>
          <t>STD 3</t>
        </is>
      </c>
      <c r="D59" s="1" t="inlineStr">
        <is>
          <t>RGB(188,189,34)</t>
        </is>
      </c>
      <c r="E59" s="1" t="inlineStr">
        <is>
          <t>CHO</t>
        </is>
      </c>
      <c r="F59" s="1" t="inlineStr">
        <is>
          <t>RGB(255,0,0)</t>
        </is>
      </c>
      <c r="G59" s="1" t="inlineStr">
        <is>
          <t>STANDARD</t>
        </is>
      </c>
      <c r="H59" s="1" t="inlineStr">
        <is>
          <t>FAM</t>
        </is>
      </c>
      <c r="I59" s="1" t="inlineStr">
        <is>
          <t>NONE</t>
        </is>
      </c>
      <c r="J59" s="1" t="n">
        <v>3</v>
      </c>
      <c r="K59" s="1" t="inlineStr"/>
    </row>
    <row r="60">
      <c r="A60" s="2" t="inlineStr">
        <is>
          <t>D1</t>
        </is>
      </c>
      <c r="B60" s="2" t="n">
        <v>37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</row>
    <row r="61">
      <c r="A61" s="1" t="inlineStr">
        <is>
          <t>D2</t>
        </is>
      </c>
      <c r="B61" s="1" t="n">
        <v>38</v>
      </c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</row>
    <row r="62">
      <c r="A62" s="2" t="inlineStr">
        <is>
          <t>D3</t>
        </is>
      </c>
      <c r="B62" s="2" t="n">
        <v>39</v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</row>
    <row r="63">
      <c r="A63" s="1" t="inlineStr">
        <is>
          <t>D4</t>
        </is>
      </c>
      <c r="B63" s="1" t="n">
        <v>40</v>
      </c>
      <c r="C63" s="1" t="inlineStr">
        <is>
          <t>S1 D4</t>
        </is>
      </c>
      <c r="D63" s="1" t="inlineStr">
        <is>
          <t>RGB(44,160,44)</t>
        </is>
      </c>
      <c r="E63" s="1" t="inlineStr">
        <is>
          <t>CHO</t>
        </is>
      </c>
      <c r="F63" s="1" t="inlineStr">
        <is>
          <t>RGB(255,0,0)</t>
        </is>
      </c>
      <c r="G63" s="1" t="inlineStr">
        <is>
          <t>UNKNOWN</t>
        </is>
      </c>
      <c r="H63" s="1" t="inlineStr">
        <is>
          <t>FAM</t>
        </is>
      </c>
      <c r="I63" s="1" t="inlineStr">
        <is>
          <t>NONE</t>
        </is>
      </c>
      <c r="J63" s="1" t="inlineStr"/>
      <c r="K63" s="1" t="inlineStr"/>
    </row>
    <row r="64">
      <c r="A64" s="2" t="inlineStr">
        <is>
          <t>D5</t>
        </is>
      </c>
      <c r="B64" s="2" t="n">
        <v>41</v>
      </c>
      <c r="C64" s="2" t="inlineStr">
        <is>
          <t>S1 D4</t>
        </is>
      </c>
      <c r="D64" s="2" t="inlineStr">
        <is>
          <t>RGB(44,160,44)</t>
        </is>
      </c>
      <c r="E64" s="2" t="inlineStr">
        <is>
          <t>CHO</t>
        </is>
      </c>
      <c r="F64" s="2" t="inlineStr">
        <is>
          <t>RGB(255,0,0)</t>
        </is>
      </c>
      <c r="G64" s="2" t="inlineStr">
        <is>
          <t>UNKNOWN</t>
        </is>
      </c>
      <c r="H64" s="2" t="inlineStr">
        <is>
          <t>FAM</t>
        </is>
      </c>
      <c r="I64" s="2" t="inlineStr">
        <is>
          <t>NONE</t>
        </is>
      </c>
      <c r="J64" s="2" t="inlineStr"/>
      <c r="K64" s="2" t="inlineStr"/>
    </row>
    <row r="65">
      <c r="A65" s="1" t="inlineStr">
        <is>
          <t>D6</t>
        </is>
      </c>
      <c r="B65" s="1" t="n">
        <v>42</v>
      </c>
      <c r="C65" s="1" t="inlineStr">
        <is>
          <t>S1 D4</t>
        </is>
      </c>
      <c r="D65" s="1" t="inlineStr">
        <is>
          <t>RGB(44,160,44)</t>
        </is>
      </c>
      <c r="E65" s="1" t="inlineStr">
        <is>
          <t>CHO</t>
        </is>
      </c>
      <c r="F65" s="1" t="inlineStr">
        <is>
          <t>RGB(255,0,0)</t>
        </is>
      </c>
      <c r="G65" s="1" t="inlineStr">
        <is>
          <t>UNKNOWN</t>
        </is>
      </c>
      <c r="H65" s="1" t="inlineStr">
        <is>
          <t>FAM</t>
        </is>
      </c>
      <c r="I65" s="1" t="inlineStr">
        <is>
          <t>NONE</t>
        </is>
      </c>
      <c r="J65" s="1" t="inlineStr"/>
      <c r="K65" s="1" t="inlineStr"/>
    </row>
    <row r="66">
      <c r="A66" s="2" t="inlineStr">
        <is>
          <t>D7</t>
        </is>
      </c>
      <c r="B66" s="2" t="n">
        <v>43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</row>
    <row r="67">
      <c r="A67" s="1" t="inlineStr">
        <is>
          <t>D8</t>
        </is>
      </c>
      <c r="B67" s="1" t="n">
        <v>44</v>
      </c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</row>
    <row r="68">
      <c r="A68" s="2" t="inlineStr">
        <is>
          <t>D9</t>
        </is>
      </c>
      <c r="B68" s="2" t="n">
        <v>45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</row>
    <row r="69">
      <c r="A69" s="1" t="inlineStr">
        <is>
          <t>D10</t>
        </is>
      </c>
      <c r="B69" s="1" t="n">
        <v>46</v>
      </c>
      <c r="C69" s="1" t="inlineStr">
        <is>
          <t>STD 0.3</t>
        </is>
      </c>
      <c r="D69" s="1" t="inlineStr">
        <is>
          <t>RGB(23,190,207)</t>
        </is>
      </c>
      <c r="E69" s="1" t="inlineStr">
        <is>
          <t>CHO</t>
        </is>
      </c>
      <c r="F69" s="1" t="inlineStr">
        <is>
          <t>RGB(255,0,0)</t>
        </is>
      </c>
      <c r="G69" s="1" t="inlineStr">
        <is>
          <t>STANDARD</t>
        </is>
      </c>
      <c r="H69" s="1" t="inlineStr">
        <is>
          <t>FAM</t>
        </is>
      </c>
      <c r="I69" s="1" t="inlineStr">
        <is>
          <t>NONE</t>
        </is>
      </c>
      <c r="J69" s="1" t="n">
        <v>0.3</v>
      </c>
      <c r="K69" s="1" t="inlineStr"/>
    </row>
    <row r="70">
      <c r="A70" s="2" t="inlineStr">
        <is>
          <t>D11</t>
        </is>
      </c>
      <c r="B70" s="2" t="n">
        <v>47</v>
      </c>
      <c r="C70" s="2" t="inlineStr">
        <is>
          <t>STD 0.3</t>
        </is>
      </c>
      <c r="D70" s="2" t="inlineStr">
        <is>
          <t>RGB(23,190,207)</t>
        </is>
      </c>
      <c r="E70" s="2" t="inlineStr">
        <is>
          <t>CHO</t>
        </is>
      </c>
      <c r="F70" s="2" t="inlineStr">
        <is>
          <t>RGB(255,0,0)</t>
        </is>
      </c>
      <c r="G70" s="2" t="inlineStr">
        <is>
          <t>STANDARD</t>
        </is>
      </c>
      <c r="H70" s="2" t="inlineStr">
        <is>
          <t>FAM</t>
        </is>
      </c>
      <c r="I70" s="2" t="inlineStr">
        <is>
          <t>NONE</t>
        </is>
      </c>
      <c r="J70" s="2" t="n">
        <v>0.3</v>
      </c>
      <c r="K70" s="2" t="inlineStr"/>
    </row>
    <row r="71">
      <c r="A71" s="1" t="inlineStr">
        <is>
          <t>D12</t>
        </is>
      </c>
      <c r="B71" s="1" t="n">
        <v>48</v>
      </c>
      <c r="C71" s="1" t="inlineStr">
        <is>
          <t>STD 0.3</t>
        </is>
      </c>
      <c r="D71" s="1" t="inlineStr">
        <is>
          <t>RGB(23,190,207)</t>
        </is>
      </c>
      <c r="E71" s="1" t="inlineStr">
        <is>
          <t>CHO</t>
        </is>
      </c>
      <c r="F71" s="1" t="inlineStr">
        <is>
          <t>RGB(255,0,0)</t>
        </is>
      </c>
      <c r="G71" s="1" t="inlineStr">
        <is>
          <t>STANDARD</t>
        </is>
      </c>
      <c r="H71" s="1" t="inlineStr">
        <is>
          <t>FAM</t>
        </is>
      </c>
      <c r="I71" s="1" t="inlineStr">
        <is>
          <t>NONE</t>
        </is>
      </c>
      <c r="J71" s="1" t="n">
        <v>0.3</v>
      </c>
      <c r="K71" s="1" t="inlineStr"/>
    </row>
    <row r="72">
      <c r="A72" s="2" t="inlineStr">
        <is>
          <t>E1</t>
        </is>
      </c>
      <c r="B72" s="2" t="n">
        <v>49</v>
      </c>
      <c r="C72" s="2" t="inlineStr">
        <is>
          <t>HPC - 190</t>
        </is>
      </c>
      <c r="D72" s="2" t="inlineStr">
        <is>
          <t>RGB(227,119,194)</t>
        </is>
      </c>
      <c r="E72" s="2" t="inlineStr">
        <is>
          <t>CHO</t>
        </is>
      </c>
      <c r="F72" s="2" t="inlineStr">
        <is>
          <t>RGB(255,0,0)</t>
        </is>
      </c>
      <c r="G72" s="2" t="inlineStr">
        <is>
          <t>UNKNOWN</t>
        </is>
      </c>
      <c r="H72" s="2" t="inlineStr">
        <is>
          <t>FAM</t>
        </is>
      </c>
      <c r="I72" s="2" t="inlineStr">
        <is>
          <t>NONE</t>
        </is>
      </c>
      <c r="J72" s="2" t="inlineStr"/>
      <c r="K72" s="2" t="inlineStr"/>
    </row>
    <row r="73">
      <c r="A73" s="1" t="inlineStr">
        <is>
          <t>E2</t>
        </is>
      </c>
      <c r="B73" s="1" t="n">
        <v>50</v>
      </c>
      <c r="C73" s="1" t="inlineStr">
        <is>
          <t>HPC - 190</t>
        </is>
      </c>
      <c r="D73" s="1" t="inlineStr">
        <is>
          <t>RGB(227,119,194)</t>
        </is>
      </c>
      <c r="E73" s="1" t="inlineStr">
        <is>
          <t>CHO</t>
        </is>
      </c>
      <c r="F73" s="1" t="inlineStr">
        <is>
          <t>RGB(255,0,0)</t>
        </is>
      </c>
      <c r="G73" s="1" t="inlineStr">
        <is>
          <t>UNKNOWN</t>
        </is>
      </c>
      <c r="H73" s="1" t="inlineStr">
        <is>
          <t>FAM</t>
        </is>
      </c>
      <c r="I73" s="1" t="inlineStr">
        <is>
          <t>NONE</t>
        </is>
      </c>
      <c r="J73" s="1" t="inlineStr"/>
      <c r="K73" s="1" t="inlineStr"/>
    </row>
    <row r="74">
      <c r="A74" s="2" t="inlineStr">
        <is>
          <t>E3</t>
        </is>
      </c>
      <c r="B74" s="2" t="n">
        <v>51</v>
      </c>
      <c r="C74" s="2" t="inlineStr">
        <is>
          <t>HPC - 190</t>
        </is>
      </c>
      <c r="D74" s="2" t="inlineStr">
        <is>
          <t>RGB(227,119,194)</t>
        </is>
      </c>
      <c r="E74" s="2" t="inlineStr">
        <is>
          <t>CHO</t>
        </is>
      </c>
      <c r="F74" s="2" t="inlineStr">
        <is>
          <t>RGB(255,0,0)</t>
        </is>
      </c>
      <c r="G74" s="2" t="inlineStr">
        <is>
          <t>UNKNOWN</t>
        </is>
      </c>
      <c r="H74" s="2" t="inlineStr">
        <is>
          <t>FAM</t>
        </is>
      </c>
      <c r="I74" s="2" t="inlineStr">
        <is>
          <t>NONE</t>
        </is>
      </c>
      <c r="J74" s="2" t="inlineStr"/>
      <c r="K74" s="2" t="inlineStr"/>
    </row>
    <row r="75">
      <c r="A75" s="1" t="inlineStr">
        <is>
          <t>E4</t>
        </is>
      </c>
      <c r="B75" s="1" t="n">
        <v>52</v>
      </c>
      <c r="C75" s="1" t="inlineStr">
        <is>
          <t>S1 D1 S</t>
        </is>
      </c>
      <c r="D75" s="1" t="inlineStr">
        <is>
          <t>RGB(0,98,177)</t>
        </is>
      </c>
      <c r="E75" s="1" t="inlineStr">
        <is>
          <t>CHO</t>
        </is>
      </c>
      <c r="F75" s="1" t="inlineStr">
        <is>
          <t>RGB(255,0,0)</t>
        </is>
      </c>
      <c r="G75" s="1" t="inlineStr">
        <is>
          <t>UNKNOWN</t>
        </is>
      </c>
      <c r="H75" s="1" t="inlineStr">
        <is>
          <t>FAM</t>
        </is>
      </c>
      <c r="I75" s="1" t="inlineStr">
        <is>
          <t>NONE</t>
        </is>
      </c>
      <c r="J75" s="1" t="inlineStr"/>
      <c r="K75" s="1" t="inlineStr"/>
    </row>
    <row r="76">
      <c r="A76" s="2" t="inlineStr">
        <is>
          <t>E5</t>
        </is>
      </c>
      <c r="B76" s="2" t="n">
        <v>53</v>
      </c>
      <c r="C76" s="2" t="inlineStr">
        <is>
          <t>S1 D1 S</t>
        </is>
      </c>
      <c r="D76" s="2" t="inlineStr">
        <is>
          <t>RGB(0,98,177)</t>
        </is>
      </c>
      <c r="E76" s="2" t="inlineStr">
        <is>
          <t>CHO</t>
        </is>
      </c>
      <c r="F76" s="2" t="inlineStr">
        <is>
          <t>RGB(255,0,0)</t>
        </is>
      </c>
      <c r="G76" s="2" t="inlineStr">
        <is>
          <t>UNKNOWN</t>
        </is>
      </c>
      <c r="H76" s="2" t="inlineStr">
        <is>
          <t>FAM</t>
        </is>
      </c>
      <c r="I76" s="2" t="inlineStr">
        <is>
          <t>NONE</t>
        </is>
      </c>
      <c r="J76" s="2" t="inlineStr"/>
      <c r="K76" s="2" t="inlineStr"/>
    </row>
    <row r="77">
      <c r="A77" s="1" t="inlineStr">
        <is>
          <t>E6</t>
        </is>
      </c>
      <c r="B77" s="1" t="n">
        <v>54</v>
      </c>
      <c r="C77" s="1" t="inlineStr">
        <is>
          <t>S1 D1 S</t>
        </is>
      </c>
      <c r="D77" s="1" t="inlineStr">
        <is>
          <t>RGB(0,98,177)</t>
        </is>
      </c>
      <c r="E77" s="1" t="inlineStr">
        <is>
          <t>CHO</t>
        </is>
      </c>
      <c r="F77" s="1" t="inlineStr">
        <is>
          <t>RGB(255,0,0)</t>
        </is>
      </c>
      <c r="G77" s="1" t="inlineStr">
        <is>
          <t>UNKNOWN</t>
        </is>
      </c>
      <c r="H77" s="1" t="inlineStr">
        <is>
          <t>FAM</t>
        </is>
      </c>
      <c r="I77" s="1" t="inlineStr">
        <is>
          <t>NONE</t>
        </is>
      </c>
      <c r="J77" s="1" t="inlineStr"/>
      <c r="K77" s="1" t="inlineStr"/>
    </row>
    <row r="78">
      <c r="A78" s="2" t="inlineStr">
        <is>
          <t>E7</t>
        </is>
      </c>
      <c r="B78" s="2" t="n">
        <v>55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</row>
    <row r="79">
      <c r="A79" s="1" t="inlineStr">
        <is>
          <t>E8</t>
        </is>
      </c>
      <c r="B79" s="1" t="n">
        <v>56</v>
      </c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</row>
    <row r="80">
      <c r="A80" s="2" t="inlineStr">
        <is>
          <t>E9</t>
        </is>
      </c>
      <c r="B80" s="2" t="n">
        <v>57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</row>
    <row r="81">
      <c r="A81" s="1" t="inlineStr">
        <is>
          <t>E10</t>
        </is>
      </c>
      <c r="B81" s="1" t="n">
        <v>58</v>
      </c>
      <c r="C81" s="1" t="inlineStr">
        <is>
          <t>STD 0.03</t>
        </is>
      </c>
      <c r="D81" s="1" t="inlineStr">
        <is>
          <t>RGB(31,119,180)</t>
        </is>
      </c>
      <c r="E81" s="1" t="inlineStr">
        <is>
          <t>CHO</t>
        </is>
      </c>
      <c r="F81" s="1" t="inlineStr">
        <is>
          <t>RGB(255,0,0)</t>
        </is>
      </c>
      <c r="G81" s="1" t="inlineStr">
        <is>
          <t>STANDARD</t>
        </is>
      </c>
      <c r="H81" s="1" t="inlineStr">
        <is>
          <t>FAM</t>
        </is>
      </c>
      <c r="I81" s="1" t="inlineStr">
        <is>
          <t>NONE</t>
        </is>
      </c>
      <c r="J81" s="1" t="n">
        <v>0.03</v>
      </c>
      <c r="K81" s="1" t="inlineStr"/>
    </row>
    <row r="82">
      <c r="A82" s="2" t="inlineStr">
        <is>
          <t>E11</t>
        </is>
      </c>
      <c r="B82" s="2" t="n">
        <v>59</v>
      </c>
      <c r="C82" s="2" t="inlineStr">
        <is>
          <t>STD 0.03</t>
        </is>
      </c>
      <c r="D82" s="2" t="inlineStr">
        <is>
          <t>RGB(31,119,180)</t>
        </is>
      </c>
      <c r="E82" s="2" t="inlineStr">
        <is>
          <t>CHO</t>
        </is>
      </c>
      <c r="F82" s="2" t="inlineStr">
        <is>
          <t>RGB(255,0,0)</t>
        </is>
      </c>
      <c r="G82" s="2" t="inlineStr">
        <is>
          <t>STANDARD</t>
        </is>
      </c>
      <c r="H82" s="2" t="inlineStr">
        <is>
          <t>FAM</t>
        </is>
      </c>
      <c r="I82" s="2" t="inlineStr">
        <is>
          <t>NONE</t>
        </is>
      </c>
      <c r="J82" s="2" t="n">
        <v>0.03</v>
      </c>
      <c r="K82" s="2" t="inlineStr"/>
    </row>
    <row r="83">
      <c r="A83" s="1" t="inlineStr">
        <is>
          <t>E12</t>
        </is>
      </c>
      <c r="B83" s="1" t="n">
        <v>60</v>
      </c>
      <c r="C83" s="1" t="inlineStr">
        <is>
          <t>STD 0.03</t>
        </is>
      </c>
      <c r="D83" s="1" t="inlineStr">
        <is>
          <t>RGB(31,119,180)</t>
        </is>
      </c>
      <c r="E83" s="1" t="inlineStr">
        <is>
          <t>CHO</t>
        </is>
      </c>
      <c r="F83" s="1" t="inlineStr">
        <is>
          <t>RGB(255,0,0)</t>
        </is>
      </c>
      <c r="G83" s="1" t="inlineStr">
        <is>
          <t>STANDARD</t>
        </is>
      </c>
      <c r="H83" s="1" t="inlineStr">
        <is>
          <t>FAM</t>
        </is>
      </c>
      <c r="I83" s="1" t="inlineStr">
        <is>
          <t>NONE</t>
        </is>
      </c>
      <c r="J83" s="1" t="n">
        <v>0.03</v>
      </c>
      <c r="K83" s="1" t="inlineStr"/>
    </row>
    <row r="84">
      <c r="A84" s="2" t="inlineStr">
        <is>
          <t>F1</t>
        </is>
      </c>
      <c r="B84" s="2" t="n">
        <v>61</v>
      </c>
      <c r="C84" s="2" t="inlineStr">
        <is>
          <t>MPC - 10</t>
        </is>
      </c>
      <c r="D84" s="2" t="inlineStr">
        <is>
          <t>RGB(127,127,127)</t>
        </is>
      </c>
      <c r="E84" s="2" t="inlineStr">
        <is>
          <t>CHO</t>
        </is>
      </c>
      <c r="F84" s="2" t="inlineStr">
        <is>
          <t>RGB(255,0,0)</t>
        </is>
      </c>
      <c r="G84" s="2" t="inlineStr">
        <is>
          <t>UNKNOWN</t>
        </is>
      </c>
      <c r="H84" s="2" t="inlineStr">
        <is>
          <t>FAM</t>
        </is>
      </c>
      <c r="I84" s="2" t="inlineStr">
        <is>
          <t>NONE</t>
        </is>
      </c>
      <c r="J84" s="2" t="inlineStr"/>
      <c r="K84" s="2" t="inlineStr"/>
    </row>
    <row r="85">
      <c r="A85" s="1" t="inlineStr">
        <is>
          <t>F2</t>
        </is>
      </c>
      <c r="B85" s="1" t="n">
        <v>62</v>
      </c>
      <c r="C85" s="1" t="inlineStr">
        <is>
          <t>MPC - 10</t>
        </is>
      </c>
      <c r="D85" s="1" t="inlineStr">
        <is>
          <t>RGB(127,127,127)</t>
        </is>
      </c>
      <c r="E85" s="1" t="inlineStr">
        <is>
          <t>CHO</t>
        </is>
      </c>
      <c r="F85" s="1" t="inlineStr">
        <is>
          <t>RGB(255,0,0)</t>
        </is>
      </c>
      <c r="G85" s="1" t="inlineStr">
        <is>
          <t>UNKNOWN</t>
        </is>
      </c>
      <c r="H85" s="1" t="inlineStr">
        <is>
          <t>FAM</t>
        </is>
      </c>
      <c r="I85" s="1" t="inlineStr">
        <is>
          <t>NONE</t>
        </is>
      </c>
      <c r="J85" s="1" t="inlineStr"/>
      <c r="K85" s="1" t="inlineStr"/>
    </row>
    <row r="86">
      <c r="A86" s="2" t="inlineStr">
        <is>
          <t>F3</t>
        </is>
      </c>
      <c r="B86" s="2" t="n">
        <v>63</v>
      </c>
      <c r="C86" s="2" t="inlineStr">
        <is>
          <t>MPC - 10</t>
        </is>
      </c>
      <c r="D86" s="2" t="inlineStr">
        <is>
          <t>RGB(127,127,127)</t>
        </is>
      </c>
      <c r="E86" s="2" t="inlineStr">
        <is>
          <t>CHO</t>
        </is>
      </c>
      <c r="F86" s="2" t="inlineStr">
        <is>
          <t>RGB(255,0,0)</t>
        </is>
      </c>
      <c r="G86" s="2" t="inlineStr">
        <is>
          <t>UNKNOWN</t>
        </is>
      </c>
      <c r="H86" s="2" t="inlineStr">
        <is>
          <t>FAM</t>
        </is>
      </c>
      <c r="I86" s="2" t="inlineStr">
        <is>
          <t>NONE</t>
        </is>
      </c>
      <c r="J86" s="2" t="inlineStr"/>
      <c r="K86" s="2" t="inlineStr"/>
    </row>
    <row r="87">
      <c r="A87" s="1" t="inlineStr">
        <is>
          <t>F4</t>
        </is>
      </c>
      <c r="B87" s="1" t="n">
        <v>64</v>
      </c>
      <c r="C87" s="1" t="inlineStr">
        <is>
          <t>S1 D2 S</t>
        </is>
      </c>
      <c r="D87" s="1" t="inlineStr">
        <is>
          <t>RGB(148,103,189)</t>
        </is>
      </c>
      <c r="E87" s="1" t="inlineStr">
        <is>
          <t>CHO</t>
        </is>
      </c>
      <c r="F87" s="1" t="inlineStr">
        <is>
          <t>RGB(255,0,0)</t>
        </is>
      </c>
      <c r="G87" s="1" t="inlineStr">
        <is>
          <t>UNKNOWN</t>
        </is>
      </c>
      <c r="H87" s="1" t="inlineStr">
        <is>
          <t>FAM</t>
        </is>
      </c>
      <c r="I87" s="1" t="inlineStr">
        <is>
          <t>NONE</t>
        </is>
      </c>
      <c r="J87" s="1" t="inlineStr"/>
      <c r="K87" s="1" t="inlineStr"/>
    </row>
    <row r="88">
      <c r="A88" s="2" t="inlineStr">
        <is>
          <t>F5</t>
        </is>
      </c>
      <c r="B88" s="2" t="n">
        <v>65</v>
      </c>
      <c r="C88" s="2" t="inlineStr">
        <is>
          <t>S1 D2 S</t>
        </is>
      </c>
      <c r="D88" s="2" t="inlineStr">
        <is>
          <t>RGB(148,103,189)</t>
        </is>
      </c>
      <c r="E88" s="2" t="inlineStr">
        <is>
          <t>CHO</t>
        </is>
      </c>
      <c r="F88" s="2" t="inlineStr">
        <is>
          <t>RGB(255,0,0)</t>
        </is>
      </c>
      <c r="G88" s="2" t="inlineStr">
        <is>
          <t>UNKNOWN</t>
        </is>
      </c>
      <c r="H88" s="2" t="inlineStr">
        <is>
          <t>FAM</t>
        </is>
      </c>
      <c r="I88" s="2" t="inlineStr">
        <is>
          <t>NONE</t>
        </is>
      </c>
      <c r="J88" s="2" t="inlineStr"/>
      <c r="K88" s="2" t="inlineStr"/>
    </row>
    <row r="89">
      <c r="A89" s="1" t="inlineStr">
        <is>
          <t>F6</t>
        </is>
      </c>
      <c r="B89" s="1" t="n">
        <v>66</v>
      </c>
      <c r="C89" s="1" t="inlineStr">
        <is>
          <t>S1 D2 S</t>
        </is>
      </c>
      <c r="D89" s="1" t="inlineStr">
        <is>
          <t>RGB(148,103,189)</t>
        </is>
      </c>
      <c r="E89" s="1" t="inlineStr">
        <is>
          <t>CHO</t>
        </is>
      </c>
      <c r="F89" s="1" t="inlineStr">
        <is>
          <t>RGB(255,0,0)</t>
        </is>
      </c>
      <c r="G89" s="1" t="inlineStr">
        <is>
          <t>UNKNOWN</t>
        </is>
      </c>
      <c r="H89" s="1" t="inlineStr">
        <is>
          <t>FAM</t>
        </is>
      </c>
      <c r="I89" s="1" t="inlineStr">
        <is>
          <t>NONE</t>
        </is>
      </c>
      <c r="J89" s="1" t="inlineStr"/>
      <c r="K89" s="1" t="inlineStr"/>
    </row>
    <row r="90">
      <c r="A90" s="2" t="inlineStr">
        <is>
          <t>F7</t>
        </is>
      </c>
      <c r="B90" s="2" t="n">
        <v>67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</row>
    <row r="91">
      <c r="A91" s="1" t="inlineStr">
        <is>
          <t>F8</t>
        </is>
      </c>
      <c r="B91" s="1" t="n">
        <v>68</v>
      </c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</row>
    <row r="92">
      <c r="A92" s="2" t="inlineStr">
        <is>
          <t>F9</t>
        </is>
      </c>
      <c r="B92" s="2" t="n">
        <v>69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</row>
    <row r="93">
      <c r="A93" s="1" t="inlineStr">
        <is>
          <t>F10</t>
        </is>
      </c>
      <c r="B93" s="1" t="n">
        <v>70</v>
      </c>
      <c r="C93" s="1" t="inlineStr">
        <is>
          <t>STD 0.003</t>
        </is>
      </c>
      <c r="D93" s="1" t="inlineStr">
        <is>
          <t>RGB(140,86,75)</t>
        </is>
      </c>
      <c r="E93" s="1" t="inlineStr">
        <is>
          <t>CHO</t>
        </is>
      </c>
      <c r="F93" s="1" t="inlineStr">
        <is>
          <t>RGB(255,0,0)</t>
        </is>
      </c>
      <c r="G93" s="1" t="inlineStr">
        <is>
          <t>STANDARD</t>
        </is>
      </c>
      <c r="H93" s="1" t="inlineStr">
        <is>
          <t>FAM</t>
        </is>
      </c>
      <c r="I93" s="1" t="inlineStr">
        <is>
          <t>NONE</t>
        </is>
      </c>
      <c r="J93" s="1" t="n">
        <v>0.003</v>
      </c>
      <c r="K93" s="1" t="inlineStr"/>
    </row>
    <row r="94">
      <c r="A94" s="2" t="inlineStr">
        <is>
          <t>F11</t>
        </is>
      </c>
      <c r="B94" s="2" t="n">
        <v>71</v>
      </c>
      <c r="C94" s="2" t="inlineStr">
        <is>
          <t>STD 0.003</t>
        </is>
      </c>
      <c r="D94" s="2" t="inlineStr">
        <is>
          <t>RGB(140,86,75)</t>
        </is>
      </c>
      <c r="E94" s="2" t="inlineStr">
        <is>
          <t>CHO</t>
        </is>
      </c>
      <c r="F94" s="2" t="inlineStr">
        <is>
          <t>RGB(255,0,0)</t>
        </is>
      </c>
      <c r="G94" s="2" t="inlineStr">
        <is>
          <t>STANDARD</t>
        </is>
      </c>
      <c r="H94" s="2" t="inlineStr">
        <is>
          <t>FAM</t>
        </is>
      </c>
      <c r="I94" s="2" t="inlineStr">
        <is>
          <t>NONE</t>
        </is>
      </c>
      <c r="J94" s="2" t="n">
        <v>0.003</v>
      </c>
      <c r="K94" s="2" t="inlineStr"/>
    </row>
    <row r="95">
      <c r="A95" s="1" t="inlineStr">
        <is>
          <t>F12</t>
        </is>
      </c>
      <c r="B95" s="1" t="n">
        <v>72</v>
      </c>
      <c r="C95" s="1" t="inlineStr">
        <is>
          <t>STD 0.003</t>
        </is>
      </c>
      <c r="D95" s="1" t="inlineStr">
        <is>
          <t>RGB(140,86,75)</t>
        </is>
      </c>
      <c r="E95" s="1" t="inlineStr">
        <is>
          <t>CHO</t>
        </is>
      </c>
      <c r="F95" s="1" t="inlineStr">
        <is>
          <t>RGB(255,0,0)</t>
        </is>
      </c>
      <c r="G95" s="1" t="inlineStr">
        <is>
          <t>STANDARD</t>
        </is>
      </c>
      <c r="H95" s="1" t="inlineStr">
        <is>
          <t>FAM</t>
        </is>
      </c>
      <c r="I95" s="1" t="inlineStr">
        <is>
          <t>NONE</t>
        </is>
      </c>
      <c r="J95" s="1" t="n">
        <v>0.003</v>
      </c>
      <c r="K95" s="1" t="inlineStr"/>
    </row>
    <row r="96">
      <c r="A96" s="2" t="inlineStr">
        <is>
          <t>G1</t>
        </is>
      </c>
      <c r="B96" s="2" t="n">
        <v>73</v>
      </c>
      <c r="C96" s="2" t="inlineStr">
        <is>
          <t>LPC - 5</t>
        </is>
      </c>
      <c r="D96" s="2" t="inlineStr">
        <is>
          <t>RGB(188,189,34)</t>
        </is>
      </c>
      <c r="E96" s="2" t="inlineStr">
        <is>
          <t>CHO</t>
        </is>
      </c>
      <c r="F96" s="2" t="inlineStr">
        <is>
          <t>RGB(255,0,0)</t>
        </is>
      </c>
      <c r="G96" s="2" t="inlineStr">
        <is>
          <t>UNKNOWN</t>
        </is>
      </c>
      <c r="H96" s="2" t="inlineStr">
        <is>
          <t>FAM</t>
        </is>
      </c>
      <c r="I96" s="2" t="inlineStr">
        <is>
          <t>NONE</t>
        </is>
      </c>
      <c r="J96" s="2" t="inlineStr"/>
      <c r="K96" s="2" t="inlineStr"/>
    </row>
    <row r="97">
      <c r="A97" s="1" t="inlineStr">
        <is>
          <t>G2</t>
        </is>
      </c>
      <c r="B97" s="1" t="n">
        <v>74</v>
      </c>
      <c r="C97" s="1" t="inlineStr">
        <is>
          <t>LPC - 5</t>
        </is>
      </c>
      <c r="D97" s="1" t="inlineStr">
        <is>
          <t>RGB(188,189,34)</t>
        </is>
      </c>
      <c r="E97" s="1" t="inlineStr">
        <is>
          <t>CHO</t>
        </is>
      </c>
      <c r="F97" s="1" t="inlineStr">
        <is>
          <t>RGB(255,0,0)</t>
        </is>
      </c>
      <c r="G97" s="1" t="inlineStr">
        <is>
          <t>UNKNOWN</t>
        </is>
      </c>
      <c r="H97" s="1" t="inlineStr">
        <is>
          <t>FAM</t>
        </is>
      </c>
      <c r="I97" s="1" t="inlineStr">
        <is>
          <t>NONE</t>
        </is>
      </c>
      <c r="J97" s="1" t="inlineStr"/>
      <c r="K97" s="1" t="inlineStr"/>
    </row>
    <row r="98">
      <c r="A98" s="2" t="inlineStr">
        <is>
          <t>G3</t>
        </is>
      </c>
      <c r="B98" s="2" t="n">
        <v>75</v>
      </c>
      <c r="C98" s="2" t="inlineStr">
        <is>
          <t>LPC - 5</t>
        </is>
      </c>
      <c r="D98" s="2" t="inlineStr">
        <is>
          <t>RGB(188,189,34)</t>
        </is>
      </c>
      <c r="E98" s="2" t="inlineStr">
        <is>
          <t>CHO</t>
        </is>
      </c>
      <c r="F98" s="2" t="inlineStr">
        <is>
          <t>RGB(255,0,0)</t>
        </is>
      </c>
      <c r="G98" s="2" t="inlineStr">
        <is>
          <t>UNKNOWN</t>
        </is>
      </c>
      <c r="H98" s="2" t="inlineStr">
        <is>
          <t>FAM</t>
        </is>
      </c>
      <c r="I98" s="2" t="inlineStr">
        <is>
          <t>NONE</t>
        </is>
      </c>
      <c r="J98" s="2" t="inlineStr"/>
      <c r="K98" s="2" t="inlineStr"/>
    </row>
    <row r="99">
      <c r="A99" s="1" t="inlineStr">
        <is>
          <t>G4</t>
        </is>
      </c>
      <c r="B99" s="1" t="n">
        <v>76</v>
      </c>
      <c r="C99" s="1" t="inlineStr">
        <is>
          <t>S1 D3 S</t>
        </is>
      </c>
      <c r="D99" s="1" t="inlineStr">
        <is>
          <t>RGB(140,86,75)</t>
        </is>
      </c>
      <c r="E99" s="1" t="inlineStr">
        <is>
          <t>CHO</t>
        </is>
      </c>
      <c r="F99" s="1" t="inlineStr">
        <is>
          <t>RGB(255,0,0)</t>
        </is>
      </c>
      <c r="G99" s="1" t="inlineStr">
        <is>
          <t>UNKNOWN</t>
        </is>
      </c>
      <c r="H99" s="1" t="inlineStr">
        <is>
          <t>FAM</t>
        </is>
      </c>
      <c r="I99" s="1" t="inlineStr">
        <is>
          <t>NONE</t>
        </is>
      </c>
      <c r="J99" s="1" t="inlineStr"/>
      <c r="K99" s="1" t="inlineStr"/>
    </row>
    <row r="100">
      <c r="A100" s="2" t="inlineStr">
        <is>
          <t>G5</t>
        </is>
      </c>
      <c r="B100" s="2" t="n">
        <v>77</v>
      </c>
      <c r="C100" s="2" t="inlineStr">
        <is>
          <t>S1 D3 S</t>
        </is>
      </c>
      <c r="D100" s="2" t="inlineStr">
        <is>
          <t>RGB(140,86,75)</t>
        </is>
      </c>
      <c r="E100" s="2" t="inlineStr">
        <is>
          <t>CHO</t>
        </is>
      </c>
      <c r="F100" s="2" t="inlineStr">
        <is>
          <t>RGB(255,0,0)</t>
        </is>
      </c>
      <c r="G100" s="2" t="inlineStr">
        <is>
          <t>UNKNOWN</t>
        </is>
      </c>
      <c r="H100" s="2" t="inlineStr">
        <is>
          <t>FAM</t>
        </is>
      </c>
      <c r="I100" s="2" t="inlineStr">
        <is>
          <t>NONE</t>
        </is>
      </c>
      <c r="J100" s="2" t="inlineStr"/>
      <c r="K100" s="2" t="inlineStr"/>
    </row>
    <row r="101">
      <c r="A101" s="1" t="inlineStr">
        <is>
          <t>G6</t>
        </is>
      </c>
      <c r="B101" s="1" t="n">
        <v>78</v>
      </c>
      <c r="C101" s="1" t="inlineStr">
        <is>
          <t>S1 D3 S</t>
        </is>
      </c>
      <c r="D101" s="1" t="inlineStr">
        <is>
          <t>RGB(140,86,75)</t>
        </is>
      </c>
      <c r="E101" s="1" t="inlineStr">
        <is>
          <t>CHO</t>
        </is>
      </c>
      <c r="F101" s="1" t="inlineStr">
        <is>
          <t>RGB(255,0,0)</t>
        </is>
      </c>
      <c r="G101" s="1" t="inlineStr">
        <is>
          <t>UNKNOWN</t>
        </is>
      </c>
      <c r="H101" s="1" t="inlineStr">
        <is>
          <t>FAM</t>
        </is>
      </c>
      <c r="I101" s="1" t="inlineStr">
        <is>
          <t>NONE</t>
        </is>
      </c>
      <c r="J101" s="1" t="inlineStr"/>
      <c r="K101" s="1" t="inlineStr"/>
    </row>
    <row r="102">
      <c r="A102" s="2" t="inlineStr">
        <is>
          <t>G7</t>
        </is>
      </c>
      <c r="B102" s="2" t="n">
        <v>79</v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</row>
    <row r="103">
      <c r="A103" s="1" t="inlineStr">
        <is>
          <t>G8</t>
        </is>
      </c>
      <c r="B103" s="1" t="n">
        <v>80</v>
      </c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</row>
    <row r="104">
      <c r="A104" s="2" t="inlineStr">
        <is>
          <t>G9</t>
        </is>
      </c>
      <c r="B104" s="2" t="n">
        <v>81</v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</row>
    <row r="105">
      <c r="A105" s="1" t="inlineStr">
        <is>
          <t>G10</t>
        </is>
      </c>
      <c r="B105" s="1" t="n">
        <v>82</v>
      </c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</row>
    <row r="106">
      <c r="A106" s="2" t="inlineStr">
        <is>
          <t>G11</t>
        </is>
      </c>
      <c r="B106" s="2" t="n">
        <v>83</v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</row>
    <row r="107">
      <c r="A107" s="1" t="inlineStr">
        <is>
          <t>G12</t>
        </is>
      </c>
      <c r="B107" s="1" t="n">
        <v>84</v>
      </c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</row>
    <row r="108">
      <c r="A108" s="2" t="inlineStr">
        <is>
          <t>H1</t>
        </is>
      </c>
      <c r="B108" s="2" t="n">
        <v>85</v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</row>
    <row r="109">
      <c r="A109" s="1" t="inlineStr">
        <is>
          <t>H2</t>
        </is>
      </c>
      <c r="B109" s="1" t="n">
        <v>86</v>
      </c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</row>
    <row r="110">
      <c r="A110" s="2" t="inlineStr">
        <is>
          <t>H3</t>
        </is>
      </c>
      <c r="B110" s="2" t="n">
        <v>87</v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</row>
    <row r="111">
      <c r="A111" s="1" t="inlineStr">
        <is>
          <t>H4</t>
        </is>
      </c>
      <c r="B111" s="1" t="n">
        <v>88</v>
      </c>
      <c r="C111" s="1" t="inlineStr">
        <is>
          <t>S1 D4 S</t>
        </is>
      </c>
      <c r="D111" s="1" t="inlineStr">
        <is>
          <t>RGB(227,119,194)</t>
        </is>
      </c>
      <c r="E111" s="1" t="inlineStr">
        <is>
          <t>CHO</t>
        </is>
      </c>
      <c r="F111" s="1" t="inlineStr">
        <is>
          <t>RGB(255,0,0)</t>
        </is>
      </c>
      <c r="G111" s="1" t="inlineStr">
        <is>
          <t>UNKNOWN</t>
        </is>
      </c>
      <c r="H111" s="1" t="inlineStr">
        <is>
          <t>FAM</t>
        </is>
      </c>
      <c r="I111" s="1" t="inlineStr">
        <is>
          <t>NONE</t>
        </is>
      </c>
      <c r="J111" s="1" t="inlineStr"/>
      <c r="K111" s="1" t="inlineStr"/>
    </row>
    <row r="112">
      <c r="A112" s="2" t="inlineStr">
        <is>
          <t>H5</t>
        </is>
      </c>
      <c r="B112" s="2" t="n">
        <v>89</v>
      </c>
      <c r="C112" s="2" t="inlineStr">
        <is>
          <t>S1 D4 S</t>
        </is>
      </c>
      <c r="D112" s="2" t="inlineStr">
        <is>
          <t>RGB(227,119,194)</t>
        </is>
      </c>
      <c r="E112" s="2" t="inlineStr">
        <is>
          <t>CHO</t>
        </is>
      </c>
      <c r="F112" s="2" t="inlineStr">
        <is>
          <t>RGB(255,0,0)</t>
        </is>
      </c>
      <c r="G112" s="2" t="inlineStr">
        <is>
          <t>UNKNOWN</t>
        </is>
      </c>
      <c r="H112" s="2" t="inlineStr">
        <is>
          <t>FAM</t>
        </is>
      </c>
      <c r="I112" s="2" t="inlineStr">
        <is>
          <t>NONE</t>
        </is>
      </c>
      <c r="J112" s="2" t="inlineStr"/>
      <c r="K112" s="2" t="inlineStr"/>
    </row>
    <row r="113">
      <c r="A113" s="1" t="inlineStr">
        <is>
          <t>H6</t>
        </is>
      </c>
      <c r="B113" s="1" t="n">
        <v>90</v>
      </c>
      <c r="C113" s="1" t="inlineStr">
        <is>
          <t>S1 D4 S</t>
        </is>
      </c>
      <c r="D113" s="1" t="inlineStr">
        <is>
          <t>RGB(227,119,194)</t>
        </is>
      </c>
      <c r="E113" s="1" t="inlineStr">
        <is>
          <t>CHO</t>
        </is>
      </c>
      <c r="F113" s="1" t="inlineStr">
        <is>
          <t>RGB(255,0,0)</t>
        </is>
      </c>
      <c r="G113" s="1" t="inlineStr">
        <is>
          <t>UNKNOWN</t>
        </is>
      </c>
      <c r="H113" s="1" t="inlineStr">
        <is>
          <t>FAM</t>
        </is>
      </c>
      <c r="I113" s="1" t="inlineStr">
        <is>
          <t>NONE</t>
        </is>
      </c>
      <c r="J113" s="1" t="inlineStr"/>
      <c r="K113" s="1" t="inlineStr"/>
    </row>
    <row r="114">
      <c r="A114" s="2" t="inlineStr">
        <is>
          <t>H7</t>
        </is>
      </c>
      <c r="B114" s="2" t="n">
        <v>91</v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</row>
    <row r="115">
      <c r="A115" s="1" t="inlineStr">
        <is>
          <t>H8</t>
        </is>
      </c>
      <c r="B115" s="1" t="n">
        <v>92</v>
      </c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</row>
    <row r="116">
      <c r="A116" s="2" t="inlineStr">
        <is>
          <t>H9</t>
        </is>
      </c>
      <c r="B116" s="2" t="n">
        <v>93</v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</row>
    <row r="117">
      <c r="A117" s="1" t="inlineStr">
        <is>
          <t>H10</t>
        </is>
      </c>
      <c r="B117" s="1" t="n">
        <v>94</v>
      </c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</row>
    <row r="118">
      <c r="A118" s="2" t="inlineStr">
        <is>
          <t>H11</t>
        </is>
      </c>
      <c r="B118" s="2" t="n">
        <v>95</v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</row>
    <row r="119">
      <c r="A119" s="1" t="inlineStr">
        <is>
          <t>H12</t>
        </is>
      </c>
      <c r="B119" s="1" t="n">
        <v>96</v>
      </c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</row>
  </sheetData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9"/>
  <sheetViews>
    <sheetView topLeftCell="AL18" workbookViewId="0">
      <selection activeCell="I34" sqref="I34"/>
    </sheetView>
  </sheetViews>
  <sheetFormatPr baseColWidth="8" defaultRowHeight="12.75"/>
  <cols>
    <col width="21.28515625" customWidth="1" min="1" max="1"/>
    <col width="23.42578125" customWidth="1" min="2" max="2"/>
    <col width="11.7109375" customWidth="1" min="3" max="4"/>
    <col width="15.42578125" customWidth="1" min="5" max="5"/>
    <col width="13.85546875" customWidth="1" min="6" max="6"/>
    <col width="13.28515625" customWidth="1" min="7" max="7"/>
    <col width="11.7109375" customWidth="1" min="8" max="10"/>
    <col width="11.85546875" customWidth="1" min="11" max="11"/>
    <col width="11.7109375" customWidth="1" min="12" max="13"/>
    <col width="12.140625" customWidth="1" min="14" max="14"/>
  </cols>
  <sheetData>
    <row r="1">
      <c r="A1" s="35" t="inlineStr">
        <is>
          <t>Experiment Details:</t>
        </is>
      </c>
    </row>
    <row r="2">
      <c r="A2" s="36" t="inlineStr">
        <is>
          <t>Block Type:</t>
        </is>
      </c>
      <c r="B2" s="3" t="inlineStr">
        <is>
          <t>0.1 mL</t>
        </is>
      </c>
    </row>
    <row r="3">
      <c r="A3" s="36" t="inlineStr">
        <is>
          <t>Chemistry:</t>
        </is>
      </c>
      <c r="B3" s="3" t="inlineStr">
        <is>
          <t>TAQMAN</t>
        </is>
      </c>
    </row>
    <row r="4">
      <c r="A4" s="36" t="inlineStr">
        <is>
          <t>Date Created:</t>
        </is>
      </c>
      <c r="B4" s="3" t="inlineStr">
        <is>
          <t>17 Jul 2026 11:00:56 GMT-0700</t>
        </is>
      </c>
    </row>
    <row r="5">
      <c r="A5" s="36" t="inlineStr">
        <is>
          <t>Barcode:</t>
        </is>
      </c>
      <c r="B5" s="3" t="inlineStr"/>
    </row>
    <row r="6">
      <c r="A6" s="36" t="inlineStr">
        <is>
          <t>Comments:</t>
        </is>
      </c>
      <c r="B6" s="3" t="inlineStr">
        <is>
          <t>Update protein concentration
Correct dilutions
Correct spike information
For HCCP and ProA</t>
        </is>
      </c>
    </row>
    <row r="7">
      <c r="A7" s="36" t="inlineStr">
        <is>
          <t>Experiment Name:</t>
        </is>
      </c>
      <c r="B7" s="3" t="inlineStr">
        <is>
          <t>2026-07-17_MD_R3_GR</t>
        </is>
      </c>
    </row>
    <row r="8" ht="25.5" customHeight="1">
      <c r="A8" s="36" t="inlineStr">
        <is>
          <t>Experiment Run End Time:</t>
        </is>
      </c>
      <c r="B8" s="3" t="inlineStr">
        <is>
          <t>17 Jul 2026 16:14:21 GMT-0700</t>
        </is>
      </c>
    </row>
    <row r="9">
      <c r="A9" s="36" t="inlineStr">
        <is>
          <t>Experiment Type:</t>
        </is>
      </c>
      <c r="B9" s="3" t="inlineStr">
        <is>
          <t>Standard Curve</t>
        </is>
      </c>
    </row>
    <row r="10">
      <c r="A10" s="36" t="inlineStr">
        <is>
          <t>Instrument Name:</t>
        </is>
      </c>
      <c r="B10" s="3" t="inlineStr">
        <is>
          <t>272513207</t>
        </is>
      </c>
    </row>
    <row r="11" ht="25.5" customHeight="1">
      <c r="A11" s="36" t="inlineStr">
        <is>
          <t>Instrument Serial Number:</t>
        </is>
      </c>
      <c r="B11" s="3" t="inlineStr">
        <is>
          <t>272513207</t>
        </is>
      </c>
    </row>
    <row r="12">
      <c r="A12" s="36" t="inlineStr">
        <is>
          <t>Instrument Type:</t>
        </is>
      </c>
      <c r="B12" s="3" t="inlineStr">
        <is>
          <t>QuantStudio™ 5</t>
        </is>
      </c>
    </row>
    <row r="13">
      <c r="A13" s="36" t="inlineStr">
        <is>
          <t>Passive Reference:</t>
        </is>
      </c>
      <c r="B13" s="3" t="inlineStr">
        <is>
          <t>ROX</t>
        </is>
      </c>
    </row>
    <row r="14">
      <c r="A14" s="36" t="inlineStr">
        <is>
          <t>E-Sig Status:</t>
        </is>
      </c>
      <c r="B14" s="3" t="inlineStr">
        <is>
          <t>Unsigned</t>
        </is>
      </c>
    </row>
    <row r="15">
      <c r="A15" s="36" t="inlineStr">
        <is>
          <t>E-Sig By:</t>
        </is>
      </c>
      <c r="B15" s="3" t="inlineStr">
        <is>
          <t>NA</t>
        </is>
      </c>
    </row>
    <row r="16">
      <c r="A16" s="36" t="inlineStr">
        <is>
          <t>Fit:</t>
        </is>
      </c>
      <c r="B16" s="3" t="inlineStr">
        <is>
          <t>Linear</t>
        </is>
      </c>
    </row>
    <row r="17">
      <c r="A17" s="36" t="inlineStr">
        <is>
          <t>Weighting:</t>
        </is>
      </c>
      <c r="B17" s="3" t="inlineStr">
        <is>
          <t>None</t>
        </is>
      </c>
    </row>
    <row r="18">
      <c r="A18" s="36" t="inlineStr">
        <is>
          <t>Formula:</t>
        </is>
      </c>
      <c r="B18" s="3" t="inlineStr">
        <is>
          <t>N/A</t>
        </is>
      </c>
    </row>
    <row r="19">
      <c r="A19" s="36" t="inlineStr">
        <is>
          <t>Target:</t>
        </is>
      </c>
      <c r="B19" s="3" t="inlineStr">
        <is>
          <t>CHO</t>
        </is>
      </c>
      <c r="C19" s="3" t="inlineStr">
        <is>
          <t>R2 : 0.9998</t>
        </is>
      </c>
      <c r="D19" s="3" t="inlineStr">
        <is>
          <t>Slope : -3.3008</t>
        </is>
      </c>
      <c r="E19" s="3" t="inlineStr">
        <is>
          <t>y-Intercept : 21.3153</t>
        </is>
      </c>
      <c r="F19" s="3" t="inlineStr">
        <is>
          <t>Efficiency : 100.89</t>
        </is>
      </c>
      <c r="G19" s="3" t="inlineStr">
        <is>
          <t>Std error : 0.0116</t>
        </is>
      </c>
    </row>
    <row r="23" ht="63.75" customHeight="1">
      <c r="A23" s="35" t="inlineStr">
        <is>
          <t>Well</t>
        </is>
      </c>
      <c r="B23" s="35" t="inlineStr">
        <is>
          <t>Well Position</t>
        </is>
      </c>
      <c r="C23" s="35" t="inlineStr">
        <is>
          <t>Task</t>
        </is>
      </c>
      <c r="D23" s="35" t="inlineStr">
        <is>
          <t>Sample Name</t>
        </is>
      </c>
      <c r="E23" s="35" t="inlineStr">
        <is>
          <t>Target Name</t>
        </is>
      </c>
      <c r="F23" s="4" t="inlineStr">
        <is>
          <t>Ct</t>
        </is>
      </c>
      <c r="G23" s="4" t="inlineStr">
        <is>
          <t>Ct Mean</t>
        </is>
      </c>
      <c r="H23" s="4" t="inlineStr">
        <is>
          <t>Ct CV%</t>
        </is>
      </c>
      <c r="I23" s="4" t="inlineStr">
        <is>
          <t>Ct SD</t>
        </is>
      </c>
      <c r="J23" s="4" t="inlineStr">
        <is>
          <t>Quantity</t>
        </is>
      </c>
      <c r="K23" s="4" t="inlineStr">
        <is>
          <t>Quantity Mean</t>
        </is>
      </c>
      <c r="L23" s="4" t="inlineStr">
        <is>
          <t>Quantity SD</t>
        </is>
      </c>
      <c r="M23" s="4" t="inlineStr">
        <is>
          <t>Quantity %CV</t>
        </is>
      </c>
      <c r="N23" s="4" t="inlineStr">
        <is>
          <t>Dilution Factor</t>
        </is>
      </c>
      <c r="O23" s="4" t="inlineStr">
        <is>
          <t>Dilution Adjusted</t>
        </is>
      </c>
      <c r="P23" s="4" t="inlineStr">
        <is>
          <t>% Recovery</t>
        </is>
      </c>
      <c r="Q23" s="4" t="inlineStr">
        <is>
          <t>R2</t>
        </is>
      </c>
      <c r="R23" s="4" t="inlineStr">
        <is>
          <t>Slope</t>
        </is>
      </c>
      <c r="S23" s="4" t="inlineStr">
        <is>
          <t>Y-Intercept</t>
        </is>
      </c>
      <c r="T23" s="4" t="inlineStr">
        <is>
          <t>Total DNA per mL</t>
        </is>
      </c>
      <c r="U23" s="4" t="inlineStr">
        <is>
          <t>Total DNA per Protein Concentration</t>
        </is>
      </c>
      <c r="V23" s="35" t="inlineStr">
        <is>
          <t>Flag</t>
        </is>
      </c>
      <c r="W23" s="35" t="inlineStr">
        <is>
          <t>Ct Threshold</t>
        </is>
      </c>
      <c r="X23" s="35" t="inlineStr">
        <is>
          <t>Automatic Ct Threshold</t>
        </is>
      </c>
      <c r="Y23" s="35" t="inlineStr">
        <is>
          <t>CQ Confidence</t>
        </is>
      </c>
      <c r="Z23" s="35" t="inlineStr">
        <is>
          <t>Automatic Baseline</t>
        </is>
      </c>
      <c r="AA23" s="35" t="inlineStr">
        <is>
          <t>Baseline Start</t>
        </is>
      </c>
      <c r="AB23" s="35" t="inlineStr">
        <is>
          <t>Baseline End</t>
        </is>
      </c>
      <c r="AC23" s="35" t="inlineStr">
        <is>
          <t>Reference</t>
        </is>
      </c>
      <c r="AD23" s="35" t="inlineStr">
        <is>
          <t>Reference Adjusted</t>
        </is>
      </c>
      <c r="AE23" s="4" t="inlineStr">
        <is>
          <t>Spike Input</t>
        </is>
      </c>
      <c r="AF23" s="4" t="inlineStr">
        <is>
          <t>Back calculated value</t>
        </is>
      </c>
      <c r="AG23" s="4" t="inlineStr">
        <is>
          <t>Back Calculation Mean</t>
        </is>
      </c>
      <c r="AH23" s="4" t="inlineStr">
        <is>
          <t>Back Calculation %CV</t>
        </is>
      </c>
      <c r="AI23" s="4" t="inlineStr">
        <is>
          <t>Back Calculation SD</t>
        </is>
      </c>
      <c r="AJ23" s="4" t="inlineStr">
        <is>
          <t>Back Calculation % difference</t>
        </is>
      </c>
      <c r="AK23" s="4" t="inlineStr">
        <is>
          <t>Back Calculation % difference Mean</t>
        </is>
      </c>
      <c r="AL23" s="35" t="inlineStr">
        <is>
          <t>Fit</t>
        </is>
      </c>
      <c r="AM23" s="4" t="inlineStr">
        <is>
          <t>Amplification Efficiency</t>
        </is>
      </c>
      <c r="AN23" s="35" t="inlineStr">
        <is>
          <t>Amplification Status</t>
        </is>
      </c>
      <c r="AO23" s="35" t="inlineStr">
        <is>
          <t>AMPNC</t>
        </is>
      </c>
      <c r="AP23" s="35" t="inlineStr">
        <is>
          <t>NOAMP</t>
        </is>
      </c>
      <c r="AQ23" s="35" t="inlineStr">
        <is>
          <t>EXPFAIL</t>
        </is>
      </c>
      <c r="AR23" s="4" t="inlineStr">
        <is>
          <t>Protein Concentration</t>
        </is>
      </c>
      <c r="AS23" s="35" t="inlineStr">
        <is>
          <t>CQCONF</t>
        </is>
      </c>
    </row>
    <row r="24">
      <c r="A24" s="2" t="inlineStr">
        <is>
          <t>A1</t>
        </is>
      </c>
      <c r="B24" s="2" t="n">
        <v>1</v>
      </c>
      <c r="C24" s="2" t="inlineStr">
        <is>
          <t>NTC</t>
        </is>
      </c>
      <c r="D24" s="2" t="inlineStr">
        <is>
          <t>NTC</t>
        </is>
      </c>
      <c r="E24" s="2" t="inlineStr">
        <is>
          <t>CHO</t>
        </is>
      </c>
      <c r="F24" s="2" t="inlineStr">
        <is>
          <t>Undetermined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n">
        <v>1</v>
      </c>
      <c r="O24" s="2" t="inlineStr"/>
      <c r="P24" s="2" t="inlineStr"/>
      <c r="Q24" s="2" t="n">
        <v>0.9998</v>
      </c>
      <c r="R24" s="2" t="n">
        <v>-3.3008</v>
      </c>
      <c r="S24" s="2" t="n">
        <v>21.3153</v>
      </c>
      <c r="T24" s="2" t="n">
        <v>0</v>
      </c>
      <c r="U24" s="2" t="inlineStr"/>
      <c r="V24" s="2" t="n">
        <v>0</v>
      </c>
      <c r="W24" s="2" t="n">
        <v>0.207</v>
      </c>
      <c r="X24" s="2" t="inlineStr">
        <is>
          <t>true</t>
        </is>
      </c>
      <c r="Y24" s="2" t="n">
        <v>0</v>
      </c>
      <c r="Z24" s="2" t="inlineStr">
        <is>
          <t>Yes</t>
        </is>
      </c>
      <c r="AA24" s="2" t="n">
        <v>3</v>
      </c>
      <c r="AB24" s="2" t="n">
        <v>39</v>
      </c>
      <c r="AC24" s="2" t="inlineStr"/>
      <c r="AD24" s="2" t="inlineStr"/>
      <c r="AE24" s="2" t="n">
        <v>0</v>
      </c>
      <c r="AF24" s="2" t="inlineStr"/>
      <c r="AG24" s="2" t="inlineStr"/>
      <c r="AH24" s="2" t="inlineStr"/>
      <c r="AI24" s="2" t="inlineStr"/>
      <c r="AJ24" s="2" t="inlineStr"/>
      <c r="AK24" s="2" t="inlineStr"/>
      <c r="AL24" s="2" t="inlineStr">
        <is>
          <t>Linear</t>
        </is>
      </c>
      <c r="AM24" s="2" t="n">
        <v>100.89</v>
      </c>
      <c r="AN24" s="2" t="inlineStr">
        <is>
          <t>No Amp</t>
        </is>
      </c>
      <c r="AO24" s="2" t="inlineStr">
        <is>
          <t>N</t>
        </is>
      </c>
      <c r="AP24" s="2" t="inlineStr">
        <is>
          <t>N</t>
        </is>
      </c>
      <c r="AQ24" s="2" t="inlineStr">
        <is>
          <t>N</t>
        </is>
      </c>
      <c r="AR24" s="2" t="inlineStr"/>
      <c r="AS24" s="2" t="inlineStr">
        <is>
          <t>N</t>
        </is>
      </c>
    </row>
    <row r="25">
      <c r="A25" s="1" t="inlineStr">
        <is>
          <t>A2</t>
        </is>
      </c>
      <c r="B25" s="1" t="n">
        <v>2</v>
      </c>
      <c r="C25" s="1" t="inlineStr">
        <is>
          <t>NTC</t>
        </is>
      </c>
      <c r="D25" s="1" t="inlineStr">
        <is>
          <t>NTC</t>
        </is>
      </c>
      <c r="E25" s="1" t="inlineStr">
        <is>
          <t>CHO</t>
        </is>
      </c>
      <c r="F25" s="1" t="inlineStr">
        <is>
          <t>Undetermined</t>
        </is>
      </c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n">
        <v>1</v>
      </c>
      <c r="O25" s="1" t="inlineStr"/>
      <c r="P25" s="1" t="inlineStr"/>
      <c r="Q25" s="1" t="n">
        <v>0.9998</v>
      </c>
      <c r="R25" s="1" t="n">
        <v>-3.3008</v>
      </c>
      <c r="S25" s="1" t="n">
        <v>21.3153</v>
      </c>
      <c r="T25" s="1" t="n">
        <v>0</v>
      </c>
      <c r="U25" s="1" t="inlineStr"/>
      <c r="V25" s="1" t="n">
        <v>0</v>
      </c>
      <c r="W25" s="1" t="n">
        <v>0.207</v>
      </c>
      <c r="X25" s="1" t="inlineStr">
        <is>
          <t>true</t>
        </is>
      </c>
      <c r="Y25" s="1" t="n">
        <v>0</v>
      </c>
      <c r="Z25" s="1" t="inlineStr">
        <is>
          <t>Yes</t>
        </is>
      </c>
      <c r="AA25" s="1" t="n">
        <v>3</v>
      </c>
      <c r="AB25" s="1" t="n">
        <v>39</v>
      </c>
      <c r="AC25" s="1" t="inlineStr"/>
      <c r="AD25" s="1" t="inlineStr"/>
      <c r="AE25" s="1" t="n">
        <v>0</v>
      </c>
      <c r="AF25" s="1" t="inlineStr"/>
      <c r="AG25" s="1" t="inlineStr"/>
      <c r="AH25" s="1" t="inlineStr"/>
      <c r="AI25" s="1" t="inlineStr"/>
      <c r="AJ25" s="1" t="inlineStr"/>
      <c r="AK25" s="1" t="inlineStr"/>
      <c r="AL25" s="1" t="inlineStr">
        <is>
          <t>Linear</t>
        </is>
      </c>
      <c r="AM25" s="1" t="n">
        <v>100.89</v>
      </c>
      <c r="AN25" s="1" t="inlineStr">
        <is>
          <t>No Amp</t>
        </is>
      </c>
      <c r="AO25" s="1" t="inlineStr">
        <is>
          <t>N</t>
        </is>
      </c>
      <c r="AP25" s="1" t="inlineStr">
        <is>
          <t>N</t>
        </is>
      </c>
      <c r="AQ25" s="1" t="inlineStr">
        <is>
          <t>N</t>
        </is>
      </c>
      <c r="AR25" s="1" t="inlineStr"/>
      <c r="AS25" s="1" t="inlineStr">
        <is>
          <t>N</t>
        </is>
      </c>
    </row>
    <row r="26">
      <c r="A26" s="2" t="inlineStr">
        <is>
          <t>A3</t>
        </is>
      </c>
      <c r="B26" s="2" t="n">
        <v>3</v>
      </c>
      <c r="C26" s="2" t="inlineStr">
        <is>
          <t>NTC</t>
        </is>
      </c>
      <c r="D26" s="2" t="inlineStr">
        <is>
          <t>NTC</t>
        </is>
      </c>
      <c r="E26" s="2" t="inlineStr">
        <is>
          <t>CHO</t>
        </is>
      </c>
      <c r="F26" s="2" t="inlineStr">
        <is>
          <t>Undetermined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n">
        <v>1</v>
      </c>
      <c r="O26" s="2" t="inlineStr"/>
      <c r="P26" s="2" t="inlineStr"/>
      <c r="Q26" s="2" t="n">
        <v>0.9998</v>
      </c>
      <c r="R26" s="2" t="n">
        <v>-3.3008</v>
      </c>
      <c r="S26" s="2" t="n">
        <v>21.3153</v>
      </c>
      <c r="T26" s="2" t="n">
        <v>0</v>
      </c>
      <c r="U26" s="2" t="inlineStr"/>
      <c r="V26" s="2" t="n">
        <v>0</v>
      </c>
      <c r="W26" s="2" t="n">
        <v>0.207</v>
      </c>
      <c r="X26" s="2" t="inlineStr">
        <is>
          <t>true</t>
        </is>
      </c>
      <c r="Y26" s="2" t="n">
        <v>0</v>
      </c>
      <c r="Z26" s="2" t="inlineStr">
        <is>
          <t>Yes</t>
        </is>
      </c>
      <c r="AA26" s="2" t="n">
        <v>3</v>
      </c>
      <c r="AB26" s="2" t="n">
        <v>39</v>
      </c>
      <c r="AC26" s="2" t="inlineStr"/>
      <c r="AD26" s="2" t="inlineStr"/>
      <c r="AE26" s="2" t="n">
        <v>0</v>
      </c>
      <c r="AF26" s="2" t="inlineStr"/>
      <c r="AG26" s="2" t="inlineStr"/>
      <c r="AH26" s="2" t="inlineStr"/>
      <c r="AI26" s="2" t="inlineStr"/>
      <c r="AJ26" s="2" t="inlineStr"/>
      <c r="AK26" s="2" t="inlineStr"/>
      <c r="AL26" s="2" t="inlineStr">
        <is>
          <t>Linear</t>
        </is>
      </c>
      <c r="AM26" s="2" t="n">
        <v>100.89</v>
      </c>
      <c r="AN26" s="2" t="inlineStr">
        <is>
          <t>No Amp</t>
        </is>
      </c>
      <c r="AO26" s="2" t="inlineStr">
        <is>
          <t>N</t>
        </is>
      </c>
      <c r="AP26" s="2" t="inlineStr">
        <is>
          <t>N</t>
        </is>
      </c>
      <c r="AQ26" s="2" t="inlineStr">
        <is>
          <t>N</t>
        </is>
      </c>
      <c r="AR26" s="2" t="inlineStr"/>
      <c r="AS26" s="2" t="inlineStr">
        <is>
          <t>N</t>
        </is>
      </c>
    </row>
    <row r="27">
      <c r="A27" s="1" t="inlineStr">
        <is>
          <t>A4</t>
        </is>
      </c>
      <c r="B27" s="1" t="n">
        <v>4</v>
      </c>
      <c r="C27" s="1" t="inlineStr">
        <is>
          <t>UNKNOWN</t>
        </is>
      </c>
      <c r="D27" s="1" t="inlineStr">
        <is>
          <t>S1 D1</t>
        </is>
      </c>
      <c r="E27" s="1" t="inlineStr">
        <is>
          <t>CHO</t>
        </is>
      </c>
      <c r="F27" s="1" t="n">
        <v>32.3647</v>
      </c>
      <c r="G27" s="1" t="n">
        <v>32.5183</v>
      </c>
      <c r="H27" s="1" t="n">
        <v>0.8100000000000001</v>
      </c>
      <c r="I27" s="1" t="n">
        <v>0.2622</v>
      </c>
      <c r="J27" s="1" t="n">
        <v>0.0004</v>
      </c>
      <c r="K27" s="1" t="n">
        <v>0.0004</v>
      </c>
      <c r="L27" s="1" t="n">
        <v>0.0001</v>
      </c>
      <c r="M27" s="1" t="n">
        <v>17.24</v>
      </c>
      <c r="N27" s="1" t="n">
        <v>1</v>
      </c>
      <c r="O27" s="1" t="n">
        <v>0.0004</v>
      </c>
      <c r="P27" s="1" t="inlineStr"/>
      <c r="Q27" s="1" t="n">
        <v>0.9998</v>
      </c>
      <c r="R27" s="1" t="n">
        <v>-3.3008</v>
      </c>
      <c r="S27" s="1" t="n">
        <v>21.3153</v>
      </c>
      <c r="T27" s="1" t="n">
        <v>0.0004</v>
      </c>
      <c r="U27" s="1" t="n">
        <v>0.0002</v>
      </c>
      <c r="V27" s="1" t="n">
        <v>0</v>
      </c>
      <c r="W27" s="1" t="n">
        <v>0.207</v>
      </c>
      <c r="X27" s="1" t="inlineStr">
        <is>
          <t>true</t>
        </is>
      </c>
      <c r="Y27" s="1" t="n">
        <v>1</v>
      </c>
      <c r="Z27" s="1" t="inlineStr">
        <is>
          <t>Yes</t>
        </is>
      </c>
      <c r="AA27" s="1" t="n">
        <v>3</v>
      </c>
      <c r="AB27" s="1" t="n">
        <v>27</v>
      </c>
      <c r="AC27" s="1" t="n">
        <v>0</v>
      </c>
      <c r="AD27" s="1" t="n">
        <v>0.0004</v>
      </c>
      <c r="AE27" s="1" t="n">
        <v>0</v>
      </c>
      <c r="AF27" s="1" t="inlineStr"/>
      <c r="AG27" s="1" t="inlineStr"/>
      <c r="AH27" s="1" t="inlineStr"/>
      <c r="AI27" s="1" t="inlineStr"/>
      <c r="AJ27" s="1" t="inlineStr"/>
      <c r="AK27" s="1" t="inlineStr"/>
      <c r="AL27" s="1" t="inlineStr">
        <is>
          <t>Linear</t>
        </is>
      </c>
      <c r="AM27" s="1" t="n">
        <v>100.89</v>
      </c>
      <c r="AN27" s="1" t="inlineStr">
        <is>
          <t>Amplification</t>
        </is>
      </c>
      <c r="AO27" s="1" t="inlineStr">
        <is>
          <t>N</t>
        </is>
      </c>
      <c r="AP27" s="1" t="inlineStr">
        <is>
          <t>N</t>
        </is>
      </c>
      <c r="AQ27" s="1" t="inlineStr">
        <is>
          <t>N</t>
        </is>
      </c>
      <c r="AR27" s="1" t="n">
        <v>1.825</v>
      </c>
      <c r="AS27" s="1" t="inlineStr">
        <is>
          <t>N</t>
        </is>
      </c>
    </row>
    <row r="28">
      <c r="A28" s="2" t="inlineStr">
        <is>
          <t>A5</t>
        </is>
      </c>
      <c r="B28" s="2" t="n">
        <v>5</v>
      </c>
      <c r="C28" s="2" t="inlineStr">
        <is>
          <t>UNKNOWN</t>
        </is>
      </c>
      <c r="D28" s="2" t="inlineStr">
        <is>
          <t>S1 D1</t>
        </is>
      </c>
      <c r="E28" s="2" t="inlineStr">
        <is>
          <t>CHO</t>
        </is>
      </c>
      <c r="F28" s="2" t="n">
        <v>32.3692</v>
      </c>
      <c r="G28" s="2" t="n">
        <v>32.5183</v>
      </c>
      <c r="H28" s="2" t="n">
        <v>0.8100000000000001</v>
      </c>
      <c r="I28" s="2" t="n">
        <v>0.2622</v>
      </c>
      <c r="J28" s="2" t="n">
        <v>0.0004</v>
      </c>
      <c r="K28" s="2" t="n">
        <v>0.0004</v>
      </c>
      <c r="L28" s="2" t="n">
        <v>0.0001</v>
      </c>
      <c r="M28" s="2" t="n">
        <v>17.24</v>
      </c>
      <c r="N28" s="2" t="n">
        <v>1</v>
      </c>
      <c r="O28" s="2" t="n">
        <v>0.0004</v>
      </c>
      <c r="P28" s="2" t="inlineStr"/>
      <c r="Q28" s="2" t="n">
        <v>0.9998</v>
      </c>
      <c r="R28" s="2" t="n">
        <v>-3.3008</v>
      </c>
      <c r="S28" s="2" t="n">
        <v>21.3153</v>
      </c>
      <c r="T28" s="2" t="n">
        <v>0.0004</v>
      </c>
      <c r="U28" s="2" t="n">
        <v>0.0002</v>
      </c>
      <c r="V28" s="2" t="n">
        <v>0</v>
      </c>
      <c r="W28" s="2" t="n">
        <v>0.207</v>
      </c>
      <c r="X28" s="2" t="inlineStr">
        <is>
          <t>true</t>
        </is>
      </c>
      <c r="Y28" s="2" t="n">
        <v>1</v>
      </c>
      <c r="Z28" s="2" t="inlineStr">
        <is>
          <t>Yes</t>
        </is>
      </c>
      <c r="AA28" s="2" t="n">
        <v>3</v>
      </c>
      <c r="AB28" s="2" t="n">
        <v>28</v>
      </c>
      <c r="AC28" s="2" t="n">
        <v>0</v>
      </c>
      <c r="AD28" s="2" t="n">
        <v>0.0004</v>
      </c>
      <c r="AE28" s="2" t="n">
        <v>0</v>
      </c>
      <c r="AF28" s="2" t="inlineStr"/>
      <c r="AG28" s="2" t="inlineStr"/>
      <c r="AH28" s="2" t="inlineStr"/>
      <c r="AI28" s="2" t="inlineStr"/>
      <c r="AJ28" s="2" t="inlineStr"/>
      <c r="AK28" s="2" t="inlineStr"/>
      <c r="AL28" s="2" t="inlineStr">
        <is>
          <t>Linear</t>
        </is>
      </c>
      <c r="AM28" s="2" t="n">
        <v>100.89</v>
      </c>
      <c r="AN28" s="2" t="inlineStr">
        <is>
          <t>Amplification</t>
        </is>
      </c>
      <c r="AO28" s="2" t="inlineStr">
        <is>
          <t>N</t>
        </is>
      </c>
      <c r="AP28" s="2" t="inlineStr">
        <is>
          <t>N</t>
        </is>
      </c>
      <c r="AQ28" s="2" t="inlineStr">
        <is>
          <t>N</t>
        </is>
      </c>
      <c r="AR28" s="2" t="n">
        <v>1.825</v>
      </c>
      <c r="AS28" s="2" t="inlineStr">
        <is>
          <t>N</t>
        </is>
      </c>
    </row>
    <row r="29">
      <c r="A29" s="1" t="inlineStr">
        <is>
          <t>A6</t>
        </is>
      </c>
      <c r="B29" s="1" t="n">
        <v>6</v>
      </c>
      <c r="C29" s="1" t="inlineStr">
        <is>
          <t>UNKNOWN</t>
        </is>
      </c>
      <c r="D29" s="1" t="inlineStr">
        <is>
          <t>S1 D1</t>
        </is>
      </c>
      <c r="E29" s="1" t="inlineStr">
        <is>
          <t>CHO</t>
        </is>
      </c>
      <c r="F29" s="1" t="n">
        <v>32.8211</v>
      </c>
      <c r="G29" s="1" t="n">
        <v>32.5183</v>
      </c>
      <c r="H29" s="1" t="n">
        <v>0.8100000000000001</v>
      </c>
      <c r="I29" s="1" t="n">
        <v>0.2622</v>
      </c>
      <c r="J29" s="1" t="n">
        <v>0.0003</v>
      </c>
      <c r="K29" s="1" t="n">
        <v>0.0004</v>
      </c>
      <c r="L29" s="1" t="n">
        <v>0.0001</v>
      </c>
      <c r="M29" s="1" t="n">
        <v>17.24</v>
      </c>
      <c r="N29" s="1" t="n">
        <v>1</v>
      </c>
      <c r="O29" s="1" t="n">
        <v>0.0004</v>
      </c>
      <c r="P29" s="1" t="inlineStr"/>
      <c r="Q29" s="1" t="n">
        <v>0.9998</v>
      </c>
      <c r="R29" s="1" t="n">
        <v>-3.3008</v>
      </c>
      <c r="S29" s="1" t="n">
        <v>21.3153</v>
      </c>
      <c r="T29" s="1" t="n">
        <v>0.0004</v>
      </c>
      <c r="U29" s="1" t="n">
        <v>0.0002</v>
      </c>
      <c r="V29" s="1" t="n">
        <v>0</v>
      </c>
      <c r="W29" s="1" t="n">
        <v>0.207</v>
      </c>
      <c r="X29" s="1" t="inlineStr">
        <is>
          <t>true</t>
        </is>
      </c>
      <c r="Y29" s="1" t="n">
        <v>1</v>
      </c>
      <c r="Z29" s="1" t="inlineStr">
        <is>
          <t>Yes</t>
        </is>
      </c>
      <c r="AA29" s="1" t="n">
        <v>3</v>
      </c>
      <c r="AB29" s="1" t="n">
        <v>26</v>
      </c>
      <c r="AC29" s="1" t="n">
        <v>0</v>
      </c>
      <c r="AD29" s="1" t="n">
        <v>0.0004</v>
      </c>
      <c r="AE29" s="1" t="n">
        <v>0</v>
      </c>
      <c r="AF29" s="1" t="inlineStr"/>
      <c r="AG29" s="1" t="inlineStr"/>
      <c r="AH29" s="1" t="inlineStr"/>
      <c r="AI29" s="1" t="inlineStr"/>
      <c r="AJ29" s="1" t="inlineStr"/>
      <c r="AK29" s="1" t="inlineStr"/>
      <c r="AL29" s="1" t="inlineStr">
        <is>
          <t>Linear</t>
        </is>
      </c>
      <c r="AM29" s="1" t="n">
        <v>100.89</v>
      </c>
      <c r="AN29" s="1" t="inlineStr">
        <is>
          <t>Amplification</t>
        </is>
      </c>
      <c r="AO29" s="1" t="inlineStr">
        <is>
          <t>N</t>
        </is>
      </c>
      <c r="AP29" s="1" t="inlineStr">
        <is>
          <t>N</t>
        </is>
      </c>
      <c r="AQ29" s="1" t="inlineStr">
        <is>
          <t>N</t>
        </is>
      </c>
      <c r="AR29" s="1" t="n">
        <v>1.825</v>
      </c>
      <c r="AS29" s="1" t="inlineStr">
        <is>
          <t>N</t>
        </is>
      </c>
    </row>
    <row r="30">
      <c r="A30" s="2" t="inlineStr">
        <is>
          <t>A7</t>
        </is>
      </c>
      <c r="B30" s="2" t="n">
        <v>7</v>
      </c>
      <c r="C30" s="2" t="inlineStr">
        <is>
          <t>UNKNOWN</t>
        </is>
      </c>
      <c r="D30" s="2" t="inlineStr">
        <is>
          <t>ERC - 60</t>
        </is>
      </c>
      <c r="E30" s="2" t="inlineStr">
        <is>
          <t>CHO</t>
        </is>
      </c>
      <c r="F30" s="2" t="n">
        <v>15.9329</v>
      </c>
      <c r="G30" s="2" t="n">
        <v>15.9407</v>
      </c>
      <c r="H30" s="2" t="n">
        <v>0.28</v>
      </c>
      <c r="I30" s="2" t="n">
        <v>0.044</v>
      </c>
      <c r="J30" s="2" t="n">
        <v>42.7195</v>
      </c>
      <c r="K30" s="2" t="n">
        <v>42.5016</v>
      </c>
      <c r="L30" s="2" t="n">
        <v>1.2996</v>
      </c>
      <c r="M30" s="2" t="n">
        <v>3.06</v>
      </c>
      <c r="N30" s="2" t="n">
        <v>1</v>
      </c>
      <c r="O30" s="2" t="n">
        <v>42.5016</v>
      </c>
      <c r="P30" s="2" t="n">
        <v>70.84</v>
      </c>
      <c r="Q30" s="2" t="n">
        <v>0.9998</v>
      </c>
      <c r="R30" s="2" t="n">
        <v>-3.3008</v>
      </c>
      <c r="S30" s="2" t="n">
        <v>21.3153</v>
      </c>
      <c r="T30" s="2" t="n">
        <v>42.5016</v>
      </c>
      <c r="U30" s="2" t="inlineStr"/>
      <c r="V30" s="2" t="n">
        <v>0</v>
      </c>
      <c r="W30" s="2" t="n">
        <v>0.207</v>
      </c>
      <c r="X30" s="2" t="inlineStr">
        <is>
          <t>true</t>
        </is>
      </c>
      <c r="Y30" s="2" t="n">
        <v>1</v>
      </c>
      <c r="Z30" s="2" t="inlineStr">
        <is>
          <t>Yes</t>
        </is>
      </c>
      <c r="AA30" s="2" t="n">
        <v>3</v>
      </c>
      <c r="AB30" s="2" t="n">
        <v>10</v>
      </c>
      <c r="AC30" s="2" t="n">
        <v>0</v>
      </c>
      <c r="AD30" s="2" t="n">
        <v>42.5016</v>
      </c>
      <c r="AE30" s="2" t="n">
        <v>60</v>
      </c>
      <c r="AF30" s="2" t="inlineStr"/>
      <c r="AG30" s="2" t="inlineStr"/>
      <c r="AH30" s="2" t="inlineStr"/>
      <c r="AI30" s="2" t="inlineStr"/>
      <c r="AJ30" s="2" t="inlineStr"/>
      <c r="AK30" s="2" t="inlineStr"/>
      <c r="AL30" s="2" t="inlineStr">
        <is>
          <t>Linear</t>
        </is>
      </c>
      <c r="AM30" s="2" t="n">
        <v>100.89</v>
      </c>
      <c r="AN30" s="2" t="inlineStr">
        <is>
          <t>Amplification</t>
        </is>
      </c>
      <c r="AO30" s="2" t="inlineStr">
        <is>
          <t>N</t>
        </is>
      </c>
      <c r="AP30" s="2" t="inlineStr">
        <is>
          <t>N</t>
        </is>
      </c>
      <c r="AQ30" s="2" t="inlineStr">
        <is>
          <t>N</t>
        </is>
      </c>
      <c r="AR30" s="2" t="inlineStr"/>
      <c r="AS30" s="2" t="inlineStr">
        <is>
          <t>N</t>
        </is>
      </c>
    </row>
    <row r="31">
      <c r="A31" s="1" t="inlineStr">
        <is>
          <t>A8</t>
        </is>
      </c>
      <c r="B31" s="1" t="n">
        <v>8</v>
      </c>
      <c r="C31" s="1" t="inlineStr">
        <is>
          <t>UNKNOWN</t>
        </is>
      </c>
      <c r="D31" s="1" t="inlineStr">
        <is>
          <t>ERC - 60</t>
        </is>
      </c>
      <c r="E31" s="1" t="inlineStr">
        <is>
          <t>CHO</t>
        </is>
      </c>
      <c r="F31" s="1" t="n">
        <v>15.9881</v>
      </c>
      <c r="G31" s="1" t="n">
        <v>15.9407</v>
      </c>
      <c r="H31" s="1" t="n">
        <v>0.28</v>
      </c>
      <c r="I31" s="1" t="n">
        <v>0.044</v>
      </c>
      <c r="J31" s="1" t="n">
        <v>41.1069</v>
      </c>
      <c r="K31" s="1" t="n">
        <v>42.5016</v>
      </c>
      <c r="L31" s="1" t="n">
        <v>1.2996</v>
      </c>
      <c r="M31" s="1" t="n">
        <v>3.06</v>
      </c>
      <c r="N31" s="1" t="n">
        <v>1</v>
      </c>
      <c r="O31" s="1" t="n">
        <v>42.5016</v>
      </c>
      <c r="P31" s="1" t="n">
        <v>70.84</v>
      </c>
      <c r="Q31" s="1" t="n">
        <v>0.9998</v>
      </c>
      <c r="R31" s="1" t="n">
        <v>-3.3008</v>
      </c>
      <c r="S31" s="1" t="n">
        <v>21.3153</v>
      </c>
      <c r="T31" s="1" t="n">
        <v>42.5016</v>
      </c>
      <c r="U31" s="1" t="inlineStr"/>
      <c r="V31" s="1" t="n">
        <v>0</v>
      </c>
      <c r="W31" s="1" t="n">
        <v>0.207</v>
      </c>
      <c r="X31" s="1" t="inlineStr">
        <is>
          <t>true</t>
        </is>
      </c>
      <c r="Y31" s="1" t="n">
        <v>1</v>
      </c>
      <c r="Z31" s="1" t="inlineStr">
        <is>
          <t>Yes</t>
        </is>
      </c>
      <c r="AA31" s="1" t="n">
        <v>3</v>
      </c>
      <c r="AB31" s="1" t="n">
        <v>11</v>
      </c>
      <c r="AC31" s="1" t="n">
        <v>0</v>
      </c>
      <c r="AD31" s="1" t="n">
        <v>42.5016</v>
      </c>
      <c r="AE31" s="1" t="n">
        <v>60</v>
      </c>
      <c r="AF31" s="1" t="inlineStr"/>
      <c r="AG31" s="1" t="inlineStr"/>
      <c r="AH31" s="1" t="inlineStr"/>
      <c r="AI31" s="1" t="inlineStr"/>
      <c r="AJ31" s="1" t="inlineStr"/>
      <c r="AK31" s="1" t="inlineStr"/>
      <c r="AL31" s="1" t="inlineStr">
        <is>
          <t>Linear</t>
        </is>
      </c>
      <c r="AM31" s="1" t="n">
        <v>100.89</v>
      </c>
      <c r="AN31" s="1" t="inlineStr">
        <is>
          <t>Amplification</t>
        </is>
      </c>
      <c r="AO31" s="1" t="inlineStr">
        <is>
          <t>N</t>
        </is>
      </c>
      <c r="AP31" s="1" t="inlineStr">
        <is>
          <t>N</t>
        </is>
      </c>
      <c r="AQ31" s="1" t="inlineStr">
        <is>
          <t>N</t>
        </is>
      </c>
      <c r="AR31" s="1" t="inlineStr"/>
      <c r="AS31" s="1" t="inlineStr">
        <is>
          <t>N</t>
        </is>
      </c>
    </row>
    <row r="32">
      <c r="A32" s="2" t="inlineStr">
        <is>
          <t>A9</t>
        </is>
      </c>
      <c r="B32" s="2" t="n">
        <v>9</v>
      </c>
      <c r="C32" s="2" t="inlineStr">
        <is>
          <t>UNKNOWN</t>
        </is>
      </c>
      <c r="D32" s="2" t="inlineStr">
        <is>
          <t>ERC - 60</t>
        </is>
      </c>
      <c r="E32" s="2" t="inlineStr">
        <is>
          <t>CHO</t>
        </is>
      </c>
      <c r="F32" s="2" t="n">
        <v>15.9011</v>
      </c>
      <c r="G32" s="2" t="n">
        <v>15.9407</v>
      </c>
      <c r="H32" s="2" t="n">
        <v>0.28</v>
      </c>
      <c r="I32" s="2" t="n">
        <v>0.044</v>
      </c>
      <c r="J32" s="2" t="n">
        <v>43.6785</v>
      </c>
      <c r="K32" s="2" t="n">
        <v>42.5016</v>
      </c>
      <c r="L32" s="2" t="n">
        <v>1.2996</v>
      </c>
      <c r="M32" s="2" t="n">
        <v>3.06</v>
      </c>
      <c r="N32" s="2" t="n">
        <v>1</v>
      </c>
      <c r="O32" s="2" t="n">
        <v>42.5016</v>
      </c>
      <c r="P32" s="2" t="n">
        <v>70.84</v>
      </c>
      <c r="Q32" s="2" t="n">
        <v>0.9998</v>
      </c>
      <c r="R32" s="2" t="n">
        <v>-3.3008</v>
      </c>
      <c r="S32" s="2" t="n">
        <v>21.3153</v>
      </c>
      <c r="T32" s="2" t="n">
        <v>42.5016</v>
      </c>
      <c r="U32" s="2" t="inlineStr"/>
      <c r="V32" s="2" t="n">
        <v>0</v>
      </c>
      <c r="W32" s="2" t="n">
        <v>0.207</v>
      </c>
      <c r="X32" s="2" t="inlineStr">
        <is>
          <t>true</t>
        </is>
      </c>
      <c r="Y32" s="2" t="n">
        <v>1</v>
      </c>
      <c r="Z32" s="2" t="inlineStr">
        <is>
          <t>Yes</t>
        </is>
      </c>
      <c r="AA32" s="2" t="n">
        <v>3</v>
      </c>
      <c r="AB32" s="2" t="n">
        <v>9</v>
      </c>
      <c r="AC32" s="2" t="n">
        <v>0</v>
      </c>
      <c r="AD32" s="2" t="n">
        <v>42.5016</v>
      </c>
      <c r="AE32" s="2" t="n">
        <v>60</v>
      </c>
      <c r="AF32" s="2" t="inlineStr"/>
      <c r="AG32" s="2" t="inlineStr"/>
      <c r="AH32" s="2" t="inlineStr"/>
      <c r="AI32" s="2" t="inlineStr"/>
      <c r="AJ32" s="2" t="inlineStr"/>
      <c r="AK32" s="2" t="inlineStr"/>
      <c r="AL32" s="2" t="inlineStr">
        <is>
          <t>Linear</t>
        </is>
      </c>
      <c r="AM32" s="2" t="n">
        <v>100.89</v>
      </c>
      <c r="AN32" s="2" t="inlineStr">
        <is>
          <t>Amplification</t>
        </is>
      </c>
      <c r="AO32" s="2" t="inlineStr">
        <is>
          <t>N</t>
        </is>
      </c>
      <c r="AP32" s="2" t="inlineStr">
        <is>
          <t>N</t>
        </is>
      </c>
      <c r="AQ32" s="2" t="inlineStr">
        <is>
          <t>N</t>
        </is>
      </c>
      <c r="AR32" s="2" t="inlineStr"/>
      <c r="AS32" s="2" t="inlineStr">
        <is>
          <t>N</t>
        </is>
      </c>
    </row>
    <row r="33">
      <c r="A33" s="1" t="inlineStr">
        <is>
          <t>A10</t>
        </is>
      </c>
      <c r="B33" s="1" t="n">
        <v>10</v>
      </c>
      <c r="C33" s="1" t="inlineStr">
        <is>
          <t>STANDARD</t>
        </is>
      </c>
      <c r="D33" s="1" t="inlineStr">
        <is>
          <t>STD 300</t>
        </is>
      </c>
      <c r="E33" s="1" t="inlineStr">
        <is>
          <t>CHO</t>
        </is>
      </c>
      <c r="F33" s="1" t="n">
        <v>13.2588</v>
      </c>
      <c r="G33" s="1" t="n">
        <v>13.1972</v>
      </c>
      <c r="H33" s="1" t="n">
        <v>0.46</v>
      </c>
      <c r="I33" s="1" t="n">
        <v>0.0605</v>
      </c>
      <c r="J33" s="1" t="n">
        <v>300</v>
      </c>
      <c r="K33" s="1" t="inlineStr"/>
      <c r="L33" s="1" t="inlineStr"/>
      <c r="M33" s="1" t="inlineStr"/>
      <c r="N33" s="1" t="n">
        <v>1</v>
      </c>
      <c r="O33" s="1" t="inlineStr"/>
      <c r="P33" s="1" t="inlineStr"/>
      <c r="Q33" s="1" t="n">
        <v>0.9998</v>
      </c>
      <c r="R33" s="1" t="n">
        <v>-3.3008</v>
      </c>
      <c r="S33" s="1" t="n">
        <v>21.3153</v>
      </c>
      <c r="T33" s="1" t="n">
        <v>0</v>
      </c>
      <c r="U33" s="1" t="inlineStr"/>
      <c r="V33" s="1" t="n">
        <v>0</v>
      </c>
      <c r="W33" s="1" t="n">
        <v>0.207</v>
      </c>
      <c r="X33" s="1" t="inlineStr">
        <is>
          <t>true</t>
        </is>
      </c>
      <c r="Y33" s="1" t="n">
        <v>1</v>
      </c>
      <c r="Z33" s="1" t="inlineStr">
        <is>
          <t>Yes</t>
        </is>
      </c>
      <c r="AA33" s="1" t="n">
        <v>3</v>
      </c>
      <c r="AB33" s="1" t="n">
        <v>9</v>
      </c>
      <c r="AC33" s="1" t="inlineStr"/>
      <c r="AD33" s="1" t="inlineStr"/>
      <c r="AE33" s="1" t="n">
        <v>0</v>
      </c>
      <c r="AF33" s="1" t="n">
        <v>275.9091</v>
      </c>
      <c r="AG33" s="1" t="n">
        <v>288.2029</v>
      </c>
      <c r="AH33" s="1" t="n">
        <v>4.21</v>
      </c>
      <c r="AI33" s="1" t="n">
        <v>12.1357</v>
      </c>
      <c r="AJ33" s="1" t="n">
        <v>8.029999999999999</v>
      </c>
      <c r="AK33" s="1" t="n">
        <v>3.9324</v>
      </c>
      <c r="AL33" s="1" t="inlineStr">
        <is>
          <t>Linear</t>
        </is>
      </c>
      <c r="AM33" s="1" t="n">
        <v>100.89</v>
      </c>
      <c r="AN33" s="1" t="inlineStr">
        <is>
          <t>Amplification</t>
        </is>
      </c>
      <c r="AO33" s="1" t="inlineStr">
        <is>
          <t>N</t>
        </is>
      </c>
      <c r="AP33" s="1" t="inlineStr">
        <is>
          <t>N</t>
        </is>
      </c>
      <c r="AQ33" s="1" t="inlineStr">
        <is>
          <t>N</t>
        </is>
      </c>
      <c r="AR33" s="1" t="inlineStr"/>
      <c r="AS33" s="1" t="inlineStr">
        <is>
          <t>N</t>
        </is>
      </c>
    </row>
    <row r="34">
      <c r="A34" s="2" t="inlineStr">
        <is>
          <t>A11</t>
        </is>
      </c>
      <c r="B34" s="2" t="n">
        <v>11</v>
      </c>
      <c r="C34" s="2" t="inlineStr">
        <is>
          <t>STANDARD</t>
        </is>
      </c>
      <c r="D34" s="2" t="inlineStr">
        <is>
          <t>STD 300</t>
        </is>
      </c>
      <c r="E34" s="2" t="inlineStr">
        <is>
          <t>CHO</t>
        </is>
      </c>
      <c r="F34" s="2" t="n">
        <v>13.1947</v>
      </c>
      <c r="G34" s="2" t="n">
        <v>13.1972</v>
      </c>
      <c r="H34" s="2" t="n">
        <v>0.46</v>
      </c>
      <c r="I34" s="2" t="n">
        <v>0.0605</v>
      </c>
      <c r="J34" s="2" t="n">
        <v>300</v>
      </c>
      <c r="K34" s="2" t="inlineStr"/>
      <c r="L34" s="2" t="inlineStr"/>
      <c r="M34" s="2" t="inlineStr"/>
      <c r="N34" s="2" t="n">
        <v>1</v>
      </c>
      <c r="O34" s="2" t="inlineStr"/>
      <c r="P34" s="2" t="inlineStr"/>
      <c r="Q34" s="2" t="n">
        <v>0.9998</v>
      </c>
      <c r="R34" s="2" t="n">
        <v>-3.3008</v>
      </c>
      <c r="S34" s="2" t="n">
        <v>21.3153</v>
      </c>
      <c r="T34" s="2" t="n">
        <v>0</v>
      </c>
      <c r="U34" s="2" t="inlineStr"/>
      <c r="V34" s="2" t="n">
        <v>0</v>
      </c>
      <c r="W34" s="2" t="n">
        <v>0.207</v>
      </c>
      <c r="X34" s="2" t="inlineStr">
        <is>
          <t>true</t>
        </is>
      </c>
      <c r="Y34" s="2" t="n">
        <v>1</v>
      </c>
      <c r="Z34" s="2" t="inlineStr">
        <is>
          <t>Yes</t>
        </is>
      </c>
      <c r="AA34" s="2" t="n">
        <v>3</v>
      </c>
      <c r="AB34" s="2" t="n">
        <v>9</v>
      </c>
      <c r="AC34" s="2" t="inlineStr"/>
      <c r="AD34" s="2" t="inlineStr"/>
      <c r="AE34" s="2" t="n">
        <v>0</v>
      </c>
      <c r="AF34" s="2" t="n">
        <v>288.5257</v>
      </c>
      <c r="AG34" s="2" t="n">
        <v>288.2029</v>
      </c>
      <c r="AH34" s="2" t="n">
        <v>4.21</v>
      </c>
      <c r="AI34" s="2" t="n">
        <v>12.1357</v>
      </c>
      <c r="AJ34" s="2" t="n">
        <v>3.82</v>
      </c>
      <c r="AK34" s="2" t="n">
        <v>3.9324</v>
      </c>
      <c r="AL34" s="2" t="inlineStr">
        <is>
          <t>Linear</t>
        </is>
      </c>
      <c r="AM34" s="2" t="n">
        <v>100.89</v>
      </c>
      <c r="AN34" s="2" t="inlineStr">
        <is>
          <t>Amplification</t>
        </is>
      </c>
      <c r="AO34" s="2" t="inlineStr">
        <is>
          <t>N</t>
        </is>
      </c>
      <c r="AP34" s="2" t="inlineStr">
        <is>
          <t>N</t>
        </is>
      </c>
      <c r="AQ34" s="2" t="inlineStr">
        <is>
          <t>N</t>
        </is>
      </c>
      <c r="AR34" s="2" t="inlineStr"/>
      <c r="AS34" s="2" t="inlineStr">
        <is>
          <t>N</t>
        </is>
      </c>
    </row>
    <row r="35">
      <c r="A35" s="1" t="inlineStr">
        <is>
          <t>A12</t>
        </is>
      </c>
      <c r="B35" s="1" t="n">
        <v>12</v>
      </c>
      <c r="C35" s="1" t="inlineStr">
        <is>
          <t>STANDARD</t>
        </is>
      </c>
      <c r="D35" s="1" t="inlineStr">
        <is>
          <t>STD 300</t>
        </is>
      </c>
      <c r="E35" s="1" t="inlineStr">
        <is>
          <t>CHO</t>
        </is>
      </c>
      <c r="F35" s="1" t="n">
        <v>13.138</v>
      </c>
      <c r="G35" s="1" t="n">
        <v>13.1972</v>
      </c>
      <c r="H35" s="1" t="n">
        <v>0.46</v>
      </c>
      <c r="I35" s="1" t="n">
        <v>0.0605</v>
      </c>
      <c r="J35" s="1" t="n">
        <v>300</v>
      </c>
      <c r="K35" s="1" t="inlineStr"/>
      <c r="L35" s="1" t="inlineStr"/>
      <c r="M35" s="1" t="inlineStr"/>
      <c r="N35" s="1" t="n">
        <v>1</v>
      </c>
      <c r="O35" s="1" t="inlineStr"/>
      <c r="P35" s="1" t="inlineStr"/>
      <c r="Q35" s="1" t="n">
        <v>0.9998</v>
      </c>
      <c r="R35" s="1" t="n">
        <v>-3.3008</v>
      </c>
      <c r="S35" s="1" t="n">
        <v>21.3153</v>
      </c>
      <c r="T35" s="1" t="n">
        <v>0</v>
      </c>
      <c r="U35" s="1" t="inlineStr"/>
      <c r="V35" s="1" t="n">
        <v>0</v>
      </c>
      <c r="W35" s="1" t="n">
        <v>0.207</v>
      </c>
      <c r="X35" s="1" t="inlineStr">
        <is>
          <t>true</t>
        </is>
      </c>
      <c r="Y35" s="1" t="n">
        <v>1</v>
      </c>
      <c r="Z35" s="1" t="inlineStr">
        <is>
          <t>Yes</t>
        </is>
      </c>
      <c r="AA35" s="1" t="n">
        <v>3</v>
      </c>
      <c r="AB35" s="1" t="n">
        <v>8</v>
      </c>
      <c r="AC35" s="1" t="inlineStr"/>
      <c r="AD35" s="1" t="inlineStr"/>
      <c r="AE35" s="1" t="n">
        <v>0</v>
      </c>
      <c r="AF35" s="1" t="n">
        <v>300.174</v>
      </c>
      <c r="AG35" s="1" t="n">
        <v>288.2029</v>
      </c>
      <c r="AH35" s="1" t="n">
        <v>4.21</v>
      </c>
      <c r="AI35" s="1" t="n">
        <v>12.1357</v>
      </c>
      <c r="AJ35" s="1" t="n">
        <v>-0.06</v>
      </c>
      <c r="AK35" s="1" t="n">
        <v>3.9324</v>
      </c>
      <c r="AL35" s="1" t="inlineStr">
        <is>
          <t>Linear</t>
        </is>
      </c>
      <c r="AM35" s="1" t="n">
        <v>100.89</v>
      </c>
      <c r="AN35" s="1" t="inlineStr">
        <is>
          <t>Amplification</t>
        </is>
      </c>
      <c r="AO35" s="1" t="inlineStr">
        <is>
          <t>N</t>
        </is>
      </c>
      <c r="AP35" s="1" t="inlineStr">
        <is>
          <t>N</t>
        </is>
      </c>
      <c r="AQ35" s="1" t="inlineStr">
        <is>
          <t>N</t>
        </is>
      </c>
      <c r="AR35" s="1" t="inlineStr"/>
      <c r="AS35" s="1" t="inlineStr">
        <is>
          <t>N</t>
        </is>
      </c>
    </row>
    <row r="36">
      <c r="A36" s="2" t="inlineStr">
        <is>
          <t>B1</t>
        </is>
      </c>
      <c r="B36" s="2" t="n">
        <v>13</v>
      </c>
      <c r="C36" s="2" t="inlineStr">
        <is>
          <t>NTC</t>
        </is>
      </c>
      <c r="D36" s="2" t="inlineStr">
        <is>
          <t>NEC - FB</t>
        </is>
      </c>
      <c r="E36" s="2" t="inlineStr">
        <is>
          <t>CHO</t>
        </is>
      </c>
      <c r="F36" s="2" t="n">
        <v>28.6104</v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n">
        <v>1</v>
      </c>
      <c r="O36" s="2" t="inlineStr"/>
      <c r="P36" s="2" t="inlineStr"/>
      <c r="Q36" s="2" t="n">
        <v>0.9998</v>
      </c>
      <c r="R36" s="2" t="n">
        <v>-3.3008</v>
      </c>
      <c r="S36" s="2" t="n">
        <v>21.3153</v>
      </c>
      <c r="T36" s="2" t="n">
        <v>0</v>
      </c>
      <c r="U36" s="2" t="inlineStr"/>
      <c r="V36" s="2" t="n">
        <v>1</v>
      </c>
      <c r="W36" s="2" t="n">
        <v>0.207</v>
      </c>
      <c r="X36" s="2" t="inlineStr">
        <is>
          <t>true</t>
        </is>
      </c>
      <c r="Y36" s="2" t="n">
        <v>1</v>
      </c>
      <c r="Z36" s="2" t="inlineStr">
        <is>
          <t>Yes</t>
        </is>
      </c>
      <c r="AA36" s="2" t="n">
        <v>3</v>
      </c>
      <c r="AB36" s="2" t="n">
        <v>23</v>
      </c>
      <c r="AC36" s="2" t="inlineStr"/>
      <c r="AD36" s="2" t="inlineStr"/>
      <c r="AE36" s="2" t="n">
        <v>0</v>
      </c>
      <c r="AF36" s="2" t="inlineStr"/>
      <c r="AG36" s="2" t="inlineStr"/>
      <c r="AH36" s="2" t="inlineStr"/>
      <c r="AI36" s="2" t="inlineStr"/>
      <c r="AJ36" s="2" t="inlineStr"/>
      <c r="AK36" s="2" t="inlineStr"/>
      <c r="AL36" s="2" t="inlineStr">
        <is>
          <t>Linear</t>
        </is>
      </c>
      <c r="AM36" s="2" t="n">
        <v>100.89</v>
      </c>
      <c r="AN36" s="2" t="inlineStr">
        <is>
          <t>Amplification</t>
        </is>
      </c>
      <c r="AO36" s="2" t="inlineStr">
        <is>
          <t>Y</t>
        </is>
      </c>
      <c r="AP36" s="2" t="inlineStr">
        <is>
          <t>N</t>
        </is>
      </c>
      <c r="AQ36" s="2" t="inlineStr">
        <is>
          <t>N</t>
        </is>
      </c>
      <c r="AR36" s="2" t="inlineStr"/>
      <c r="AS36" s="2" t="inlineStr">
        <is>
          <t>N</t>
        </is>
      </c>
    </row>
    <row r="37">
      <c r="A37" s="1" t="inlineStr">
        <is>
          <t>B2</t>
        </is>
      </c>
      <c r="B37" s="1" t="n">
        <v>14</v>
      </c>
      <c r="C37" s="1" t="inlineStr">
        <is>
          <t>NTC</t>
        </is>
      </c>
      <c r="D37" s="1" t="inlineStr">
        <is>
          <t>NEC - FB</t>
        </is>
      </c>
      <c r="E37" s="1" t="inlineStr">
        <is>
          <t>CHO</t>
        </is>
      </c>
      <c r="F37" s="1" t="n">
        <v>28.5299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n">
        <v>1</v>
      </c>
      <c r="O37" s="1" t="inlineStr"/>
      <c r="P37" s="1" t="inlineStr"/>
      <c r="Q37" s="1" t="n">
        <v>0.9998</v>
      </c>
      <c r="R37" s="1" t="n">
        <v>-3.3008</v>
      </c>
      <c r="S37" s="1" t="n">
        <v>21.3153</v>
      </c>
      <c r="T37" s="1" t="n">
        <v>0</v>
      </c>
      <c r="U37" s="1" t="inlineStr"/>
      <c r="V37" s="1" t="n">
        <v>1</v>
      </c>
      <c r="W37" s="1" t="n">
        <v>0.207</v>
      </c>
      <c r="X37" s="1" t="inlineStr">
        <is>
          <t>true</t>
        </is>
      </c>
      <c r="Y37" s="1" t="n">
        <v>1</v>
      </c>
      <c r="Z37" s="1" t="inlineStr">
        <is>
          <t>Yes</t>
        </is>
      </c>
      <c r="AA37" s="1" t="n">
        <v>3</v>
      </c>
      <c r="AB37" s="1" t="n">
        <v>22</v>
      </c>
      <c r="AC37" s="1" t="inlineStr"/>
      <c r="AD37" s="1" t="inlineStr"/>
      <c r="AE37" s="1" t="n">
        <v>0</v>
      </c>
      <c r="AF37" s="1" t="inlineStr"/>
      <c r="AG37" s="1" t="inlineStr"/>
      <c r="AH37" s="1" t="inlineStr"/>
      <c r="AI37" s="1" t="inlineStr"/>
      <c r="AJ37" s="1" t="inlineStr"/>
      <c r="AK37" s="1" t="inlineStr"/>
      <c r="AL37" s="1" t="inlineStr">
        <is>
          <t>Linear</t>
        </is>
      </c>
      <c r="AM37" s="1" t="n">
        <v>100.89</v>
      </c>
      <c r="AN37" s="1" t="inlineStr">
        <is>
          <t>Amplification</t>
        </is>
      </c>
      <c r="AO37" s="1" t="inlineStr">
        <is>
          <t>Y</t>
        </is>
      </c>
      <c r="AP37" s="1" t="inlineStr">
        <is>
          <t>N</t>
        </is>
      </c>
      <c r="AQ37" s="1" t="inlineStr">
        <is>
          <t>N</t>
        </is>
      </c>
      <c r="AR37" s="1" t="inlineStr"/>
      <c r="AS37" s="1" t="inlineStr">
        <is>
          <t>N</t>
        </is>
      </c>
    </row>
    <row r="38">
      <c r="A38" s="2" t="inlineStr">
        <is>
          <t>B3</t>
        </is>
      </c>
      <c r="B38" s="2" t="n">
        <v>15</v>
      </c>
      <c r="C38" s="2" t="inlineStr">
        <is>
          <t>NTC</t>
        </is>
      </c>
      <c r="D38" s="2" t="inlineStr">
        <is>
          <t>NEC - FB</t>
        </is>
      </c>
      <c r="E38" s="2" t="inlineStr">
        <is>
          <t>CHO</t>
        </is>
      </c>
      <c r="F38" s="2" t="n">
        <v>28.4455</v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n">
        <v>1</v>
      </c>
      <c r="O38" s="2" t="inlineStr"/>
      <c r="P38" s="2" t="inlineStr"/>
      <c r="Q38" s="2" t="n">
        <v>0.9998</v>
      </c>
      <c r="R38" s="2" t="n">
        <v>-3.3008</v>
      </c>
      <c r="S38" s="2" t="n">
        <v>21.3153</v>
      </c>
      <c r="T38" s="2" t="n">
        <v>0</v>
      </c>
      <c r="U38" s="2" t="inlineStr"/>
      <c r="V38" s="2" t="n">
        <v>1</v>
      </c>
      <c r="W38" s="2" t="n">
        <v>0.207</v>
      </c>
      <c r="X38" s="2" t="inlineStr">
        <is>
          <t>true</t>
        </is>
      </c>
      <c r="Y38" s="2" t="n">
        <v>1</v>
      </c>
      <c r="Z38" s="2" t="inlineStr">
        <is>
          <t>Yes</t>
        </is>
      </c>
      <c r="AA38" s="2" t="n">
        <v>3</v>
      </c>
      <c r="AB38" s="2" t="n">
        <v>22</v>
      </c>
      <c r="AC38" s="2" t="inlineStr"/>
      <c r="AD38" s="2" t="inlineStr"/>
      <c r="AE38" s="2" t="n">
        <v>0</v>
      </c>
      <c r="AF38" s="2" t="inlineStr"/>
      <c r="AG38" s="2" t="inlineStr"/>
      <c r="AH38" s="2" t="inlineStr"/>
      <c r="AI38" s="2" t="inlineStr"/>
      <c r="AJ38" s="2" t="inlineStr"/>
      <c r="AK38" s="2" t="inlineStr"/>
      <c r="AL38" s="2" t="inlineStr">
        <is>
          <t>Linear</t>
        </is>
      </c>
      <c r="AM38" s="2" t="n">
        <v>100.89</v>
      </c>
      <c r="AN38" s="2" t="inlineStr">
        <is>
          <t>Amplification</t>
        </is>
      </c>
      <c r="AO38" s="2" t="inlineStr">
        <is>
          <t>Y</t>
        </is>
      </c>
      <c r="AP38" s="2" t="inlineStr">
        <is>
          <t>N</t>
        </is>
      </c>
      <c r="AQ38" s="2" t="inlineStr">
        <is>
          <t>N</t>
        </is>
      </c>
      <c r="AR38" s="2" t="inlineStr"/>
      <c r="AS38" s="2" t="inlineStr">
        <is>
          <t>N</t>
        </is>
      </c>
    </row>
    <row r="39">
      <c r="A39" s="1" t="inlineStr">
        <is>
          <t>B4</t>
        </is>
      </c>
      <c r="B39" s="1" t="n">
        <v>16</v>
      </c>
      <c r="C39" s="1" t="inlineStr">
        <is>
          <t>UNKNOWN</t>
        </is>
      </c>
      <c r="D39" s="1" t="inlineStr">
        <is>
          <t>S1 D2</t>
        </is>
      </c>
      <c r="E39" s="1" t="inlineStr">
        <is>
          <t>CHO</t>
        </is>
      </c>
      <c r="F39" s="1" t="n">
        <v>35.7364</v>
      </c>
      <c r="G39" s="1" t="n">
        <v>35.8319</v>
      </c>
      <c r="H39" s="1" t="n">
        <v>0.91</v>
      </c>
      <c r="I39" s="1" t="n">
        <v>0.3254</v>
      </c>
      <c r="J39" s="1" t="n">
        <v>0</v>
      </c>
      <c r="K39" s="1" t="n">
        <v>0</v>
      </c>
      <c r="L39" s="1" t="n">
        <v>0</v>
      </c>
      <c r="M39" s="1" t="n">
        <v>21.52</v>
      </c>
      <c r="N39" s="1" t="n">
        <v>10</v>
      </c>
      <c r="O39" s="1" t="n">
        <v>0.0004</v>
      </c>
      <c r="P39" s="1" t="inlineStr"/>
      <c r="Q39" s="1" t="n">
        <v>0.9998</v>
      </c>
      <c r="R39" s="1" t="n">
        <v>-3.3008</v>
      </c>
      <c r="S39" s="1" t="n">
        <v>21.3153</v>
      </c>
      <c r="T39" s="1" t="n">
        <v>0.0004</v>
      </c>
      <c r="U39" s="1" t="n">
        <v>0.0002</v>
      </c>
      <c r="V39" s="1" t="n">
        <v>0</v>
      </c>
      <c r="W39" s="1" t="n">
        <v>0.207</v>
      </c>
      <c r="X39" s="1" t="inlineStr">
        <is>
          <t>true</t>
        </is>
      </c>
      <c r="Y39" s="1" t="n">
        <v>1</v>
      </c>
      <c r="Z39" s="1" t="inlineStr">
        <is>
          <t>Yes</t>
        </is>
      </c>
      <c r="AA39" s="1" t="n">
        <v>3</v>
      </c>
      <c r="AB39" s="1" t="n">
        <v>30</v>
      </c>
      <c r="AC39" s="1" t="n">
        <v>0</v>
      </c>
      <c r="AD39" s="1" t="n">
        <v>0</v>
      </c>
      <c r="AE39" s="1" t="n">
        <v>0</v>
      </c>
      <c r="AF39" s="1" t="inlineStr"/>
      <c r="AG39" s="1" t="inlineStr"/>
      <c r="AH39" s="1" t="inlineStr"/>
      <c r="AI39" s="1" t="inlineStr"/>
      <c r="AJ39" s="1" t="inlineStr"/>
      <c r="AK39" s="1" t="inlineStr"/>
      <c r="AL39" s="1" t="inlineStr">
        <is>
          <t>Linear</t>
        </is>
      </c>
      <c r="AM39" s="1" t="n">
        <v>100.89</v>
      </c>
      <c r="AN39" s="1" t="inlineStr">
        <is>
          <t>Amplification</t>
        </is>
      </c>
      <c r="AO39" s="1" t="inlineStr">
        <is>
          <t>N</t>
        </is>
      </c>
      <c r="AP39" s="1" t="inlineStr">
        <is>
          <t>N</t>
        </is>
      </c>
      <c r="AQ39" s="1" t="inlineStr">
        <is>
          <t>N</t>
        </is>
      </c>
      <c r="AR39" s="1" t="n">
        <v>1.825</v>
      </c>
      <c r="AS39" s="1" t="inlineStr">
        <is>
          <t>N</t>
        </is>
      </c>
    </row>
    <row r="40">
      <c r="A40" s="2" t="inlineStr">
        <is>
          <t>B5</t>
        </is>
      </c>
      <c r="B40" s="2" t="n">
        <v>17</v>
      </c>
      <c r="C40" s="2" t="inlineStr">
        <is>
          <t>UNKNOWN</t>
        </is>
      </c>
      <c r="D40" s="2" t="inlineStr">
        <is>
          <t>S1 D2</t>
        </is>
      </c>
      <c r="E40" s="2" t="inlineStr">
        <is>
          <t>CHO</t>
        </is>
      </c>
      <c r="F40" s="2" t="n">
        <v>35.5648</v>
      </c>
      <c r="G40" s="2" t="n">
        <v>35.8319</v>
      </c>
      <c r="H40" s="2" t="n">
        <v>0.91</v>
      </c>
      <c r="I40" s="2" t="n">
        <v>0.3254</v>
      </c>
      <c r="J40" s="2" t="n">
        <v>0</v>
      </c>
      <c r="K40" s="2" t="n">
        <v>0</v>
      </c>
      <c r="L40" s="2" t="n">
        <v>0</v>
      </c>
      <c r="M40" s="2" t="n">
        <v>21.52</v>
      </c>
      <c r="N40" s="2" t="n">
        <v>10</v>
      </c>
      <c r="O40" s="2" t="n">
        <v>0.0004</v>
      </c>
      <c r="P40" s="2" t="inlineStr"/>
      <c r="Q40" s="2" t="n">
        <v>0.9998</v>
      </c>
      <c r="R40" s="2" t="n">
        <v>-3.3008</v>
      </c>
      <c r="S40" s="2" t="n">
        <v>21.3153</v>
      </c>
      <c r="T40" s="2" t="n">
        <v>0.0004</v>
      </c>
      <c r="U40" s="2" t="n">
        <v>0.0002</v>
      </c>
      <c r="V40" s="2" t="n">
        <v>0</v>
      </c>
      <c r="W40" s="2" t="n">
        <v>0.207</v>
      </c>
      <c r="X40" s="2" t="inlineStr">
        <is>
          <t>true</t>
        </is>
      </c>
      <c r="Y40" s="2" t="n">
        <v>1</v>
      </c>
      <c r="Z40" s="2" t="inlineStr">
        <is>
          <t>Yes</t>
        </is>
      </c>
      <c r="AA40" s="2" t="n">
        <v>3</v>
      </c>
      <c r="AB40" s="2" t="n">
        <v>30</v>
      </c>
      <c r="AC40" s="2" t="n">
        <v>0</v>
      </c>
      <c r="AD40" s="2" t="n">
        <v>0</v>
      </c>
      <c r="AE40" s="2" t="n">
        <v>0</v>
      </c>
      <c r="AF40" s="2" t="inlineStr"/>
      <c r="AG40" s="2" t="inlineStr"/>
      <c r="AH40" s="2" t="inlineStr"/>
      <c r="AI40" s="2" t="inlineStr"/>
      <c r="AJ40" s="2" t="inlineStr"/>
      <c r="AK40" s="2" t="inlineStr"/>
      <c r="AL40" s="2" t="inlineStr">
        <is>
          <t>Linear</t>
        </is>
      </c>
      <c r="AM40" s="2" t="n">
        <v>100.89</v>
      </c>
      <c r="AN40" s="2" t="inlineStr">
        <is>
          <t>Amplification</t>
        </is>
      </c>
      <c r="AO40" s="2" t="inlineStr">
        <is>
          <t>N</t>
        </is>
      </c>
      <c r="AP40" s="2" t="inlineStr">
        <is>
          <t>N</t>
        </is>
      </c>
      <c r="AQ40" s="2" t="inlineStr">
        <is>
          <t>N</t>
        </is>
      </c>
      <c r="AR40" s="2" t="n">
        <v>1.825</v>
      </c>
      <c r="AS40" s="2" t="inlineStr">
        <is>
          <t>N</t>
        </is>
      </c>
    </row>
    <row r="41">
      <c r="A41" s="1" t="inlineStr">
        <is>
          <t>B6</t>
        </is>
      </c>
      <c r="B41" s="1" t="n">
        <v>18</v>
      </c>
      <c r="C41" s="1" t="inlineStr">
        <is>
          <t>UNKNOWN</t>
        </is>
      </c>
      <c r="D41" s="1" t="inlineStr">
        <is>
          <t>S1 D2</t>
        </is>
      </c>
      <c r="E41" s="1" t="inlineStr">
        <is>
          <t>CHO</t>
        </is>
      </c>
      <c r="F41" s="1" t="n">
        <v>36.1944</v>
      </c>
      <c r="G41" s="1" t="n">
        <v>35.8319</v>
      </c>
      <c r="H41" s="1" t="n">
        <v>0.91</v>
      </c>
      <c r="I41" s="1" t="n">
        <v>0.3254</v>
      </c>
      <c r="J41" s="1" t="n">
        <v>0</v>
      </c>
      <c r="K41" s="1" t="n">
        <v>0</v>
      </c>
      <c r="L41" s="1" t="n">
        <v>0</v>
      </c>
      <c r="M41" s="1" t="n">
        <v>21.52</v>
      </c>
      <c r="N41" s="1" t="n">
        <v>10</v>
      </c>
      <c r="O41" s="1" t="n">
        <v>0.0004</v>
      </c>
      <c r="P41" s="1" t="inlineStr"/>
      <c r="Q41" s="1" t="n">
        <v>0.9998</v>
      </c>
      <c r="R41" s="1" t="n">
        <v>-3.3008</v>
      </c>
      <c r="S41" s="1" t="n">
        <v>21.3153</v>
      </c>
      <c r="T41" s="1" t="n">
        <v>0.0004</v>
      </c>
      <c r="U41" s="1" t="n">
        <v>0.0002</v>
      </c>
      <c r="V41" s="1" t="n">
        <v>0</v>
      </c>
      <c r="W41" s="1" t="n">
        <v>0.207</v>
      </c>
      <c r="X41" s="1" t="inlineStr">
        <is>
          <t>true</t>
        </is>
      </c>
      <c r="Y41" s="1" t="n">
        <v>1</v>
      </c>
      <c r="Z41" s="1" t="inlineStr">
        <is>
          <t>Yes</t>
        </is>
      </c>
      <c r="AA41" s="1" t="n">
        <v>3</v>
      </c>
      <c r="AB41" s="1" t="n">
        <v>30</v>
      </c>
      <c r="AC41" s="1" t="n">
        <v>0</v>
      </c>
      <c r="AD41" s="1" t="n">
        <v>0</v>
      </c>
      <c r="AE41" s="1" t="n">
        <v>0</v>
      </c>
      <c r="AF41" s="1" t="inlineStr"/>
      <c r="AG41" s="1" t="inlineStr"/>
      <c r="AH41" s="1" t="inlineStr"/>
      <c r="AI41" s="1" t="inlineStr"/>
      <c r="AJ41" s="1" t="inlineStr"/>
      <c r="AK41" s="1" t="inlineStr"/>
      <c r="AL41" s="1" t="inlineStr">
        <is>
          <t>Linear</t>
        </is>
      </c>
      <c r="AM41" s="1" t="n">
        <v>100.89</v>
      </c>
      <c r="AN41" s="1" t="inlineStr">
        <is>
          <t>Amplification</t>
        </is>
      </c>
      <c r="AO41" s="1" t="inlineStr">
        <is>
          <t>N</t>
        </is>
      </c>
      <c r="AP41" s="1" t="inlineStr">
        <is>
          <t>N</t>
        </is>
      </c>
      <c r="AQ41" s="1" t="inlineStr">
        <is>
          <t>N</t>
        </is>
      </c>
      <c r="AR41" s="1" t="n">
        <v>1.825</v>
      </c>
      <c r="AS41" s="1" t="inlineStr">
        <is>
          <t>N</t>
        </is>
      </c>
    </row>
    <row r="42">
      <c r="A42" s="2" t="inlineStr">
        <is>
          <t>B7</t>
        </is>
      </c>
      <c r="B42" s="2" t="n">
        <v>19</v>
      </c>
      <c r="C42" s="2" t="inlineStr">
        <is>
          <t>UNKNOWN</t>
        </is>
      </c>
      <c r="D42" s="2" t="inlineStr">
        <is>
          <t>ERC - 30</t>
        </is>
      </c>
      <c r="E42" s="2" t="inlineStr">
        <is>
          <t>CHO</t>
        </is>
      </c>
      <c r="F42" s="2" t="n">
        <v>17.0421</v>
      </c>
      <c r="G42" s="2" t="n">
        <v>17.0158</v>
      </c>
      <c r="H42" s="2" t="n">
        <v>0.16</v>
      </c>
      <c r="I42" s="2" t="n">
        <v>0.0274</v>
      </c>
      <c r="J42" s="2" t="n">
        <v>19.7065</v>
      </c>
      <c r="K42" s="2" t="n">
        <v>20.0732</v>
      </c>
      <c r="L42" s="2" t="n">
        <v>0.3835</v>
      </c>
      <c r="M42" s="2" t="n">
        <v>1.91</v>
      </c>
      <c r="N42" s="2" t="n">
        <v>1</v>
      </c>
      <c r="O42" s="2" t="n">
        <v>20.0732</v>
      </c>
      <c r="P42" s="2" t="n">
        <v>66.91</v>
      </c>
      <c r="Q42" s="2" t="n">
        <v>0.9998</v>
      </c>
      <c r="R42" s="2" t="n">
        <v>-3.3008</v>
      </c>
      <c r="S42" s="2" t="n">
        <v>21.3153</v>
      </c>
      <c r="T42" s="2" t="n">
        <v>20.0732</v>
      </c>
      <c r="U42" s="2" t="inlineStr"/>
      <c r="V42" s="2" t="n">
        <v>0</v>
      </c>
      <c r="W42" s="2" t="n">
        <v>0.207</v>
      </c>
      <c r="X42" s="2" t="inlineStr">
        <is>
          <t>true</t>
        </is>
      </c>
      <c r="Y42" s="2" t="n">
        <v>1</v>
      </c>
      <c r="Z42" s="2" t="inlineStr">
        <is>
          <t>Yes</t>
        </is>
      </c>
      <c r="AA42" s="2" t="n">
        <v>3</v>
      </c>
      <c r="AB42" s="2" t="n">
        <v>12</v>
      </c>
      <c r="AC42" s="2" t="n">
        <v>0</v>
      </c>
      <c r="AD42" s="2" t="n">
        <v>20.0732</v>
      </c>
      <c r="AE42" s="2" t="n">
        <v>30</v>
      </c>
      <c r="AF42" s="2" t="inlineStr"/>
      <c r="AG42" s="2" t="inlineStr"/>
      <c r="AH42" s="2" t="inlineStr"/>
      <c r="AI42" s="2" t="inlineStr"/>
      <c r="AJ42" s="2" t="inlineStr"/>
      <c r="AK42" s="2" t="inlineStr"/>
      <c r="AL42" s="2" t="inlineStr">
        <is>
          <t>Linear</t>
        </is>
      </c>
      <c r="AM42" s="2" t="n">
        <v>100.89</v>
      </c>
      <c r="AN42" s="2" t="inlineStr">
        <is>
          <t>Amplification</t>
        </is>
      </c>
      <c r="AO42" s="2" t="inlineStr">
        <is>
          <t>N</t>
        </is>
      </c>
      <c r="AP42" s="2" t="inlineStr">
        <is>
          <t>N</t>
        </is>
      </c>
      <c r="AQ42" s="2" t="inlineStr">
        <is>
          <t>N</t>
        </is>
      </c>
      <c r="AR42" s="2" t="inlineStr"/>
      <c r="AS42" s="2" t="inlineStr">
        <is>
          <t>N</t>
        </is>
      </c>
    </row>
    <row r="43">
      <c r="A43" s="1" t="inlineStr">
        <is>
          <t>B8</t>
        </is>
      </c>
      <c r="B43" s="1" t="n">
        <v>20</v>
      </c>
      <c r="C43" s="1" t="inlineStr">
        <is>
          <t>UNKNOWN</t>
        </is>
      </c>
      <c r="D43" s="1" t="inlineStr">
        <is>
          <t>ERC - 30</t>
        </is>
      </c>
      <c r="E43" s="1" t="inlineStr">
        <is>
          <t>CHO</t>
        </is>
      </c>
      <c r="F43" s="1" t="n">
        <v>17.0179</v>
      </c>
      <c r="G43" s="1" t="n">
        <v>17.0158</v>
      </c>
      <c r="H43" s="1" t="n">
        <v>0.16</v>
      </c>
      <c r="I43" s="1" t="n">
        <v>0.0274</v>
      </c>
      <c r="J43" s="1" t="n">
        <v>20.0415</v>
      </c>
      <c r="K43" s="1" t="n">
        <v>20.0732</v>
      </c>
      <c r="L43" s="1" t="n">
        <v>0.3835</v>
      </c>
      <c r="M43" s="1" t="n">
        <v>1.91</v>
      </c>
      <c r="N43" s="1" t="n">
        <v>1</v>
      </c>
      <c r="O43" s="1" t="n">
        <v>20.0732</v>
      </c>
      <c r="P43" s="1" t="n">
        <v>66.91</v>
      </c>
      <c r="Q43" s="1" t="n">
        <v>0.9998</v>
      </c>
      <c r="R43" s="1" t="n">
        <v>-3.3008</v>
      </c>
      <c r="S43" s="1" t="n">
        <v>21.3153</v>
      </c>
      <c r="T43" s="1" t="n">
        <v>20.0732</v>
      </c>
      <c r="U43" s="1" t="inlineStr"/>
      <c r="V43" s="1" t="n">
        <v>0</v>
      </c>
      <c r="W43" s="1" t="n">
        <v>0.207</v>
      </c>
      <c r="X43" s="1" t="inlineStr">
        <is>
          <t>true</t>
        </is>
      </c>
      <c r="Y43" s="1" t="n">
        <v>1</v>
      </c>
      <c r="Z43" s="1" t="inlineStr">
        <is>
          <t>Yes</t>
        </is>
      </c>
      <c r="AA43" s="1" t="n">
        <v>3</v>
      </c>
      <c r="AB43" s="1" t="n">
        <v>12</v>
      </c>
      <c r="AC43" s="1" t="n">
        <v>0</v>
      </c>
      <c r="AD43" s="1" t="n">
        <v>20.0732</v>
      </c>
      <c r="AE43" s="1" t="n">
        <v>30</v>
      </c>
      <c r="AF43" s="1" t="inlineStr"/>
      <c r="AG43" s="1" t="inlineStr"/>
      <c r="AH43" s="1" t="inlineStr"/>
      <c r="AI43" s="1" t="inlineStr"/>
      <c r="AJ43" s="1" t="inlineStr"/>
      <c r="AK43" s="1" t="inlineStr"/>
      <c r="AL43" s="1" t="inlineStr">
        <is>
          <t>Linear</t>
        </is>
      </c>
      <c r="AM43" s="1" t="n">
        <v>100.89</v>
      </c>
      <c r="AN43" s="1" t="inlineStr">
        <is>
          <t>Amplification</t>
        </is>
      </c>
      <c r="AO43" s="1" t="inlineStr">
        <is>
          <t>N</t>
        </is>
      </c>
      <c r="AP43" s="1" t="inlineStr">
        <is>
          <t>N</t>
        </is>
      </c>
      <c r="AQ43" s="1" t="inlineStr">
        <is>
          <t>N</t>
        </is>
      </c>
      <c r="AR43" s="1" t="inlineStr"/>
      <c r="AS43" s="1" t="inlineStr">
        <is>
          <t>N</t>
        </is>
      </c>
    </row>
    <row r="44">
      <c r="A44" s="2" t="inlineStr">
        <is>
          <t>B9</t>
        </is>
      </c>
      <c r="B44" s="2" t="n">
        <v>21</v>
      </c>
      <c r="C44" s="2" t="inlineStr">
        <is>
          <t>UNKNOWN</t>
        </is>
      </c>
      <c r="D44" s="2" t="inlineStr">
        <is>
          <t>ERC - 30</t>
        </is>
      </c>
      <c r="E44" s="2" t="inlineStr">
        <is>
          <t>CHO</t>
        </is>
      </c>
      <c r="F44" s="2" t="n">
        <v>16.9875</v>
      </c>
      <c r="G44" s="2" t="n">
        <v>17.0158</v>
      </c>
      <c r="H44" s="2" t="n">
        <v>0.16</v>
      </c>
      <c r="I44" s="2" t="n">
        <v>0.0274</v>
      </c>
      <c r="J44" s="2" t="n">
        <v>20.4716</v>
      </c>
      <c r="K44" s="2" t="n">
        <v>20.0732</v>
      </c>
      <c r="L44" s="2" t="n">
        <v>0.3835</v>
      </c>
      <c r="M44" s="2" t="n">
        <v>1.91</v>
      </c>
      <c r="N44" s="2" t="n">
        <v>1</v>
      </c>
      <c r="O44" s="2" t="n">
        <v>20.0732</v>
      </c>
      <c r="P44" s="2" t="n">
        <v>66.91</v>
      </c>
      <c r="Q44" s="2" t="n">
        <v>0.9998</v>
      </c>
      <c r="R44" s="2" t="n">
        <v>-3.3008</v>
      </c>
      <c r="S44" s="2" t="n">
        <v>21.3153</v>
      </c>
      <c r="T44" s="2" t="n">
        <v>20.0732</v>
      </c>
      <c r="U44" s="2" t="inlineStr"/>
      <c r="V44" s="2" t="n">
        <v>0</v>
      </c>
      <c r="W44" s="2" t="n">
        <v>0.207</v>
      </c>
      <c r="X44" s="2" t="inlineStr">
        <is>
          <t>true</t>
        </is>
      </c>
      <c r="Y44" s="2" t="n">
        <v>1</v>
      </c>
      <c r="Z44" s="2" t="inlineStr">
        <is>
          <t>Yes</t>
        </is>
      </c>
      <c r="AA44" s="2" t="n">
        <v>3</v>
      </c>
      <c r="AB44" s="2" t="n">
        <v>12</v>
      </c>
      <c r="AC44" s="2" t="n">
        <v>0</v>
      </c>
      <c r="AD44" s="2" t="n">
        <v>20.0732</v>
      </c>
      <c r="AE44" s="2" t="n">
        <v>30</v>
      </c>
      <c r="AF44" s="2" t="inlineStr"/>
      <c r="AG44" s="2" t="inlineStr"/>
      <c r="AH44" s="2" t="inlineStr"/>
      <c r="AI44" s="2" t="inlineStr"/>
      <c r="AJ44" s="2" t="inlineStr"/>
      <c r="AK44" s="2" t="inlineStr"/>
      <c r="AL44" s="2" t="inlineStr">
        <is>
          <t>Linear</t>
        </is>
      </c>
      <c r="AM44" s="2" t="n">
        <v>100.89</v>
      </c>
      <c r="AN44" s="2" t="inlineStr">
        <is>
          <t>Amplification</t>
        </is>
      </c>
      <c r="AO44" s="2" t="inlineStr">
        <is>
          <t>N</t>
        </is>
      </c>
      <c r="AP44" s="2" t="inlineStr">
        <is>
          <t>N</t>
        </is>
      </c>
      <c r="AQ44" s="2" t="inlineStr">
        <is>
          <t>N</t>
        </is>
      </c>
      <c r="AR44" s="2" t="inlineStr"/>
      <c r="AS44" s="2" t="inlineStr">
        <is>
          <t>N</t>
        </is>
      </c>
    </row>
    <row r="45">
      <c r="A45" s="1" t="inlineStr">
        <is>
          <t>B10</t>
        </is>
      </c>
      <c r="B45" s="1" t="n">
        <v>22</v>
      </c>
      <c r="C45" s="1" t="inlineStr">
        <is>
          <t>STANDARD</t>
        </is>
      </c>
      <c r="D45" s="1" t="inlineStr">
        <is>
          <t>STD 30</t>
        </is>
      </c>
      <c r="E45" s="1" t="inlineStr">
        <is>
          <t>CHO</t>
        </is>
      </c>
      <c r="F45" s="1" t="n">
        <v>16.3923</v>
      </c>
      <c r="G45" s="1" t="n">
        <v>16.422</v>
      </c>
      <c r="H45" s="1" t="n">
        <v>0.19</v>
      </c>
      <c r="I45" s="1" t="n">
        <v>0.0308</v>
      </c>
      <c r="J45" s="1" t="n">
        <v>30</v>
      </c>
      <c r="K45" s="1" t="inlineStr"/>
      <c r="L45" s="1" t="inlineStr"/>
      <c r="M45" s="1" t="inlineStr"/>
      <c r="N45" s="1" t="n">
        <v>1</v>
      </c>
      <c r="O45" s="1" t="inlineStr"/>
      <c r="P45" s="1" t="inlineStr"/>
      <c r="Q45" s="1" t="n">
        <v>0.9998</v>
      </c>
      <c r="R45" s="1" t="n">
        <v>-3.3008</v>
      </c>
      <c r="S45" s="1" t="n">
        <v>21.3153</v>
      </c>
      <c r="T45" s="1" t="n">
        <v>0</v>
      </c>
      <c r="U45" s="1" t="inlineStr"/>
      <c r="V45" s="1" t="n">
        <v>0</v>
      </c>
      <c r="W45" s="1" t="n">
        <v>0.207</v>
      </c>
      <c r="X45" s="1" t="inlineStr">
        <is>
          <t>true</t>
        </is>
      </c>
      <c r="Y45" s="1" t="n">
        <v>1</v>
      </c>
      <c r="Z45" s="1" t="inlineStr">
        <is>
          <t>Yes</t>
        </is>
      </c>
      <c r="AA45" s="1" t="n">
        <v>3</v>
      </c>
      <c r="AB45" s="1" t="n">
        <v>11</v>
      </c>
      <c r="AC45" s="1" t="inlineStr"/>
      <c r="AD45" s="1" t="inlineStr"/>
      <c r="AE45" s="1" t="n">
        <v>0</v>
      </c>
      <c r="AF45" s="1" t="n">
        <v>31.0077</v>
      </c>
      <c r="AG45" s="1" t="n">
        <v>30.3755</v>
      </c>
      <c r="AH45" s="1" t="n">
        <v>2.15</v>
      </c>
      <c r="AI45" s="1" t="n">
        <v>0.6525</v>
      </c>
      <c r="AJ45" s="1" t="n">
        <v>-3.36</v>
      </c>
      <c r="AK45" s="1" t="n">
        <v>-1.2517</v>
      </c>
      <c r="AL45" s="1" t="inlineStr">
        <is>
          <t>Linear</t>
        </is>
      </c>
      <c r="AM45" s="1" t="n">
        <v>100.89</v>
      </c>
      <c r="AN45" s="1" t="inlineStr">
        <is>
          <t>Amplification</t>
        </is>
      </c>
      <c r="AO45" s="1" t="inlineStr">
        <is>
          <t>N</t>
        </is>
      </c>
      <c r="AP45" s="1" t="inlineStr">
        <is>
          <t>N</t>
        </is>
      </c>
      <c r="AQ45" s="1" t="inlineStr">
        <is>
          <t>N</t>
        </is>
      </c>
      <c r="AR45" s="1" t="inlineStr"/>
      <c r="AS45" s="1" t="inlineStr">
        <is>
          <t>N</t>
        </is>
      </c>
    </row>
    <row r="46">
      <c r="A46" s="2" t="inlineStr">
        <is>
          <t>B11</t>
        </is>
      </c>
      <c r="B46" s="2" t="n">
        <v>23</v>
      </c>
      <c r="C46" s="2" t="inlineStr">
        <is>
          <t>STANDARD</t>
        </is>
      </c>
      <c r="D46" s="2" t="inlineStr">
        <is>
          <t>STD 30</t>
        </is>
      </c>
      <c r="E46" s="2" t="inlineStr">
        <is>
          <t>CHO</t>
        </is>
      </c>
      <c r="F46" s="2" t="n">
        <v>16.42</v>
      </c>
      <c r="G46" s="2" t="n">
        <v>16.422</v>
      </c>
      <c r="H46" s="2" t="n">
        <v>0.19</v>
      </c>
      <c r="I46" s="2" t="n">
        <v>0.0308</v>
      </c>
      <c r="J46" s="2" t="n">
        <v>30</v>
      </c>
      <c r="K46" s="2" t="inlineStr"/>
      <c r="L46" s="2" t="inlineStr"/>
      <c r="M46" s="2" t="inlineStr"/>
      <c r="N46" s="2" t="n">
        <v>1</v>
      </c>
      <c r="O46" s="2" t="inlineStr"/>
      <c r="P46" s="2" t="inlineStr"/>
      <c r="Q46" s="2" t="n">
        <v>0.9998</v>
      </c>
      <c r="R46" s="2" t="n">
        <v>-3.3008</v>
      </c>
      <c r="S46" s="2" t="n">
        <v>21.3153</v>
      </c>
      <c r="T46" s="2" t="n">
        <v>0</v>
      </c>
      <c r="U46" s="2" t="inlineStr"/>
      <c r="V46" s="2" t="n">
        <v>0</v>
      </c>
      <c r="W46" s="2" t="n">
        <v>0.207</v>
      </c>
      <c r="X46" s="2" t="inlineStr">
        <is>
          <t>true</t>
        </is>
      </c>
      <c r="Y46" s="2" t="n">
        <v>1</v>
      </c>
      <c r="Z46" s="2" t="inlineStr">
        <is>
          <t>Yes</t>
        </is>
      </c>
      <c r="AA46" s="2" t="n">
        <v>3</v>
      </c>
      <c r="AB46" s="2" t="n">
        <v>11</v>
      </c>
      <c r="AC46" s="2" t="inlineStr"/>
      <c r="AD46" s="2" t="inlineStr"/>
      <c r="AE46" s="2" t="n">
        <v>0</v>
      </c>
      <c r="AF46" s="2" t="n">
        <v>30.4144</v>
      </c>
      <c r="AG46" s="2" t="n">
        <v>30.3755</v>
      </c>
      <c r="AH46" s="2" t="n">
        <v>2.15</v>
      </c>
      <c r="AI46" s="2" t="n">
        <v>0.6525</v>
      </c>
      <c r="AJ46" s="2" t="n">
        <v>-1.38</v>
      </c>
      <c r="AK46" s="2" t="n">
        <v>-1.2517</v>
      </c>
      <c r="AL46" s="2" t="inlineStr">
        <is>
          <t>Linear</t>
        </is>
      </c>
      <c r="AM46" s="2" t="n">
        <v>100.89</v>
      </c>
      <c r="AN46" s="2" t="inlineStr">
        <is>
          <t>Amplification</t>
        </is>
      </c>
      <c r="AO46" s="2" t="inlineStr">
        <is>
          <t>N</t>
        </is>
      </c>
      <c r="AP46" s="2" t="inlineStr">
        <is>
          <t>N</t>
        </is>
      </c>
      <c r="AQ46" s="2" t="inlineStr">
        <is>
          <t>N</t>
        </is>
      </c>
      <c r="AR46" s="2" t="inlineStr"/>
      <c r="AS46" s="2" t="inlineStr">
        <is>
          <t>N</t>
        </is>
      </c>
    </row>
    <row r="47">
      <c r="A47" s="1" t="inlineStr">
        <is>
          <t>B12</t>
        </is>
      </c>
      <c r="B47" s="1" t="n">
        <v>24</v>
      </c>
      <c r="C47" s="1" t="inlineStr">
        <is>
          <t>STANDARD</t>
        </is>
      </c>
      <c r="D47" s="1" t="inlineStr">
        <is>
          <t>STD 30</t>
        </is>
      </c>
      <c r="E47" s="1" t="inlineStr">
        <is>
          <t>CHO</t>
        </is>
      </c>
      <c r="F47" s="1" t="n">
        <v>16.4538</v>
      </c>
      <c r="G47" s="1" t="n">
        <v>16.422</v>
      </c>
      <c r="H47" s="1" t="n">
        <v>0.19</v>
      </c>
      <c r="I47" s="1" t="n">
        <v>0.0308</v>
      </c>
      <c r="J47" s="1" t="n">
        <v>30</v>
      </c>
      <c r="K47" s="1" t="inlineStr"/>
      <c r="L47" s="1" t="inlineStr"/>
      <c r="M47" s="1" t="inlineStr"/>
      <c r="N47" s="1" t="n">
        <v>1</v>
      </c>
      <c r="O47" s="1" t="inlineStr"/>
      <c r="P47" s="1" t="inlineStr"/>
      <c r="Q47" s="1" t="n">
        <v>0.9998</v>
      </c>
      <c r="R47" s="1" t="n">
        <v>-3.3008</v>
      </c>
      <c r="S47" s="1" t="n">
        <v>21.3153</v>
      </c>
      <c r="T47" s="1" t="n">
        <v>0</v>
      </c>
      <c r="U47" s="1" t="inlineStr"/>
      <c r="V47" s="1" t="n">
        <v>0</v>
      </c>
      <c r="W47" s="1" t="n">
        <v>0.207</v>
      </c>
      <c r="X47" s="1" t="inlineStr">
        <is>
          <t>true</t>
        </is>
      </c>
      <c r="Y47" s="1" t="n">
        <v>1</v>
      </c>
      <c r="Z47" s="1" t="inlineStr">
        <is>
          <t>Yes</t>
        </is>
      </c>
      <c r="AA47" s="1" t="n">
        <v>3</v>
      </c>
      <c r="AB47" s="1" t="n">
        <v>11</v>
      </c>
      <c r="AC47" s="1" t="inlineStr"/>
      <c r="AD47" s="1" t="inlineStr"/>
      <c r="AE47" s="1" t="n">
        <v>0</v>
      </c>
      <c r="AF47" s="1" t="n">
        <v>29.7044</v>
      </c>
      <c r="AG47" s="1" t="n">
        <v>30.3755</v>
      </c>
      <c r="AH47" s="1" t="n">
        <v>2.15</v>
      </c>
      <c r="AI47" s="1" t="n">
        <v>0.6525</v>
      </c>
      <c r="AJ47" s="1" t="n">
        <v>0.99</v>
      </c>
      <c r="AK47" s="1" t="n">
        <v>-1.2517</v>
      </c>
      <c r="AL47" s="1" t="inlineStr">
        <is>
          <t>Linear</t>
        </is>
      </c>
      <c r="AM47" s="1" t="n">
        <v>100.89</v>
      </c>
      <c r="AN47" s="1" t="inlineStr">
        <is>
          <t>Amplification</t>
        </is>
      </c>
      <c r="AO47" s="1" t="inlineStr">
        <is>
          <t>N</t>
        </is>
      </c>
      <c r="AP47" s="1" t="inlineStr">
        <is>
          <t>N</t>
        </is>
      </c>
      <c r="AQ47" s="1" t="inlineStr">
        <is>
          <t>N</t>
        </is>
      </c>
      <c r="AR47" s="1" t="inlineStr"/>
      <c r="AS47" s="1" t="inlineStr">
        <is>
          <t>N</t>
        </is>
      </c>
    </row>
    <row r="48">
      <c r="A48" s="2" t="inlineStr">
        <is>
          <t>C1</t>
        </is>
      </c>
      <c r="B48" s="2" t="n">
        <v>25</v>
      </c>
      <c r="C48" s="2" t="inlineStr">
        <is>
          <t>NTC</t>
        </is>
      </c>
      <c r="D48" s="2" t="inlineStr">
        <is>
          <t>NEC - PBS</t>
        </is>
      </c>
      <c r="E48" s="2" t="inlineStr">
        <is>
          <t>CHO</t>
        </is>
      </c>
      <c r="F48" s="2" t="inlineStr">
        <is>
          <t>Undetermined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n">
        <v>1</v>
      </c>
      <c r="O48" s="2" t="inlineStr"/>
      <c r="P48" s="2" t="inlineStr"/>
      <c r="Q48" s="2" t="n">
        <v>0.9998</v>
      </c>
      <c r="R48" s="2" t="n">
        <v>-3.3008</v>
      </c>
      <c r="S48" s="2" t="n">
        <v>21.3153</v>
      </c>
      <c r="T48" s="2" t="n">
        <v>0</v>
      </c>
      <c r="U48" s="2" t="inlineStr"/>
      <c r="V48" s="2" t="n">
        <v>0</v>
      </c>
      <c r="W48" s="2" t="n">
        <v>0.207</v>
      </c>
      <c r="X48" s="2" t="inlineStr">
        <is>
          <t>true</t>
        </is>
      </c>
      <c r="Y48" s="2" t="n">
        <v>0</v>
      </c>
      <c r="Z48" s="2" t="inlineStr">
        <is>
          <t>Yes</t>
        </is>
      </c>
      <c r="AA48" s="2" t="n">
        <v>3</v>
      </c>
      <c r="AB48" s="2" t="n">
        <v>29</v>
      </c>
      <c r="AC48" s="2" t="inlineStr"/>
      <c r="AD48" s="2" t="inlineStr"/>
      <c r="AE48" s="2" t="n">
        <v>0</v>
      </c>
      <c r="AF48" s="2" t="inlineStr"/>
      <c r="AG48" s="2" t="inlineStr"/>
      <c r="AH48" s="2" t="inlineStr"/>
      <c r="AI48" s="2" t="inlineStr"/>
      <c r="AJ48" s="2" t="inlineStr"/>
      <c r="AK48" s="2" t="inlineStr"/>
      <c r="AL48" s="2" t="inlineStr">
        <is>
          <t>Linear</t>
        </is>
      </c>
      <c r="AM48" s="2" t="n">
        <v>100.89</v>
      </c>
      <c r="AN48" s="2" t="inlineStr">
        <is>
          <t>No Amp</t>
        </is>
      </c>
      <c r="AO48" s="2" t="inlineStr">
        <is>
          <t>N</t>
        </is>
      </c>
      <c r="AP48" s="2" t="inlineStr">
        <is>
          <t>N</t>
        </is>
      </c>
      <c r="AQ48" s="2" t="inlineStr">
        <is>
          <t>N</t>
        </is>
      </c>
      <c r="AR48" s="2" t="inlineStr"/>
      <c r="AS48" s="2" t="inlineStr">
        <is>
          <t>N</t>
        </is>
      </c>
    </row>
    <row r="49">
      <c r="A49" s="1" t="inlineStr">
        <is>
          <t>C2</t>
        </is>
      </c>
      <c r="B49" s="1" t="n">
        <v>26</v>
      </c>
      <c r="C49" s="1" t="inlineStr">
        <is>
          <t>NTC</t>
        </is>
      </c>
      <c r="D49" s="1" t="inlineStr">
        <is>
          <t>NEC - PBS</t>
        </is>
      </c>
      <c r="E49" s="1" t="inlineStr">
        <is>
          <t>CHO</t>
        </is>
      </c>
      <c r="F49" s="1" t="n">
        <v>37.2977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n">
        <v>1</v>
      </c>
      <c r="O49" s="1" t="inlineStr"/>
      <c r="P49" s="1" t="inlineStr"/>
      <c r="Q49" s="1" t="n">
        <v>0.9998</v>
      </c>
      <c r="R49" s="1" t="n">
        <v>-3.3008</v>
      </c>
      <c r="S49" s="1" t="n">
        <v>21.3153</v>
      </c>
      <c r="T49" s="1" t="n">
        <v>0</v>
      </c>
      <c r="U49" s="1" t="inlineStr"/>
      <c r="V49" s="1" t="n">
        <v>0</v>
      </c>
      <c r="W49" s="1" t="n">
        <v>0.207</v>
      </c>
      <c r="X49" s="1" t="inlineStr">
        <is>
          <t>true</t>
        </is>
      </c>
      <c r="Y49" s="1" t="n">
        <v>1</v>
      </c>
      <c r="Z49" s="1" t="inlineStr">
        <is>
          <t>Yes</t>
        </is>
      </c>
      <c r="AA49" s="1" t="n">
        <v>3</v>
      </c>
      <c r="AB49" s="1" t="n">
        <v>30</v>
      </c>
      <c r="AC49" s="1" t="inlineStr"/>
      <c r="AD49" s="1" t="inlineStr"/>
      <c r="AE49" s="1" t="n">
        <v>0</v>
      </c>
      <c r="AF49" s="1" t="inlineStr"/>
      <c r="AG49" s="1" t="inlineStr"/>
      <c r="AH49" s="1" t="inlineStr"/>
      <c r="AI49" s="1" t="inlineStr"/>
      <c r="AJ49" s="1" t="inlineStr"/>
      <c r="AK49" s="1" t="inlineStr"/>
      <c r="AL49" s="1" t="inlineStr">
        <is>
          <t>Linear</t>
        </is>
      </c>
      <c r="AM49" s="1" t="n">
        <v>100.89</v>
      </c>
      <c r="AN49" s="1" t="inlineStr"/>
      <c r="AO49" s="1" t="inlineStr">
        <is>
          <t>N</t>
        </is>
      </c>
      <c r="AP49" s="1" t="inlineStr">
        <is>
          <t>N</t>
        </is>
      </c>
      <c r="AQ49" s="1" t="inlineStr">
        <is>
          <t>N</t>
        </is>
      </c>
      <c r="AR49" s="1" t="inlineStr"/>
      <c r="AS49" s="1" t="inlineStr">
        <is>
          <t>N</t>
        </is>
      </c>
    </row>
    <row r="50">
      <c r="A50" s="2" t="inlineStr">
        <is>
          <t>C3</t>
        </is>
      </c>
      <c r="B50" s="2" t="n">
        <v>27</v>
      </c>
      <c r="C50" s="2" t="inlineStr">
        <is>
          <t>NTC</t>
        </is>
      </c>
      <c r="D50" s="2" t="inlineStr">
        <is>
          <t>NEC - PBS</t>
        </is>
      </c>
      <c r="E50" s="2" t="inlineStr">
        <is>
          <t>CHO</t>
        </is>
      </c>
      <c r="F50" s="2" t="n">
        <v>38.9558</v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n">
        <v>1</v>
      </c>
      <c r="O50" s="2" t="inlineStr"/>
      <c r="P50" s="2" t="inlineStr"/>
      <c r="Q50" s="2" t="n">
        <v>0.9998</v>
      </c>
      <c r="R50" s="2" t="n">
        <v>-3.3008</v>
      </c>
      <c r="S50" s="2" t="n">
        <v>21.3153</v>
      </c>
      <c r="T50" s="2" t="n">
        <v>0</v>
      </c>
      <c r="U50" s="2" t="inlineStr"/>
      <c r="V50" s="2" t="n">
        <v>0</v>
      </c>
      <c r="W50" s="2" t="n">
        <v>0.207</v>
      </c>
      <c r="X50" s="2" t="inlineStr">
        <is>
          <t>true</t>
        </is>
      </c>
      <c r="Y50" s="2" t="n">
        <v>0</v>
      </c>
      <c r="Z50" s="2" t="inlineStr">
        <is>
          <t>Yes</t>
        </is>
      </c>
      <c r="AA50" s="2" t="n">
        <v>3</v>
      </c>
      <c r="AB50" s="2" t="n">
        <v>32</v>
      </c>
      <c r="AC50" s="2" t="inlineStr"/>
      <c r="AD50" s="2" t="inlineStr"/>
      <c r="AE50" s="2" t="n">
        <v>0</v>
      </c>
      <c r="AF50" s="2" t="inlineStr"/>
      <c r="AG50" s="2" t="inlineStr"/>
      <c r="AH50" s="2" t="inlineStr"/>
      <c r="AI50" s="2" t="inlineStr"/>
      <c r="AJ50" s="2" t="inlineStr"/>
      <c r="AK50" s="2" t="inlineStr"/>
      <c r="AL50" s="2" t="inlineStr">
        <is>
          <t>Linear</t>
        </is>
      </c>
      <c r="AM50" s="2" t="n">
        <v>100.89</v>
      </c>
      <c r="AN50" s="2" t="inlineStr">
        <is>
          <t>No Amp</t>
        </is>
      </c>
      <c r="AO50" s="2" t="inlineStr">
        <is>
          <t>N</t>
        </is>
      </c>
      <c r="AP50" s="2" t="inlineStr">
        <is>
          <t>N</t>
        </is>
      </c>
      <c r="AQ50" s="2" t="inlineStr">
        <is>
          <t>N</t>
        </is>
      </c>
      <c r="AR50" s="2" t="inlineStr"/>
      <c r="AS50" s="2" t="inlineStr">
        <is>
          <t>N</t>
        </is>
      </c>
    </row>
    <row r="51">
      <c r="A51" s="1" t="inlineStr">
        <is>
          <t>C4</t>
        </is>
      </c>
      <c r="B51" s="1" t="n">
        <v>28</v>
      </c>
      <c r="C51" s="1" t="inlineStr">
        <is>
          <t>UNKNOWN</t>
        </is>
      </c>
      <c r="D51" s="1" t="inlineStr">
        <is>
          <t>S1 D3</t>
        </is>
      </c>
      <c r="E51" s="1" t="inlineStr">
        <is>
          <t>CHO</t>
        </is>
      </c>
      <c r="F51" s="1" t="inlineStr">
        <is>
          <t>Undetermined</t>
        </is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n">
        <v>100</v>
      </c>
      <c r="O51" s="1" t="inlineStr"/>
      <c r="P51" s="1" t="inlineStr"/>
      <c r="Q51" s="1" t="n">
        <v>0.9998</v>
      </c>
      <c r="R51" s="1" t="n">
        <v>-3.3008</v>
      </c>
      <c r="S51" s="1" t="n">
        <v>21.3153</v>
      </c>
      <c r="T51" s="1" t="n">
        <v>0.0007</v>
      </c>
      <c r="U51" s="1" t="n">
        <v>0.0004</v>
      </c>
      <c r="V51" s="1" t="n">
        <v>1</v>
      </c>
      <c r="W51" s="1" t="n">
        <v>0.207</v>
      </c>
      <c r="X51" s="1" t="inlineStr">
        <is>
          <t>true</t>
        </is>
      </c>
      <c r="Y51" s="1" t="n">
        <v>0</v>
      </c>
      <c r="Z51" s="1" t="inlineStr">
        <is>
          <t>Yes</t>
        </is>
      </c>
      <c r="AA51" s="1" t="n">
        <v>3</v>
      </c>
      <c r="AB51" s="1" t="n">
        <v>35</v>
      </c>
      <c r="AC51" s="1" t="n">
        <v>0</v>
      </c>
      <c r="AD51" s="1" t="inlineStr"/>
      <c r="AE51" s="1" t="n">
        <v>0</v>
      </c>
      <c r="AF51" s="1" t="inlineStr"/>
      <c r="AG51" s="1" t="inlineStr"/>
      <c r="AH51" s="1" t="inlineStr"/>
      <c r="AI51" s="1" t="inlineStr"/>
      <c r="AJ51" s="1" t="inlineStr"/>
      <c r="AK51" s="1" t="inlineStr"/>
      <c r="AL51" s="1" t="inlineStr">
        <is>
          <t>Linear</t>
        </is>
      </c>
      <c r="AM51" s="1" t="n">
        <v>100.89</v>
      </c>
      <c r="AN51" s="1" t="inlineStr">
        <is>
          <t>No Amp</t>
        </is>
      </c>
      <c r="AO51" s="1" t="inlineStr">
        <is>
          <t>N</t>
        </is>
      </c>
      <c r="AP51" s="1" t="inlineStr">
        <is>
          <t>N</t>
        </is>
      </c>
      <c r="AQ51" s="1" t="inlineStr">
        <is>
          <t>N</t>
        </is>
      </c>
      <c r="AR51" s="1" t="n">
        <v>1.825</v>
      </c>
      <c r="AS51" s="1" t="inlineStr">
        <is>
          <t>Y</t>
        </is>
      </c>
    </row>
    <row r="52">
      <c r="A52" s="2" t="inlineStr">
        <is>
          <t>C5</t>
        </is>
      </c>
      <c r="B52" s="2" t="n">
        <v>29</v>
      </c>
      <c r="C52" s="2" t="inlineStr">
        <is>
          <t>UNKNOWN</t>
        </is>
      </c>
      <c r="D52" s="2" t="inlineStr">
        <is>
          <t>S1 D3</t>
        </is>
      </c>
      <c r="E52" s="2" t="inlineStr">
        <is>
          <t>CHO</t>
        </is>
      </c>
      <c r="F52" s="2" t="n">
        <v>38.3456</v>
      </c>
      <c r="G52" s="2" t="n">
        <v>38.3456</v>
      </c>
      <c r="H52" s="2" t="inlineStr"/>
      <c r="I52" s="2" t="inlineStr"/>
      <c r="J52" s="2" t="n">
        <v>0</v>
      </c>
      <c r="K52" s="2" t="n">
        <v>0</v>
      </c>
      <c r="L52" s="2" t="inlineStr"/>
      <c r="M52" s="2" t="inlineStr"/>
      <c r="N52" s="2" t="n">
        <v>100</v>
      </c>
      <c r="O52" s="2" t="n">
        <v>0.0007</v>
      </c>
      <c r="P52" s="2" t="inlineStr"/>
      <c r="Q52" s="2" t="n">
        <v>0.9998</v>
      </c>
      <c r="R52" s="2" t="n">
        <v>-3.3008</v>
      </c>
      <c r="S52" s="2" t="n">
        <v>21.3153</v>
      </c>
      <c r="T52" s="2" t="n">
        <v>0.0007</v>
      </c>
      <c r="U52" s="2" t="n">
        <v>0.0004</v>
      </c>
      <c r="V52" s="2" t="n">
        <v>1</v>
      </c>
      <c r="W52" s="2" t="n">
        <v>0.207</v>
      </c>
      <c r="X52" s="2" t="inlineStr">
        <is>
          <t>true</t>
        </is>
      </c>
      <c r="Y52" s="2" t="n">
        <v>0</v>
      </c>
      <c r="Z52" s="2" t="inlineStr">
        <is>
          <t>Yes</t>
        </is>
      </c>
      <c r="AA52" s="2" t="n">
        <v>3</v>
      </c>
      <c r="AB52" s="2" t="n">
        <v>33</v>
      </c>
      <c r="AC52" s="2" t="n">
        <v>0</v>
      </c>
      <c r="AD52" s="2" t="n">
        <v>0</v>
      </c>
      <c r="AE52" s="2" t="n">
        <v>0</v>
      </c>
      <c r="AF52" s="2" t="inlineStr"/>
      <c r="AG52" s="2" t="inlineStr"/>
      <c r="AH52" s="2" t="inlineStr"/>
      <c r="AI52" s="2" t="inlineStr"/>
      <c r="AJ52" s="2" t="inlineStr"/>
      <c r="AK52" s="2" t="inlineStr"/>
      <c r="AL52" s="2" t="inlineStr">
        <is>
          <t>Linear</t>
        </is>
      </c>
      <c r="AM52" s="2" t="n">
        <v>100.89</v>
      </c>
      <c r="AN52" s="2" t="inlineStr">
        <is>
          <t>Amplification</t>
        </is>
      </c>
      <c r="AO52" s="2" t="inlineStr">
        <is>
          <t>N</t>
        </is>
      </c>
      <c r="AP52" s="2" t="inlineStr">
        <is>
          <t>N</t>
        </is>
      </c>
      <c r="AQ52" s="2" t="inlineStr">
        <is>
          <t>N</t>
        </is>
      </c>
      <c r="AR52" s="2" t="n">
        <v>1.825</v>
      </c>
      <c r="AS52" s="2" t="inlineStr">
        <is>
          <t>Y</t>
        </is>
      </c>
    </row>
    <row r="53">
      <c r="A53" s="1" t="inlineStr">
        <is>
          <t>C6</t>
        </is>
      </c>
      <c r="B53" s="1" t="n">
        <v>30</v>
      </c>
      <c r="C53" s="1" t="inlineStr">
        <is>
          <t>UNKNOWN</t>
        </is>
      </c>
      <c r="D53" s="1" t="inlineStr">
        <is>
          <t>S1 D3</t>
        </is>
      </c>
      <c r="E53" s="1" t="inlineStr">
        <is>
          <t>CHO</t>
        </is>
      </c>
      <c r="F53" s="1" t="inlineStr">
        <is>
          <t>Undetermined</t>
        </is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n">
        <v>100</v>
      </c>
      <c r="O53" s="1" t="inlineStr"/>
      <c r="P53" s="1" t="inlineStr"/>
      <c r="Q53" s="1" t="n">
        <v>0.9998</v>
      </c>
      <c r="R53" s="1" t="n">
        <v>-3.3008</v>
      </c>
      <c r="S53" s="1" t="n">
        <v>21.3153</v>
      </c>
      <c r="T53" s="1" t="n">
        <v>0.0007</v>
      </c>
      <c r="U53" s="1" t="n">
        <v>0.0004</v>
      </c>
      <c r="V53" s="1" t="n">
        <v>3</v>
      </c>
      <c r="W53" s="1" t="n">
        <v>0.207</v>
      </c>
      <c r="X53" s="1" t="inlineStr">
        <is>
          <t>true</t>
        </is>
      </c>
      <c r="Y53" s="1" t="n">
        <v>0</v>
      </c>
      <c r="Z53" s="1" t="inlineStr">
        <is>
          <t>Yes</t>
        </is>
      </c>
      <c r="AA53" s="1" t="n">
        <v>3</v>
      </c>
      <c r="AB53" s="1" t="n">
        <v>39</v>
      </c>
      <c r="AC53" s="1" t="n">
        <v>0</v>
      </c>
      <c r="AD53" s="1" t="inlineStr"/>
      <c r="AE53" s="1" t="n">
        <v>0</v>
      </c>
      <c r="AF53" s="1" t="inlineStr"/>
      <c r="AG53" s="1" t="inlineStr"/>
      <c r="AH53" s="1" t="inlineStr"/>
      <c r="AI53" s="1" t="inlineStr"/>
      <c r="AJ53" s="1" t="inlineStr"/>
      <c r="AK53" s="1" t="inlineStr"/>
      <c r="AL53" s="1" t="inlineStr">
        <is>
          <t>Linear</t>
        </is>
      </c>
      <c r="AM53" s="1" t="n">
        <v>100.89</v>
      </c>
      <c r="AN53" s="1" t="inlineStr">
        <is>
          <t>No Amp</t>
        </is>
      </c>
      <c r="AO53" s="1" t="inlineStr">
        <is>
          <t>N</t>
        </is>
      </c>
      <c r="AP53" s="1" t="inlineStr">
        <is>
          <t>Y</t>
        </is>
      </c>
      <c r="AQ53" s="1" t="inlineStr">
        <is>
          <t>Y</t>
        </is>
      </c>
      <c r="AR53" s="1" t="n">
        <v>1.825</v>
      </c>
      <c r="AS53" s="1" t="inlineStr">
        <is>
          <t>Y</t>
        </is>
      </c>
    </row>
    <row r="54">
      <c r="A54" s="2" t="inlineStr">
        <is>
          <t>C7</t>
        </is>
      </c>
      <c r="B54" s="2" t="n">
        <v>31</v>
      </c>
      <c r="C54" s="2" t="inlineStr">
        <is>
          <t>UNKNOWN</t>
        </is>
      </c>
      <c r="D54" s="2" t="inlineStr">
        <is>
          <t>ERC - 10</t>
        </is>
      </c>
      <c r="E54" s="2" t="inlineStr">
        <is>
          <t>CHO</t>
        </is>
      </c>
      <c r="F54" s="2" t="n">
        <v>18.5377</v>
      </c>
      <c r="G54" s="2" t="n">
        <v>18.5552</v>
      </c>
      <c r="H54" s="2" t="n">
        <v>0.09</v>
      </c>
      <c r="I54" s="2" t="n">
        <v>0.016</v>
      </c>
      <c r="J54" s="2" t="n">
        <v>6.9419</v>
      </c>
      <c r="K54" s="2" t="n">
        <v>6.8583</v>
      </c>
      <c r="L54" s="2" t="n">
        <v>0.0769</v>
      </c>
      <c r="M54" s="2" t="n">
        <v>1.12</v>
      </c>
      <c r="N54" s="2" t="n">
        <v>1</v>
      </c>
      <c r="O54" s="2" t="n">
        <v>6.8583</v>
      </c>
      <c r="P54" s="2" t="n">
        <v>68.58</v>
      </c>
      <c r="Q54" s="2" t="n">
        <v>0.9998</v>
      </c>
      <c r="R54" s="2" t="n">
        <v>-3.3008</v>
      </c>
      <c r="S54" s="2" t="n">
        <v>21.3153</v>
      </c>
      <c r="T54" s="2" t="n">
        <v>6.8583</v>
      </c>
      <c r="U54" s="2" t="inlineStr"/>
      <c r="V54" s="2" t="n">
        <v>0</v>
      </c>
      <c r="W54" s="2" t="n">
        <v>0.207</v>
      </c>
      <c r="X54" s="2" t="inlineStr">
        <is>
          <t>true</t>
        </is>
      </c>
      <c r="Y54" s="2" t="n">
        <v>1</v>
      </c>
      <c r="Z54" s="2" t="inlineStr">
        <is>
          <t>Yes</t>
        </is>
      </c>
      <c r="AA54" s="2" t="n">
        <v>3</v>
      </c>
      <c r="AB54" s="2" t="n">
        <v>13</v>
      </c>
      <c r="AC54" s="2" t="n">
        <v>0</v>
      </c>
      <c r="AD54" s="2" t="n">
        <v>6.8583</v>
      </c>
      <c r="AE54" s="2" t="n">
        <v>10</v>
      </c>
      <c r="AF54" s="2" t="inlineStr"/>
      <c r="AG54" s="2" t="inlineStr"/>
      <c r="AH54" s="2" t="inlineStr"/>
      <c r="AI54" s="2" t="inlineStr"/>
      <c r="AJ54" s="2" t="inlineStr"/>
      <c r="AK54" s="2" t="inlineStr"/>
      <c r="AL54" s="2" t="inlineStr">
        <is>
          <t>Linear</t>
        </is>
      </c>
      <c r="AM54" s="2" t="n">
        <v>100.89</v>
      </c>
      <c r="AN54" s="2" t="inlineStr">
        <is>
          <t>Amplification</t>
        </is>
      </c>
      <c r="AO54" s="2" t="inlineStr">
        <is>
          <t>N</t>
        </is>
      </c>
      <c r="AP54" s="2" t="inlineStr">
        <is>
          <t>N</t>
        </is>
      </c>
      <c r="AQ54" s="2" t="inlineStr">
        <is>
          <t>N</t>
        </is>
      </c>
      <c r="AR54" s="2" t="inlineStr"/>
      <c r="AS54" s="2" t="inlineStr">
        <is>
          <t>N</t>
        </is>
      </c>
    </row>
    <row r="55">
      <c r="A55" s="1" t="inlineStr">
        <is>
          <t>C8</t>
        </is>
      </c>
      <c r="B55" s="1" t="n">
        <v>32</v>
      </c>
      <c r="C55" s="1" t="inlineStr">
        <is>
          <t>UNKNOWN</t>
        </is>
      </c>
      <c r="D55" s="1" t="inlineStr">
        <is>
          <t>ERC - 10</t>
        </is>
      </c>
      <c r="E55" s="1" t="inlineStr">
        <is>
          <t>CHO</t>
        </is>
      </c>
      <c r="F55" s="1" t="n">
        <v>18.5584</v>
      </c>
      <c r="G55" s="1" t="n">
        <v>18.5552</v>
      </c>
      <c r="H55" s="1" t="n">
        <v>0.09</v>
      </c>
      <c r="I55" s="1" t="n">
        <v>0.016</v>
      </c>
      <c r="J55" s="1" t="n">
        <v>6.8424</v>
      </c>
      <c r="K55" s="1" t="n">
        <v>6.8583</v>
      </c>
      <c r="L55" s="1" t="n">
        <v>0.0769</v>
      </c>
      <c r="M55" s="1" t="n">
        <v>1.12</v>
      </c>
      <c r="N55" s="1" t="n">
        <v>1</v>
      </c>
      <c r="O55" s="1" t="n">
        <v>6.8583</v>
      </c>
      <c r="P55" s="1" t="n">
        <v>68.58</v>
      </c>
      <c r="Q55" s="1" t="n">
        <v>0.9998</v>
      </c>
      <c r="R55" s="1" t="n">
        <v>-3.3008</v>
      </c>
      <c r="S55" s="1" t="n">
        <v>21.3153</v>
      </c>
      <c r="T55" s="1" t="n">
        <v>6.8583</v>
      </c>
      <c r="U55" s="1" t="inlineStr"/>
      <c r="V55" s="1" t="n">
        <v>0</v>
      </c>
      <c r="W55" s="1" t="n">
        <v>0.207</v>
      </c>
      <c r="X55" s="1" t="inlineStr">
        <is>
          <t>true</t>
        </is>
      </c>
      <c r="Y55" s="1" t="n">
        <v>1</v>
      </c>
      <c r="Z55" s="1" t="inlineStr">
        <is>
          <t>Yes</t>
        </is>
      </c>
      <c r="AA55" s="1" t="n">
        <v>3</v>
      </c>
      <c r="AB55" s="1" t="n">
        <v>13</v>
      </c>
      <c r="AC55" s="1" t="n">
        <v>0</v>
      </c>
      <c r="AD55" s="1" t="n">
        <v>6.8583</v>
      </c>
      <c r="AE55" s="1" t="n">
        <v>10</v>
      </c>
      <c r="AF55" s="1" t="inlineStr"/>
      <c r="AG55" s="1" t="inlineStr"/>
      <c r="AH55" s="1" t="inlineStr"/>
      <c r="AI55" s="1" t="inlineStr"/>
      <c r="AJ55" s="1" t="inlineStr"/>
      <c r="AK55" s="1" t="inlineStr"/>
      <c r="AL55" s="1" t="inlineStr">
        <is>
          <t>Linear</t>
        </is>
      </c>
      <c r="AM55" s="1" t="n">
        <v>100.89</v>
      </c>
      <c r="AN55" s="1" t="inlineStr">
        <is>
          <t>Amplification</t>
        </is>
      </c>
      <c r="AO55" s="1" t="inlineStr">
        <is>
          <t>N</t>
        </is>
      </c>
      <c r="AP55" s="1" t="inlineStr">
        <is>
          <t>N</t>
        </is>
      </c>
      <c r="AQ55" s="1" t="inlineStr">
        <is>
          <t>N</t>
        </is>
      </c>
      <c r="AR55" s="1" t="inlineStr"/>
      <c r="AS55" s="1" t="inlineStr">
        <is>
          <t>N</t>
        </is>
      </c>
    </row>
    <row r="56">
      <c r="A56" s="2" t="inlineStr">
        <is>
          <t>C9</t>
        </is>
      </c>
      <c r="B56" s="2" t="n">
        <v>33</v>
      </c>
      <c r="C56" s="2" t="inlineStr">
        <is>
          <t>UNKNOWN</t>
        </is>
      </c>
      <c r="D56" s="2" t="inlineStr">
        <is>
          <t>ERC - 10</t>
        </is>
      </c>
      <c r="E56" s="2" t="inlineStr">
        <is>
          <t>CHO</t>
        </is>
      </c>
      <c r="F56" s="2" t="n">
        <v>18.5693</v>
      </c>
      <c r="G56" s="2" t="n">
        <v>18.5552</v>
      </c>
      <c r="H56" s="2" t="n">
        <v>0.09</v>
      </c>
      <c r="I56" s="2" t="n">
        <v>0.016</v>
      </c>
      <c r="J56" s="2" t="n">
        <v>6.7907</v>
      </c>
      <c r="K56" s="2" t="n">
        <v>6.8583</v>
      </c>
      <c r="L56" s="2" t="n">
        <v>0.0769</v>
      </c>
      <c r="M56" s="2" t="n">
        <v>1.12</v>
      </c>
      <c r="N56" s="2" t="n">
        <v>1</v>
      </c>
      <c r="O56" s="2" t="n">
        <v>6.8583</v>
      </c>
      <c r="P56" s="2" t="n">
        <v>68.58</v>
      </c>
      <c r="Q56" s="2" t="n">
        <v>0.9998</v>
      </c>
      <c r="R56" s="2" t="n">
        <v>-3.3008</v>
      </c>
      <c r="S56" s="2" t="n">
        <v>21.3153</v>
      </c>
      <c r="T56" s="2" t="n">
        <v>6.8583</v>
      </c>
      <c r="U56" s="2" t="inlineStr"/>
      <c r="V56" s="2" t="n">
        <v>0</v>
      </c>
      <c r="W56" s="2" t="n">
        <v>0.207</v>
      </c>
      <c r="X56" s="2" t="inlineStr">
        <is>
          <t>true</t>
        </is>
      </c>
      <c r="Y56" s="2" t="n">
        <v>1</v>
      </c>
      <c r="Z56" s="2" t="inlineStr">
        <is>
          <t>Yes</t>
        </is>
      </c>
      <c r="AA56" s="2" t="n">
        <v>3</v>
      </c>
      <c r="AB56" s="2" t="n">
        <v>13</v>
      </c>
      <c r="AC56" s="2" t="n">
        <v>0</v>
      </c>
      <c r="AD56" s="2" t="n">
        <v>6.8583</v>
      </c>
      <c r="AE56" s="2" t="n">
        <v>10</v>
      </c>
      <c r="AF56" s="2" t="inlineStr"/>
      <c r="AG56" s="2" t="inlineStr"/>
      <c r="AH56" s="2" t="inlineStr"/>
      <c r="AI56" s="2" t="inlineStr"/>
      <c r="AJ56" s="2" t="inlineStr"/>
      <c r="AK56" s="2" t="inlineStr"/>
      <c r="AL56" s="2" t="inlineStr">
        <is>
          <t>Linear</t>
        </is>
      </c>
      <c r="AM56" s="2" t="n">
        <v>100.89</v>
      </c>
      <c r="AN56" s="2" t="inlineStr">
        <is>
          <t>Amplification</t>
        </is>
      </c>
      <c r="AO56" s="2" t="inlineStr">
        <is>
          <t>N</t>
        </is>
      </c>
      <c r="AP56" s="2" t="inlineStr">
        <is>
          <t>N</t>
        </is>
      </c>
      <c r="AQ56" s="2" t="inlineStr">
        <is>
          <t>N</t>
        </is>
      </c>
      <c r="AR56" s="2" t="inlineStr"/>
      <c r="AS56" s="2" t="inlineStr">
        <is>
          <t>N</t>
        </is>
      </c>
    </row>
    <row r="57">
      <c r="A57" s="1" t="inlineStr">
        <is>
          <t>C10</t>
        </is>
      </c>
      <c r="B57" s="1" t="n">
        <v>34</v>
      </c>
      <c r="C57" s="1" t="inlineStr">
        <is>
          <t>STANDARD</t>
        </is>
      </c>
      <c r="D57" s="1" t="inlineStr">
        <is>
          <t>STD 3</t>
        </is>
      </c>
      <c r="E57" s="1" t="inlineStr">
        <is>
          <t>CHO</t>
        </is>
      </c>
      <c r="F57" s="1" t="n">
        <v>19.6245</v>
      </c>
      <c r="G57" s="1" t="n">
        <v>19.7012</v>
      </c>
      <c r="H57" s="1" t="n">
        <v>0.34</v>
      </c>
      <c r="I57" s="1" t="n">
        <v>0.0665</v>
      </c>
      <c r="J57" s="1" t="n">
        <v>3</v>
      </c>
      <c r="K57" s="1" t="inlineStr"/>
      <c r="L57" s="1" t="inlineStr"/>
      <c r="M57" s="1" t="inlineStr"/>
      <c r="N57" s="1" t="n">
        <v>1</v>
      </c>
      <c r="O57" s="1" t="inlineStr"/>
      <c r="P57" s="1" t="inlineStr"/>
      <c r="Q57" s="1" t="n">
        <v>0.9998</v>
      </c>
      <c r="R57" s="1" t="n">
        <v>-3.3008</v>
      </c>
      <c r="S57" s="1" t="n">
        <v>21.3153</v>
      </c>
      <c r="T57" s="1" t="n">
        <v>0</v>
      </c>
      <c r="U57" s="1" t="inlineStr"/>
      <c r="V57" s="1" t="n">
        <v>0</v>
      </c>
      <c r="W57" s="1" t="n">
        <v>0.207</v>
      </c>
      <c r="X57" s="1" t="inlineStr">
        <is>
          <t>true</t>
        </is>
      </c>
      <c r="Y57" s="1" t="n">
        <v>1</v>
      </c>
      <c r="Z57" s="1" t="inlineStr">
        <is>
          <t>Yes</t>
        </is>
      </c>
      <c r="AA57" s="1" t="n">
        <v>3</v>
      </c>
      <c r="AB57" s="1" t="n">
        <v>13</v>
      </c>
      <c r="AC57" s="1" t="inlineStr"/>
      <c r="AD57" s="1" t="inlineStr"/>
      <c r="AE57" s="1" t="n">
        <v>0</v>
      </c>
      <c r="AF57" s="1" t="n">
        <v>3.2526</v>
      </c>
      <c r="AG57" s="1" t="n">
        <v>3.0854</v>
      </c>
      <c r="AH57" s="1" t="n">
        <v>4.7</v>
      </c>
      <c r="AI57" s="1" t="n">
        <v>0.1449</v>
      </c>
      <c r="AJ57" s="1" t="n">
        <v>-8.42</v>
      </c>
      <c r="AK57" s="1" t="n">
        <v>-2.8479</v>
      </c>
      <c r="AL57" s="1" t="inlineStr">
        <is>
          <t>Linear</t>
        </is>
      </c>
      <c r="AM57" s="1" t="n">
        <v>100.89</v>
      </c>
      <c r="AN57" s="1" t="inlineStr">
        <is>
          <t>Amplification</t>
        </is>
      </c>
      <c r="AO57" s="1" t="inlineStr">
        <is>
          <t>N</t>
        </is>
      </c>
      <c r="AP57" s="1" t="inlineStr">
        <is>
          <t>N</t>
        </is>
      </c>
      <c r="AQ57" s="1" t="inlineStr">
        <is>
          <t>N</t>
        </is>
      </c>
      <c r="AR57" s="1" t="inlineStr"/>
      <c r="AS57" s="1" t="inlineStr">
        <is>
          <t>N</t>
        </is>
      </c>
    </row>
    <row r="58">
      <c r="A58" s="2" t="inlineStr">
        <is>
          <t>C11</t>
        </is>
      </c>
      <c r="B58" s="2" t="n">
        <v>35</v>
      </c>
      <c r="C58" s="2" t="inlineStr">
        <is>
          <t>STANDARD</t>
        </is>
      </c>
      <c r="D58" s="2" t="inlineStr">
        <is>
          <t>STD 3</t>
        </is>
      </c>
      <c r="E58" s="2" t="inlineStr">
        <is>
          <t>CHO</t>
        </is>
      </c>
      <c r="F58" s="2" t="n">
        <v>19.7364</v>
      </c>
      <c r="G58" s="2" t="n">
        <v>19.7012</v>
      </c>
      <c r="H58" s="2" t="n">
        <v>0.34</v>
      </c>
      <c r="I58" s="2" t="n">
        <v>0.0665</v>
      </c>
      <c r="J58" s="2" t="n">
        <v>3</v>
      </c>
      <c r="K58" s="2" t="inlineStr"/>
      <c r="L58" s="2" t="inlineStr"/>
      <c r="M58" s="2" t="inlineStr"/>
      <c r="N58" s="2" t="n">
        <v>1</v>
      </c>
      <c r="O58" s="2" t="inlineStr"/>
      <c r="P58" s="2" t="inlineStr"/>
      <c r="Q58" s="2" t="n">
        <v>0.9998</v>
      </c>
      <c r="R58" s="2" t="n">
        <v>-3.3008</v>
      </c>
      <c r="S58" s="2" t="n">
        <v>21.3153</v>
      </c>
      <c r="T58" s="2" t="n">
        <v>0</v>
      </c>
      <c r="U58" s="2" t="inlineStr"/>
      <c r="V58" s="2" t="n">
        <v>0</v>
      </c>
      <c r="W58" s="2" t="n">
        <v>0.207</v>
      </c>
      <c r="X58" s="2" t="inlineStr">
        <is>
          <t>true</t>
        </is>
      </c>
      <c r="Y58" s="2" t="n">
        <v>1</v>
      </c>
      <c r="Z58" s="2" t="inlineStr">
        <is>
          <t>Yes</t>
        </is>
      </c>
      <c r="AA58" s="2" t="n">
        <v>3</v>
      </c>
      <c r="AB58" s="2" t="n">
        <v>15</v>
      </c>
      <c r="AC58" s="2" t="inlineStr"/>
      <c r="AD58" s="2" t="inlineStr"/>
      <c r="AE58" s="2" t="n">
        <v>0</v>
      </c>
      <c r="AF58" s="2" t="n">
        <v>3.0085</v>
      </c>
      <c r="AG58" s="2" t="n">
        <v>3.0854</v>
      </c>
      <c r="AH58" s="2" t="n">
        <v>4.7</v>
      </c>
      <c r="AI58" s="2" t="n">
        <v>0.1449</v>
      </c>
      <c r="AJ58" s="2" t="n">
        <v>-0.28</v>
      </c>
      <c r="AK58" s="2" t="n">
        <v>-2.8479</v>
      </c>
      <c r="AL58" s="2" t="inlineStr">
        <is>
          <t>Linear</t>
        </is>
      </c>
      <c r="AM58" s="2" t="n">
        <v>100.89</v>
      </c>
      <c r="AN58" s="2" t="inlineStr">
        <is>
          <t>Amplification</t>
        </is>
      </c>
      <c r="AO58" s="2" t="inlineStr">
        <is>
          <t>N</t>
        </is>
      </c>
      <c r="AP58" s="2" t="inlineStr">
        <is>
          <t>N</t>
        </is>
      </c>
      <c r="AQ58" s="2" t="inlineStr">
        <is>
          <t>N</t>
        </is>
      </c>
      <c r="AR58" s="2" t="inlineStr"/>
      <c r="AS58" s="2" t="inlineStr">
        <is>
          <t>N</t>
        </is>
      </c>
    </row>
    <row r="59">
      <c r="A59" s="1" t="inlineStr">
        <is>
          <t>C12</t>
        </is>
      </c>
      <c r="B59" s="1" t="n">
        <v>36</v>
      </c>
      <c r="C59" s="1" t="inlineStr">
        <is>
          <t>STANDARD</t>
        </is>
      </c>
      <c r="D59" s="1" t="inlineStr">
        <is>
          <t>STD 3</t>
        </is>
      </c>
      <c r="E59" s="1" t="inlineStr">
        <is>
          <t>CHO</t>
        </is>
      </c>
      <c r="F59" s="1" t="n">
        <v>19.7427</v>
      </c>
      <c r="G59" s="1" t="n">
        <v>19.7012</v>
      </c>
      <c r="H59" s="1" t="n">
        <v>0.34</v>
      </c>
      <c r="I59" s="1" t="n">
        <v>0.0665</v>
      </c>
      <c r="J59" s="1" t="n">
        <v>3</v>
      </c>
      <c r="K59" s="1" t="inlineStr"/>
      <c r="L59" s="1" t="inlineStr"/>
      <c r="M59" s="1" t="inlineStr"/>
      <c r="N59" s="1" t="n">
        <v>1</v>
      </c>
      <c r="O59" s="1" t="inlineStr"/>
      <c r="P59" s="1" t="inlineStr"/>
      <c r="Q59" s="1" t="n">
        <v>0.9998</v>
      </c>
      <c r="R59" s="1" t="n">
        <v>-3.3008</v>
      </c>
      <c r="S59" s="1" t="n">
        <v>21.3153</v>
      </c>
      <c r="T59" s="1" t="n">
        <v>0</v>
      </c>
      <c r="U59" s="1" t="inlineStr"/>
      <c r="V59" s="1" t="n">
        <v>0</v>
      </c>
      <c r="W59" s="1" t="n">
        <v>0.207</v>
      </c>
      <c r="X59" s="1" t="inlineStr">
        <is>
          <t>true</t>
        </is>
      </c>
      <c r="Y59" s="1" t="n">
        <v>1</v>
      </c>
      <c r="Z59" s="1" t="inlineStr">
        <is>
          <t>Yes</t>
        </is>
      </c>
      <c r="AA59" s="1" t="n">
        <v>3</v>
      </c>
      <c r="AB59" s="1" t="n">
        <v>14</v>
      </c>
      <c r="AC59" s="1" t="inlineStr"/>
      <c r="AD59" s="1" t="inlineStr"/>
      <c r="AE59" s="1" t="n">
        <v>0</v>
      </c>
      <c r="AF59" s="1" t="n">
        <v>2.9952</v>
      </c>
      <c r="AG59" s="1" t="n">
        <v>3.0854</v>
      </c>
      <c r="AH59" s="1" t="n">
        <v>4.7</v>
      </c>
      <c r="AI59" s="1" t="n">
        <v>0.1449</v>
      </c>
      <c r="AJ59" s="1" t="n">
        <v>0.16</v>
      </c>
      <c r="AK59" s="1" t="n">
        <v>-2.8479</v>
      </c>
      <c r="AL59" s="1" t="inlineStr">
        <is>
          <t>Linear</t>
        </is>
      </c>
      <c r="AM59" s="1" t="n">
        <v>100.89</v>
      </c>
      <c r="AN59" s="1" t="inlineStr">
        <is>
          <t>Amplification</t>
        </is>
      </c>
      <c r="AO59" s="1" t="inlineStr">
        <is>
          <t>N</t>
        </is>
      </c>
      <c r="AP59" s="1" t="inlineStr">
        <is>
          <t>N</t>
        </is>
      </c>
      <c r="AQ59" s="1" t="inlineStr">
        <is>
          <t>N</t>
        </is>
      </c>
      <c r="AR59" s="1" t="inlineStr"/>
      <c r="AS59" s="1" t="inlineStr">
        <is>
          <t>N</t>
        </is>
      </c>
    </row>
    <row r="60">
      <c r="A60" s="2" t="inlineStr">
        <is>
          <t>D1</t>
        </is>
      </c>
      <c r="B60" s="2" t="n">
        <v>37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</row>
    <row r="61">
      <c r="A61" s="1" t="inlineStr">
        <is>
          <t>D2</t>
        </is>
      </c>
      <c r="B61" s="1" t="n">
        <v>38</v>
      </c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</row>
    <row r="62">
      <c r="A62" s="2" t="inlineStr">
        <is>
          <t>D3</t>
        </is>
      </c>
      <c r="B62" s="2" t="n">
        <v>39</v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</row>
    <row r="63">
      <c r="A63" s="1" t="inlineStr">
        <is>
          <t>D4</t>
        </is>
      </c>
      <c r="B63" s="1" t="n">
        <v>40</v>
      </c>
      <c r="C63" s="1" t="inlineStr">
        <is>
          <t>UNKNOWN</t>
        </is>
      </c>
      <c r="D63" s="1" t="inlineStr">
        <is>
          <t>S1 D4</t>
        </is>
      </c>
      <c r="E63" s="1" t="inlineStr">
        <is>
          <t>CHO</t>
        </is>
      </c>
      <c r="F63" s="1" t="inlineStr">
        <is>
          <t>Undetermined</t>
        </is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n">
        <v>1000</v>
      </c>
      <c r="O63" s="1" t="inlineStr"/>
      <c r="P63" s="1" t="inlineStr"/>
      <c r="Q63" s="1" t="n">
        <v>0.9998</v>
      </c>
      <c r="R63" s="1" t="n">
        <v>-3.3008</v>
      </c>
      <c r="S63" s="1" t="n">
        <v>21.3153</v>
      </c>
      <c r="T63" s="1" t="n">
        <v>0</v>
      </c>
      <c r="U63" s="1" t="n">
        <v>0</v>
      </c>
      <c r="V63" s="1" t="n">
        <v>3</v>
      </c>
      <c r="W63" s="1" t="n">
        <v>0.207</v>
      </c>
      <c r="X63" s="1" t="inlineStr">
        <is>
          <t>true</t>
        </is>
      </c>
      <c r="Y63" s="1" t="n">
        <v>0</v>
      </c>
      <c r="Z63" s="1" t="inlineStr">
        <is>
          <t>Yes</t>
        </is>
      </c>
      <c r="AA63" s="1" t="n">
        <v>3</v>
      </c>
      <c r="AB63" s="1" t="n">
        <v>39</v>
      </c>
      <c r="AC63" s="1" t="n">
        <v>0</v>
      </c>
      <c r="AD63" s="1" t="inlineStr"/>
      <c r="AE63" s="1" t="n">
        <v>0</v>
      </c>
      <c r="AF63" s="1" t="inlineStr"/>
      <c r="AG63" s="1" t="inlineStr"/>
      <c r="AH63" s="1" t="inlineStr"/>
      <c r="AI63" s="1" t="inlineStr"/>
      <c r="AJ63" s="1" t="inlineStr"/>
      <c r="AK63" s="1" t="inlineStr"/>
      <c r="AL63" s="1" t="inlineStr">
        <is>
          <t>Linear</t>
        </is>
      </c>
      <c r="AM63" s="1" t="n">
        <v>100.89</v>
      </c>
      <c r="AN63" s="1" t="inlineStr">
        <is>
          <t>No Amp</t>
        </is>
      </c>
      <c r="AO63" s="1" t="inlineStr">
        <is>
          <t>N</t>
        </is>
      </c>
      <c r="AP63" s="1" t="inlineStr">
        <is>
          <t>Y</t>
        </is>
      </c>
      <c r="AQ63" s="1" t="inlineStr">
        <is>
          <t>Y</t>
        </is>
      </c>
      <c r="AR63" s="1" t="n">
        <v>1.825</v>
      </c>
      <c r="AS63" s="1" t="inlineStr">
        <is>
          <t>Y</t>
        </is>
      </c>
    </row>
    <row r="64">
      <c r="A64" s="2" t="inlineStr">
        <is>
          <t>D5</t>
        </is>
      </c>
      <c r="B64" s="2" t="n">
        <v>41</v>
      </c>
      <c r="C64" s="2" t="inlineStr">
        <is>
          <t>UNKNOWN</t>
        </is>
      </c>
      <c r="D64" s="2" t="inlineStr">
        <is>
          <t>S1 D4</t>
        </is>
      </c>
      <c r="E64" s="2" t="inlineStr">
        <is>
          <t>CHO</t>
        </is>
      </c>
      <c r="F64" s="2" t="inlineStr">
        <is>
          <t>Undetermined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n">
        <v>1000</v>
      </c>
      <c r="O64" s="2" t="inlineStr"/>
      <c r="P64" s="2" t="inlineStr"/>
      <c r="Q64" s="2" t="n">
        <v>0.9998</v>
      </c>
      <c r="R64" s="2" t="n">
        <v>-3.3008</v>
      </c>
      <c r="S64" s="2" t="n">
        <v>21.3153</v>
      </c>
      <c r="T64" s="2" t="n">
        <v>0</v>
      </c>
      <c r="U64" s="2" t="n">
        <v>0</v>
      </c>
      <c r="V64" s="2" t="n">
        <v>1</v>
      </c>
      <c r="W64" s="2" t="n">
        <v>0.207</v>
      </c>
      <c r="X64" s="2" t="inlineStr">
        <is>
          <t>true</t>
        </is>
      </c>
      <c r="Y64" s="2" t="n">
        <v>0</v>
      </c>
      <c r="Z64" s="2" t="inlineStr">
        <is>
          <t>Yes</t>
        </is>
      </c>
      <c r="AA64" s="2" t="n">
        <v>3</v>
      </c>
      <c r="AB64" s="2" t="n">
        <v>35</v>
      </c>
      <c r="AC64" s="2" t="n">
        <v>0</v>
      </c>
      <c r="AD64" s="2" t="inlineStr"/>
      <c r="AE64" s="2" t="n">
        <v>0</v>
      </c>
      <c r="AF64" s="2" t="inlineStr"/>
      <c r="AG64" s="2" t="inlineStr"/>
      <c r="AH64" s="2" t="inlineStr"/>
      <c r="AI64" s="2" t="inlineStr"/>
      <c r="AJ64" s="2" t="inlineStr"/>
      <c r="AK64" s="2" t="inlineStr"/>
      <c r="AL64" s="2" t="inlineStr">
        <is>
          <t>Linear</t>
        </is>
      </c>
      <c r="AM64" s="2" t="n">
        <v>100.89</v>
      </c>
      <c r="AN64" s="2" t="inlineStr">
        <is>
          <t>No Amp</t>
        </is>
      </c>
      <c r="AO64" s="2" t="inlineStr">
        <is>
          <t>N</t>
        </is>
      </c>
      <c r="AP64" s="2" t="inlineStr">
        <is>
          <t>N</t>
        </is>
      </c>
      <c r="AQ64" s="2" t="inlineStr">
        <is>
          <t>N</t>
        </is>
      </c>
      <c r="AR64" s="2" t="n">
        <v>1.825</v>
      </c>
      <c r="AS64" s="2" t="inlineStr">
        <is>
          <t>Y</t>
        </is>
      </c>
    </row>
    <row r="65">
      <c r="A65" s="1" t="inlineStr">
        <is>
          <t>D6</t>
        </is>
      </c>
      <c r="B65" s="1" t="n">
        <v>42</v>
      </c>
      <c r="C65" s="1" t="inlineStr">
        <is>
          <t>UNKNOWN</t>
        </is>
      </c>
      <c r="D65" s="1" t="inlineStr">
        <is>
          <t>S1 D4</t>
        </is>
      </c>
      <c r="E65" s="1" t="inlineStr">
        <is>
          <t>CHO</t>
        </is>
      </c>
      <c r="F65" s="1" t="inlineStr">
        <is>
          <t>Undetermined</t>
        </is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n">
        <v>1000</v>
      </c>
      <c r="O65" s="1" t="inlineStr"/>
      <c r="P65" s="1" t="inlineStr"/>
      <c r="Q65" s="1" t="n">
        <v>0.9998</v>
      </c>
      <c r="R65" s="1" t="n">
        <v>-3.3008</v>
      </c>
      <c r="S65" s="1" t="n">
        <v>21.3153</v>
      </c>
      <c r="T65" s="1" t="n">
        <v>0</v>
      </c>
      <c r="U65" s="1" t="n">
        <v>0</v>
      </c>
      <c r="V65" s="1" t="n">
        <v>3</v>
      </c>
      <c r="W65" s="1" t="n">
        <v>0.207</v>
      </c>
      <c r="X65" s="1" t="inlineStr">
        <is>
          <t>true</t>
        </is>
      </c>
      <c r="Y65" s="1" t="n">
        <v>0</v>
      </c>
      <c r="Z65" s="1" t="inlineStr">
        <is>
          <t>Yes</t>
        </is>
      </c>
      <c r="AA65" s="1" t="n">
        <v>3</v>
      </c>
      <c r="AB65" s="1" t="n">
        <v>39</v>
      </c>
      <c r="AC65" s="1" t="n">
        <v>0</v>
      </c>
      <c r="AD65" s="1" t="inlineStr"/>
      <c r="AE65" s="1" t="n">
        <v>0</v>
      </c>
      <c r="AF65" s="1" t="inlineStr"/>
      <c r="AG65" s="1" t="inlineStr"/>
      <c r="AH65" s="1" t="inlineStr"/>
      <c r="AI65" s="1" t="inlineStr"/>
      <c r="AJ65" s="1" t="inlineStr"/>
      <c r="AK65" s="1" t="inlineStr"/>
      <c r="AL65" s="1" t="inlineStr">
        <is>
          <t>Linear</t>
        </is>
      </c>
      <c r="AM65" s="1" t="n">
        <v>100.89</v>
      </c>
      <c r="AN65" s="1" t="inlineStr">
        <is>
          <t>No Amp</t>
        </is>
      </c>
      <c r="AO65" s="1" t="inlineStr">
        <is>
          <t>N</t>
        </is>
      </c>
      <c r="AP65" s="1" t="inlineStr">
        <is>
          <t>Y</t>
        </is>
      </c>
      <c r="AQ65" s="1" t="inlineStr">
        <is>
          <t>Y</t>
        </is>
      </c>
      <c r="AR65" s="1" t="n">
        <v>1.825</v>
      </c>
      <c r="AS65" s="1" t="inlineStr">
        <is>
          <t>Y</t>
        </is>
      </c>
    </row>
    <row r="66">
      <c r="A66" s="2" t="inlineStr">
        <is>
          <t>D7</t>
        </is>
      </c>
      <c r="B66" s="2" t="n">
        <v>43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</row>
    <row r="67">
      <c r="A67" s="1" t="inlineStr">
        <is>
          <t>D8</t>
        </is>
      </c>
      <c r="B67" s="1" t="n">
        <v>44</v>
      </c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</row>
    <row r="68">
      <c r="A68" s="2" t="inlineStr">
        <is>
          <t>D9</t>
        </is>
      </c>
      <c r="B68" s="2" t="n">
        <v>45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</row>
    <row r="69">
      <c r="A69" s="1" t="inlineStr">
        <is>
          <t>D10</t>
        </is>
      </c>
      <c r="B69" s="1" t="n">
        <v>46</v>
      </c>
      <c r="C69" s="1" t="inlineStr">
        <is>
          <t>STANDARD</t>
        </is>
      </c>
      <c r="D69" s="1" t="inlineStr">
        <is>
          <t>STD 0.3</t>
        </is>
      </c>
      <c r="E69" s="1" t="inlineStr">
        <is>
          <t>CHO</t>
        </is>
      </c>
      <c r="F69" s="1" t="n">
        <v>22.9505</v>
      </c>
      <c r="G69" s="1" t="n">
        <v>23.0173</v>
      </c>
      <c r="H69" s="1" t="n">
        <v>0.29</v>
      </c>
      <c r="I69" s="1" t="n">
        <v>0.0672</v>
      </c>
      <c r="J69" s="1" t="n">
        <v>0.3</v>
      </c>
      <c r="K69" s="1" t="inlineStr"/>
      <c r="L69" s="1" t="inlineStr"/>
      <c r="M69" s="1" t="inlineStr"/>
      <c r="N69" s="1" t="n">
        <v>1</v>
      </c>
      <c r="O69" s="1" t="inlineStr"/>
      <c r="P69" s="1" t="inlineStr"/>
      <c r="Q69" s="1" t="n">
        <v>0.9998</v>
      </c>
      <c r="R69" s="1" t="n">
        <v>-3.3008</v>
      </c>
      <c r="S69" s="1" t="n">
        <v>21.3153</v>
      </c>
      <c r="T69" s="1" t="n">
        <v>0</v>
      </c>
      <c r="U69" s="1" t="inlineStr"/>
      <c r="V69" s="1" t="n">
        <v>0</v>
      </c>
      <c r="W69" s="1" t="n">
        <v>0.207</v>
      </c>
      <c r="X69" s="1" t="inlineStr">
        <is>
          <t>true</t>
        </is>
      </c>
      <c r="Y69" s="1" t="n">
        <v>1</v>
      </c>
      <c r="Z69" s="1" t="inlineStr">
        <is>
          <t>Yes</t>
        </is>
      </c>
      <c r="AA69" s="1" t="n">
        <v>3</v>
      </c>
      <c r="AB69" s="1" t="n">
        <v>17</v>
      </c>
      <c r="AC69" s="1" t="inlineStr"/>
      <c r="AD69" s="1" t="inlineStr"/>
      <c r="AE69" s="1" t="n">
        <v>0</v>
      </c>
      <c r="AF69" s="1" t="n">
        <v>0.3196</v>
      </c>
      <c r="AG69" s="1" t="n">
        <v>0.3053</v>
      </c>
      <c r="AH69" s="1" t="n">
        <v>4.68</v>
      </c>
      <c r="AI69" s="1" t="n">
        <v>0.0143</v>
      </c>
      <c r="AJ69" s="1" t="n">
        <v>-6.53</v>
      </c>
      <c r="AK69" s="1" t="n">
        <v>-1.7549</v>
      </c>
      <c r="AL69" s="1" t="inlineStr">
        <is>
          <t>Linear</t>
        </is>
      </c>
      <c r="AM69" s="1" t="n">
        <v>100.89</v>
      </c>
      <c r="AN69" s="1" t="inlineStr">
        <is>
          <t>Amplification</t>
        </is>
      </c>
      <c r="AO69" s="1" t="inlineStr">
        <is>
          <t>N</t>
        </is>
      </c>
      <c r="AP69" s="1" t="inlineStr">
        <is>
          <t>N</t>
        </is>
      </c>
      <c r="AQ69" s="1" t="inlineStr">
        <is>
          <t>N</t>
        </is>
      </c>
      <c r="AR69" s="1" t="inlineStr"/>
      <c r="AS69" s="1" t="inlineStr">
        <is>
          <t>N</t>
        </is>
      </c>
    </row>
    <row r="70">
      <c r="A70" s="2" t="inlineStr">
        <is>
          <t>D11</t>
        </is>
      </c>
      <c r="B70" s="2" t="n">
        <v>47</v>
      </c>
      <c r="C70" s="2" t="inlineStr">
        <is>
          <t>STANDARD</t>
        </is>
      </c>
      <c r="D70" s="2" t="inlineStr">
        <is>
          <t>STD 0.3</t>
        </is>
      </c>
      <c r="E70" s="2" t="inlineStr">
        <is>
          <t>CHO</t>
        </is>
      </c>
      <c r="F70" s="2" t="n">
        <v>23.0167</v>
      </c>
      <c r="G70" s="2" t="n">
        <v>23.0173</v>
      </c>
      <c r="H70" s="2" t="n">
        <v>0.29</v>
      </c>
      <c r="I70" s="2" t="n">
        <v>0.0672</v>
      </c>
      <c r="J70" s="2" t="n">
        <v>0.3</v>
      </c>
      <c r="K70" s="2" t="inlineStr"/>
      <c r="L70" s="2" t="inlineStr"/>
      <c r="M70" s="2" t="inlineStr"/>
      <c r="N70" s="2" t="n">
        <v>1</v>
      </c>
      <c r="O70" s="2" t="inlineStr"/>
      <c r="P70" s="2" t="inlineStr"/>
      <c r="Q70" s="2" t="n">
        <v>0.9998</v>
      </c>
      <c r="R70" s="2" t="n">
        <v>-3.3008</v>
      </c>
      <c r="S70" s="2" t="n">
        <v>21.3153</v>
      </c>
      <c r="T70" s="2" t="n">
        <v>0</v>
      </c>
      <c r="U70" s="2" t="inlineStr"/>
      <c r="V70" s="2" t="n">
        <v>0</v>
      </c>
      <c r="W70" s="2" t="n">
        <v>0.207</v>
      </c>
      <c r="X70" s="2" t="inlineStr">
        <is>
          <t>true</t>
        </is>
      </c>
      <c r="Y70" s="2" t="n">
        <v>1</v>
      </c>
      <c r="Z70" s="2" t="inlineStr">
        <is>
          <t>Yes</t>
        </is>
      </c>
      <c r="AA70" s="2" t="n">
        <v>3</v>
      </c>
      <c r="AB70" s="2" t="n">
        <v>17</v>
      </c>
      <c r="AC70" s="2" t="inlineStr"/>
      <c r="AD70" s="2" t="inlineStr"/>
      <c r="AE70" s="2" t="n">
        <v>0</v>
      </c>
      <c r="AF70" s="2" t="n">
        <v>0.3052</v>
      </c>
      <c r="AG70" s="2" t="n">
        <v>0.3053</v>
      </c>
      <c r="AH70" s="2" t="n">
        <v>4.68</v>
      </c>
      <c r="AI70" s="2" t="n">
        <v>0.0143</v>
      </c>
      <c r="AJ70" s="2" t="n">
        <v>-1.73</v>
      </c>
      <c r="AK70" s="2" t="n">
        <v>-1.7549</v>
      </c>
      <c r="AL70" s="2" t="inlineStr">
        <is>
          <t>Linear</t>
        </is>
      </c>
      <c r="AM70" s="2" t="n">
        <v>100.89</v>
      </c>
      <c r="AN70" s="2" t="inlineStr">
        <is>
          <t>Amplification</t>
        </is>
      </c>
      <c r="AO70" s="2" t="inlineStr">
        <is>
          <t>N</t>
        </is>
      </c>
      <c r="AP70" s="2" t="inlineStr">
        <is>
          <t>N</t>
        </is>
      </c>
      <c r="AQ70" s="2" t="inlineStr">
        <is>
          <t>N</t>
        </is>
      </c>
      <c r="AR70" s="2" t="inlineStr"/>
      <c r="AS70" s="2" t="inlineStr">
        <is>
          <t>N</t>
        </is>
      </c>
    </row>
    <row r="71">
      <c r="A71" s="1" t="inlineStr">
        <is>
          <t>D12</t>
        </is>
      </c>
      <c r="B71" s="1" t="n">
        <v>48</v>
      </c>
      <c r="C71" s="1" t="inlineStr">
        <is>
          <t>STANDARD</t>
        </is>
      </c>
      <c r="D71" s="1" t="inlineStr">
        <is>
          <t>STD 0.3</t>
        </is>
      </c>
      <c r="E71" s="1" t="inlineStr">
        <is>
          <t>CHO</t>
        </is>
      </c>
      <c r="F71" s="1" t="n">
        <v>23.0848</v>
      </c>
      <c r="G71" s="1" t="n">
        <v>23.0173</v>
      </c>
      <c r="H71" s="1" t="n">
        <v>0.29</v>
      </c>
      <c r="I71" s="1" t="n">
        <v>0.0672</v>
      </c>
      <c r="J71" s="1" t="n">
        <v>0.3</v>
      </c>
      <c r="K71" s="1" t="inlineStr"/>
      <c r="L71" s="1" t="inlineStr"/>
      <c r="M71" s="1" t="inlineStr"/>
      <c r="N71" s="1" t="n">
        <v>1</v>
      </c>
      <c r="O71" s="1" t="inlineStr"/>
      <c r="P71" s="1" t="inlineStr"/>
      <c r="Q71" s="1" t="n">
        <v>0.9998</v>
      </c>
      <c r="R71" s="1" t="n">
        <v>-3.3008</v>
      </c>
      <c r="S71" s="1" t="n">
        <v>21.3153</v>
      </c>
      <c r="T71" s="1" t="n">
        <v>0</v>
      </c>
      <c r="U71" s="1" t="inlineStr"/>
      <c r="V71" s="1" t="n">
        <v>0</v>
      </c>
      <c r="W71" s="1" t="n">
        <v>0.207</v>
      </c>
      <c r="X71" s="1" t="inlineStr">
        <is>
          <t>true</t>
        </is>
      </c>
      <c r="Y71" s="1" t="n">
        <v>1</v>
      </c>
      <c r="Z71" s="1" t="inlineStr">
        <is>
          <t>Yes</t>
        </is>
      </c>
      <c r="AA71" s="1" t="n">
        <v>3</v>
      </c>
      <c r="AB71" s="1" t="n">
        <v>18</v>
      </c>
      <c r="AC71" s="1" t="inlineStr"/>
      <c r="AD71" s="1" t="inlineStr"/>
      <c r="AE71" s="1" t="n">
        <v>0</v>
      </c>
      <c r="AF71" s="1" t="n">
        <v>0.291</v>
      </c>
      <c r="AG71" s="1" t="n">
        <v>0.3053</v>
      </c>
      <c r="AH71" s="1" t="n">
        <v>4.68</v>
      </c>
      <c r="AI71" s="1" t="n">
        <v>0.0143</v>
      </c>
      <c r="AJ71" s="1" t="n">
        <v>2.99</v>
      </c>
      <c r="AK71" s="1" t="n">
        <v>-1.7549</v>
      </c>
      <c r="AL71" s="1" t="inlineStr">
        <is>
          <t>Linear</t>
        </is>
      </c>
      <c r="AM71" s="1" t="n">
        <v>100.89</v>
      </c>
      <c r="AN71" s="1" t="inlineStr">
        <is>
          <t>Amplification</t>
        </is>
      </c>
      <c r="AO71" s="1" t="inlineStr">
        <is>
          <t>N</t>
        </is>
      </c>
      <c r="AP71" s="1" t="inlineStr">
        <is>
          <t>N</t>
        </is>
      </c>
      <c r="AQ71" s="1" t="inlineStr">
        <is>
          <t>N</t>
        </is>
      </c>
      <c r="AR71" s="1" t="inlineStr"/>
      <c r="AS71" s="1" t="inlineStr">
        <is>
          <t>N</t>
        </is>
      </c>
    </row>
    <row r="72">
      <c r="A72" s="2" t="inlineStr">
        <is>
          <t>E1</t>
        </is>
      </c>
      <c r="B72" s="2" t="n">
        <v>49</v>
      </c>
      <c r="C72" s="2" t="inlineStr">
        <is>
          <t>UNKNOWN</t>
        </is>
      </c>
      <c r="D72" s="2" t="inlineStr">
        <is>
          <t>HPC - 190</t>
        </is>
      </c>
      <c r="E72" s="2" t="inlineStr">
        <is>
          <t>CHO</t>
        </is>
      </c>
      <c r="F72" s="2" t="n">
        <v>13.7174</v>
      </c>
      <c r="G72" s="2" t="n">
        <v>13.6248</v>
      </c>
      <c r="H72" s="2" t="n">
        <v>1.05</v>
      </c>
      <c r="I72" s="2" t="n">
        <v>0.1432</v>
      </c>
      <c r="J72" s="2" t="n">
        <v>200.3741</v>
      </c>
      <c r="K72" s="2" t="n">
        <v>214.4659</v>
      </c>
      <c r="L72" s="2" t="n">
        <v>21.9958</v>
      </c>
      <c r="M72" s="2" t="n">
        <v>10.26</v>
      </c>
      <c r="N72" s="2" t="n">
        <v>1</v>
      </c>
      <c r="O72" s="2" t="n">
        <v>214.4659</v>
      </c>
      <c r="P72" s="2" t="n">
        <v>112.88</v>
      </c>
      <c r="Q72" s="2" t="n">
        <v>0.9998</v>
      </c>
      <c r="R72" s="2" t="n">
        <v>-3.3008</v>
      </c>
      <c r="S72" s="2" t="n">
        <v>21.3153</v>
      </c>
      <c r="T72" s="2" t="n">
        <v>214.4659</v>
      </c>
      <c r="U72" s="2" t="inlineStr"/>
      <c r="V72" s="2" t="n">
        <v>0</v>
      </c>
      <c r="W72" s="2" t="n">
        <v>0.207</v>
      </c>
      <c r="X72" s="2" t="inlineStr">
        <is>
          <t>true</t>
        </is>
      </c>
      <c r="Y72" s="2" t="n">
        <v>1</v>
      </c>
      <c r="Z72" s="2" t="inlineStr">
        <is>
          <t>Yes</t>
        </is>
      </c>
      <c r="AA72" s="2" t="n">
        <v>3</v>
      </c>
      <c r="AB72" s="2" t="n">
        <v>9</v>
      </c>
      <c r="AC72" s="2" t="n">
        <v>0</v>
      </c>
      <c r="AD72" s="2" t="n">
        <v>214.4659</v>
      </c>
      <c r="AE72" s="2" t="n">
        <v>189.9937</v>
      </c>
      <c r="AF72" s="2" t="inlineStr"/>
      <c r="AG72" s="2" t="inlineStr"/>
      <c r="AH72" s="2" t="inlineStr"/>
      <c r="AI72" s="2" t="inlineStr"/>
      <c r="AJ72" s="2" t="inlineStr"/>
      <c r="AK72" s="2" t="inlineStr"/>
      <c r="AL72" s="2" t="inlineStr">
        <is>
          <t>Linear</t>
        </is>
      </c>
      <c r="AM72" s="2" t="n">
        <v>100.89</v>
      </c>
      <c r="AN72" s="2" t="inlineStr">
        <is>
          <t>Amplification</t>
        </is>
      </c>
      <c r="AO72" s="2" t="inlineStr">
        <is>
          <t>N</t>
        </is>
      </c>
      <c r="AP72" s="2" t="inlineStr">
        <is>
          <t>N</t>
        </is>
      </c>
      <c r="AQ72" s="2" t="inlineStr">
        <is>
          <t>N</t>
        </is>
      </c>
      <c r="AR72" s="2" t="inlineStr"/>
      <c r="AS72" s="2" t="inlineStr">
        <is>
          <t>N</t>
        </is>
      </c>
    </row>
    <row r="73">
      <c r="A73" s="1" t="inlineStr">
        <is>
          <t>E2</t>
        </is>
      </c>
      <c r="B73" s="1" t="n">
        <v>50</v>
      </c>
      <c r="C73" s="1" t="inlineStr">
        <is>
          <t>UNKNOWN</t>
        </is>
      </c>
      <c r="D73" s="1" t="inlineStr">
        <is>
          <t>HPC - 190</t>
        </is>
      </c>
      <c r="E73" s="1" t="inlineStr">
        <is>
          <t>CHO</t>
        </is>
      </c>
      <c r="F73" s="1" t="n">
        <v>13.6972</v>
      </c>
      <c r="G73" s="1" t="n">
        <v>13.6248</v>
      </c>
      <c r="H73" s="1" t="n">
        <v>1.05</v>
      </c>
      <c r="I73" s="1" t="n">
        <v>0.1432</v>
      </c>
      <c r="J73" s="1" t="n">
        <v>203.212</v>
      </c>
      <c r="K73" s="1" t="n">
        <v>214.4659</v>
      </c>
      <c r="L73" s="1" t="n">
        <v>21.9958</v>
      </c>
      <c r="M73" s="1" t="n">
        <v>10.26</v>
      </c>
      <c r="N73" s="1" t="n">
        <v>1</v>
      </c>
      <c r="O73" s="1" t="n">
        <v>214.4659</v>
      </c>
      <c r="P73" s="1" t="n">
        <v>112.88</v>
      </c>
      <c r="Q73" s="1" t="n">
        <v>0.9998</v>
      </c>
      <c r="R73" s="1" t="n">
        <v>-3.3008</v>
      </c>
      <c r="S73" s="1" t="n">
        <v>21.3153</v>
      </c>
      <c r="T73" s="1" t="n">
        <v>214.4659</v>
      </c>
      <c r="U73" s="1" t="inlineStr"/>
      <c r="V73" s="1" t="n">
        <v>0</v>
      </c>
      <c r="W73" s="1" t="n">
        <v>0.207</v>
      </c>
      <c r="X73" s="1" t="inlineStr">
        <is>
          <t>true</t>
        </is>
      </c>
      <c r="Y73" s="1" t="n">
        <v>1</v>
      </c>
      <c r="Z73" s="1" t="inlineStr">
        <is>
          <t>Yes</t>
        </is>
      </c>
      <c r="AA73" s="1" t="n">
        <v>3</v>
      </c>
      <c r="AB73" s="1" t="n">
        <v>9</v>
      </c>
      <c r="AC73" s="1" t="n">
        <v>0</v>
      </c>
      <c r="AD73" s="1" t="n">
        <v>214.4659</v>
      </c>
      <c r="AE73" s="1" t="n">
        <v>189.9937</v>
      </c>
      <c r="AF73" s="1" t="inlineStr"/>
      <c r="AG73" s="1" t="inlineStr"/>
      <c r="AH73" s="1" t="inlineStr"/>
      <c r="AI73" s="1" t="inlineStr"/>
      <c r="AJ73" s="1" t="inlineStr"/>
      <c r="AK73" s="1" t="inlineStr"/>
      <c r="AL73" s="1" t="inlineStr">
        <is>
          <t>Linear</t>
        </is>
      </c>
      <c r="AM73" s="1" t="n">
        <v>100.89</v>
      </c>
      <c r="AN73" s="1" t="inlineStr">
        <is>
          <t>Amplification</t>
        </is>
      </c>
      <c r="AO73" s="1" t="inlineStr">
        <is>
          <t>N</t>
        </is>
      </c>
      <c r="AP73" s="1" t="inlineStr">
        <is>
          <t>N</t>
        </is>
      </c>
      <c r="AQ73" s="1" t="inlineStr">
        <is>
          <t>N</t>
        </is>
      </c>
      <c r="AR73" s="1" t="inlineStr"/>
      <c r="AS73" s="1" t="inlineStr">
        <is>
          <t>N</t>
        </is>
      </c>
    </row>
    <row r="74">
      <c r="A74" s="2" t="inlineStr">
        <is>
          <t>E3</t>
        </is>
      </c>
      <c r="B74" s="2" t="n">
        <v>51</v>
      </c>
      <c r="C74" s="2" t="inlineStr">
        <is>
          <t>UNKNOWN</t>
        </is>
      </c>
      <c r="D74" s="2" t="inlineStr">
        <is>
          <t>HPC - 190</t>
        </is>
      </c>
      <c r="E74" s="2" t="inlineStr">
        <is>
          <t>CHO</t>
        </is>
      </c>
      <c r="F74" s="2" t="n">
        <v>13.4598</v>
      </c>
      <c r="G74" s="2" t="n">
        <v>13.6248</v>
      </c>
      <c r="H74" s="2" t="n">
        <v>1.05</v>
      </c>
      <c r="I74" s="2" t="n">
        <v>0.1432</v>
      </c>
      <c r="J74" s="2" t="n">
        <v>239.8116</v>
      </c>
      <c r="K74" s="2" t="n">
        <v>214.4659</v>
      </c>
      <c r="L74" s="2" t="n">
        <v>21.9958</v>
      </c>
      <c r="M74" s="2" t="n">
        <v>10.26</v>
      </c>
      <c r="N74" s="2" t="n">
        <v>1</v>
      </c>
      <c r="O74" s="2" t="n">
        <v>214.4659</v>
      </c>
      <c r="P74" s="2" t="n">
        <v>112.88</v>
      </c>
      <c r="Q74" s="2" t="n">
        <v>0.9998</v>
      </c>
      <c r="R74" s="2" t="n">
        <v>-3.3008</v>
      </c>
      <c r="S74" s="2" t="n">
        <v>21.3153</v>
      </c>
      <c r="T74" s="2" t="n">
        <v>214.4659</v>
      </c>
      <c r="U74" s="2" t="inlineStr"/>
      <c r="V74" s="2" t="n">
        <v>0</v>
      </c>
      <c r="W74" s="2" t="n">
        <v>0.207</v>
      </c>
      <c r="X74" s="2" t="inlineStr">
        <is>
          <t>true</t>
        </is>
      </c>
      <c r="Y74" s="2" t="n">
        <v>1</v>
      </c>
      <c r="Z74" s="2" t="inlineStr">
        <is>
          <t>Yes</t>
        </is>
      </c>
      <c r="AA74" s="2" t="n">
        <v>3</v>
      </c>
      <c r="AB74" s="2" t="n">
        <v>7</v>
      </c>
      <c r="AC74" s="2" t="n">
        <v>0</v>
      </c>
      <c r="AD74" s="2" t="n">
        <v>214.4659</v>
      </c>
      <c r="AE74" s="2" t="n">
        <v>189.9937</v>
      </c>
      <c r="AF74" s="2" t="inlineStr"/>
      <c r="AG74" s="2" t="inlineStr"/>
      <c r="AH74" s="2" t="inlineStr"/>
      <c r="AI74" s="2" t="inlineStr"/>
      <c r="AJ74" s="2" t="inlineStr"/>
      <c r="AK74" s="2" t="inlineStr"/>
      <c r="AL74" s="2" t="inlineStr">
        <is>
          <t>Linear</t>
        </is>
      </c>
      <c r="AM74" s="2" t="n">
        <v>100.89</v>
      </c>
      <c r="AN74" s="2" t="inlineStr">
        <is>
          <t>Amplification</t>
        </is>
      </c>
      <c r="AO74" s="2" t="inlineStr">
        <is>
          <t>N</t>
        </is>
      </c>
      <c r="AP74" s="2" t="inlineStr">
        <is>
          <t>N</t>
        </is>
      </c>
      <c r="AQ74" s="2" t="inlineStr">
        <is>
          <t>N</t>
        </is>
      </c>
      <c r="AR74" s="2" t="inlineStr"/>
      <c r="AS74" s="2" t="inlineStr">
        <is>
          <t>N</t>
        </is>
      </c>
    </row>
    <row r="75">
      <c r="A75" s="1" t="inlineStr">
        <is>
          <t>E4</t>
        </is>
      </c>
      <c r="B75" s="1" t="n">
        <v>52</v>
      </c>
      <c r="C75" s="1" t="inlineStr">
        <is>
          <t>UNKNOWN</t>
        </is>
      </c>
      <c r="D75" s="1" t="inlineStr">
        <is>
          <t>S1 D1 S</t>
        </is>
      </c>
      <c r="E75" s="1" t="inlineStr">
        <is>
          <t>CHO</t>
        </is>
      </c>
      <c r="F75" s="1" t="n">
        <v>19.6437</v>
      </c>
      <c r="G75" s="1" t="n">
        <v>19.6189</v>
      </c>
      <c r="H75" s="1" t="n">
        <v>0.21</v>
      </c>
      <c r="I75" s="1" t="n">
        <v>0.0412</v>
      </c>
      <c r="J75" s="1" t="n">
        <v>3.2094</v>
      </c>
      <c r="K75" s="1" t="n">
        <v>3.2664</v>
      </c>
      <c r="L75" s="1" t="n">
        <v>0.09470000000000001</v>
      </c>
      <c r="M75" s="1" t="n">
        <v>2.9</v>
      </c>
      <c r="N75" s="1" t="n">
        <v>1</v>
      </c>
      <c r="O75" s="1" t="n">
        <v>3.2664</v>
      </c>
      <c r="P75" s="1" t="n">
        <v>108.88</v>
      </c>
      <c r="Q75" s="1" t="n">
        <v>0.9998</v>
      </c>
      <c r="R75" s="1" t="n">
        <v>-3.3008</v>
      </c>
      <c r="S75" s="1" t="n">
        <v>21.3153</v>
      </c>
      <c r="T75" s="1" t="n">
        <v>3.2664</v>
      </c>
      <c r="U75" s="1" t="inlineStr"/>
      <c r="V75" s="1" t="n">
        <v>0</v>
      </c>
      <c r="W75" s="1" t="n">
        <v>0.207</v>
      </c>
      <c r="X75" s="1" t="inlineStr">
        <is>
          <t>true</t>
        </is>
      </c>
      <c r="Y75" s="1" t="n">
        <v>1</v>
      </c>
      <c r="Z75" s="1" t="inlineStr">
        <is>
          <t>Yes</t>
        </is>
      </c>
      <c r="AA75" s="1" t="n">
        <v>3</v>
      </c>
      <c r="AB75" s="1" t="n">
        <v>14</v>
      </c>
      <c r="AC75" s="1" t="n">
        <v>0</v>
      </c>
      <c r="AD75" s="1" t="n">
        <v>3.2664</v>
      </c>
      <c r="AE75" s="1" t="n">
        <v>3</v>
      </c>
      <c r="AF75" s="1" t="inlineStr"/>
      <c r="AG75" s="1" t="inlineStr"/>
      <c r="AH75" s="1" t="inlineStr"/>
      <c r="AI75" s="1" t="inlineStr"/>
      <c r="AJ75" s="1" t="inlineStr"/>
      <c r="AK75" s="1" t="inlineStr"/>
      <c r="AL75" s="1" t="inlineStr">
        <is>
          <t>Linear</t>
        </is>
      </c>
      <c r="AM75" s="1" t="n">
        <v>100.89</v>
      </c>
      <c r="AN75" s="1" t="inlineStr">
        <is>
          <t>Amplification</t>
        </is>
      </c>
      <c r="AO75" s="1" t="inlineStr">
        <is>
          <t>N</t>
        </is>
      </c>
      <c r="AP75" s="1" t="inlineStr">
        <is>
          <t>N</t>
        </is>
      </c>
      <c r="AQ75" s="1" t="inlineStr">
        <is>
          <t>N</t>
        </is>
      </c>
      <c r="AR75" s="1" t="inlineStr"/>
      <c r="AS75" s="1" t="inlineStr">
        <is>
          <t>N</t>
        </is>
      </c>
    </row>
    <row r="76">
      <c r="A76" s="2" t="inlineStr">
        <is>
          <t>E5</t>
        </is>
      </c>
      <c r="B76" s="2" t="n">
        <v>53</v>
      </c>
      <c r="C76" s="2" t="inlineStr">
        <is>
          <t>UNKNOWN</t>
        </is>
      </c>
      <c r="D76" s="2" t="inlineStr">
        <is>
          <t>S1 D1 S</t>
        </is>
      </c>
      <c r="E76" s="2" t="inlineStr">
        <is>
          <t>CHO</t>
        </is>
      </c>
      <c r="F76" s="2" t="n">
        <v>19.5713</v>
      </c>
      <c r="G76" s="2" t="n">
        <v>19.6189</v>
      </c>
      <c r="H76" s="2" t="n">
        <v>0.21</v>
      </c>
      <c r="I76" s="2" t="n">
        <v>0.0412</v>
      </c>
      <c r="J76" s="2" t="n">
        <v>3.3757</v>
      </c>
      <c r="K76" s="2" t="n">
        <v>3.2664</v>
      </c>
      <c r="L76" s="2" t="n">
        <v>0.09470000000000001</v>
      </c>
      <c r="M76" s="2" t="n">
        <v>2.9</v>
      </c>
      <c r="N76" s="2" t="n">
        <v>1</v>
      </c>
      <c r="O76" s="2" t="n">
        <v>3.2664</v>
      </c>
      <c r="P76" s="2" t="n">
        <v>108.88</v>
      </c>
      <c r="Q76" s="2" t="n">
        <v>0.9998</v>
      </c>
      <c r="R76" s="2" t="n">
        <v>-3.3008</v>
      </c>
      <c r="S76" s="2" t="n">
        <v>21.3153</v>
      </c>
      <c r="T76" s="2" t="n">
        <v>3.2664</v>
      </c>
      <c r="U76" s="2" t="inlineStr"/>
      <c r="V76" s="2" t="n">
        <v>0</v>
      </c>
      <c r="W76" s="2" t="n">
        <v>0.207</v>
      </c>
      <c r="X76" s="2" t="inlineStr">
        <is>
          <t>true</t>
        </is>
      </c>
      <c r="Y76" s="2" t="n">
        <v>1</v>
      </c>
      <c r="Z76" s="2" t="inlineStr">
        <is>
          <t>Yes</t>
        </is>
      </c>
      <c r="AA76" s="2" t="n">
        <v>3</v>
      </c>
      <c r="AB76" s="2" t="n">
        <v>14</v>
      </c>
      <c r="AC76" s="2" t="n">
        <v>0</v>
      </c>
      <c r="AD76" s="2" t="n">
        <v>3.2664</v>
      </c>
      <c r="AE76" s="2" t="n">
        <v>3</v>
      </c>
      <c r="AF76" s="2" t="inlineStr"/>
      <c r="AG76" s="2" t="inlineStr"/>
      <c r="AH76" s="2" t="inlineStr"/>
      <c r="AI76" s="2" t="inlineStr"/>
      <c r="AJ76" s="2" t="inlineStr"/>
      <c r="AK76" s="2" t="inlineStr"/>
      <c r="AL76" s="2" t="inlineStr">
        <is>
          <t>Linear</t>
        </is>
      </c>
      <c r="AM76" s="2" t="n">
        <v>100.89</v>
      </c>
      <c r="AN76" s="2" t="inlineStr">
        <is>
          <t>Amplification</t>
        </is>
      </c>
      <c r="AO76" s="2" t="inlineStr">
        <is>
          <t>N</t>
        </is>
      </c>
      <c r="AP76" s="2" t="inlineStr">
        <is>
          <t>N</t>
        </is>
      </c>
      <c r="AQ76" s="2" t="inlineStr">
        <is>
          <t>N</t>
        </is>
      </c>
      <c r="AR76" s="2" t="inlineStr"/>
      <c r="AS76" s="2" t="inlineStr">
        <is>
          <t>N</t>
        </is>
      </c>
    </row>
    <row r="77">
      <c r="A77" s="1" t="inlineStr">
        <is>
          <t>E6</t>
        </is>
      </c>
      <c r="B77" s="1" t="n">
        <v>54</v>
      </c>
      <c r="C77" s="1" t="inlineStr">
        <is>
          <t>UNKNOWN</t>
        </is>
      </c>
      <c r="D77" s="1" t="inlineStr">
        <is>
          <t>S1 D1 S</t>
        </is>
      </c>
      <c r="E77" s="1" t="inlineStr">
        <is>
          <t>CHO</t>
        </is>
      </c>
      <c r="F77" s="1" t="n">
        <v>19.6417</v>
      </c>
      <c r="G77" s="1" t="n">
        <v>19.6189</v>
      </c>
      <c r="H77" s="1" t="n">
        <v>0.21</v>
      </c>
      <c r="I77" s="1" t="n">
        <v>0.0412</v>
      </c>
      <c r="J77" s="1" t="n">
        <v>3.214</v>
      </c>
      <c r="K77" s="1" t="n">
        <v>3.2664</v>
      </c>
      <c r="L77" s="1" t="n">
        <v>0.09470000000000001</v>
      </c>
      <c r="M77" s="1" t="n">
        <v>2.9</v>
      </c>
      <c r="N77" s="1" t="n">
        <v>1</v>
      </c>
      <c r="O77" s="1" t="n">
        <v>3.2664</v>
      </c>
      <c r="P77" s="1" t="n">
        <v>108.88</v>
      </c>
      <c r="Q77" s="1" t="n">
        <v>0.9998</v>
      </c>
      <c r="R77" s="1" t="n">
        <v>-3.3008</v>
      </c>
      <c r="S77" s="1" t="n">
        <v>21.3153</v>
      </c>
      <c r="T77" s="1" t="n">
        <v>3.2664</v>
      </c>
      <c r="U77" s="1" t="inlineStr"/>
      <c r="V77" s="1" t="n">
        <v>0</v>
      </c>
      <c r="W77" s="1" t="n">
        <v>0.207</v>
      </c>
      <c r="X77" s="1" t="inlineStr">
        <is>
          <t>true</t>
        </is>
      </c>
      <c r="Y77" s="1" t="n">
        <v>1</v>
      </c>
      <c r="Z77" s="1" t="inlineStr">
        <is>
          <t>Yes</t>
        </is>
      </c>
      <c r="AA77" s="1" t="n">
        <v>3</v>
      </c>
      <c r="AB77" s="1" t="n">
        <v>15</v>
      </c>
      <c r="AC77" s="1" t="n">
        <v>0</v>
      </c>
      <c r="AD77" s="1" t="n">
        <v>3.2664</v>
      </c>
      <c r="AE77" s="1" t="n">
        <v>3</v>
      </c>
      <c r="AF77" s="1" t="inlineStr"/>
      <c r="AG77" s="1" t="inlineStr"/>
      <c r="AH77" s="1" t="inlineStr"/>
      <c r="AI77" s="1" t="inlineStr"/>
      <c r="AJ77" s="1" t="inlineStr"/>
      <c r="AK77" s="1" t="inlineStr"/>
      <c r="AL77" s="1" t="inlineStr">
        <is>
          <t>Linear</t>
        </is>
      </c>
      <c r="AM77" s="1" t="n">
        <v>100.89</v>
      </c>
      <c r="AN77" s="1" t="inlineStr">
        <is>
          <t>Amplification</t>
        </is>
      </c>
      <c r="AO77" s="1" t="inlineStr">
        <is>
          <t>N</t>
        </is>
      </c>
      <c r="AP77" s="1" t="inlineStr">
        <is>
          <t>N</t>
        </is>
      </c>
      <c r="AQ77" s="1" t="inlineStr">
        <is>
          <t>N</t>
        </is>
      </c>
      <c r="AR77" s="1" t="inlineStr"/>
      <c r="AS77" s="1" t="inlineStr">
        <is>
          <t>N</t>
        </is>
      </c>
    </row>
    <row r="78">
      <c r="A78" s="2" t="inlineStr">
        <is>
          <t>E7</t>
        </is>
      </c>
      <c r="B78" s="2" t="n">
        <v>55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</row>
    <row r="79">
      <c r="A79" s="1" t="inlineStr">
        <is>
          <t>E8</t>
        </is>
      </c>
      <c r="B79" s="1" t="n">
        <v>56</v>
      </c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</row>
    <row r="80">
      <c r="A80" s="2" t="inlineStr">
        <is>
          <t>E9</t>
        </is>
      </c>
      <c r="B80" s="2" t="n">
        <v>57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</row>
    <row r="81">
      <c r="A81" s="1" t="inlineStr">
        <is>
          <t>E10</t>
        </is>
      </c>
      <c r="B81" s="1" t="n">
        <v>58</v>
      </c>
      <c r="C81" s="1" t="inlineStr">
        <is>
          <t>STANDARD</t>
        </is>
      </c>
      <c r="D81" s="1" t="inlineStr">
        <is>
          <t>STD 0.03</t>
        </is>
      </c>
      <c r="E81" s="1" t="inlineStr">
        <is>
          <t>CHO</t>
        </is>
      </c>
      <c r="F81" s="1" t="n">
        <v>26.2974</v>
      </c>
      <c r="G81" s="1" t="n">
        <v>26.2855</v>
      </c>
      <c r="H81" s="1" t="n">
        <v>0.11</v>
      </c>
      <c r="I81" s="1" t="n">
        <v>0.0285</v>
      </c>
      <c r="J81" s="1" t="n">
        <v>0.03</v>
      </c>
      <c r="K81" s="1" t="inlineStr"/>
      <c r="L81" s="1" t="inlineStr"/>
      <c r="M81" s="1" t="inlineStr"/>
      <c r="N81" s="1" t="n">
        <v>1</v>
      </c>
      <c r="O81" s="1" t="inlineStr"/>
      <c r="P81" s="1" t="inlineStr"/>
      <c r="Q81" s="1" t="n">
        <v>0.9998</v>
      </c>
      <c r="R81" s="1" t="n">
        <v>-3.3008</v>
      </c>
      <c r="S81" s="1" t="n">
        <v>21.3153</v>
      </c>
      <c r="T81" s="1" t="n">
        <v>0</v>
      </c>
      <c r="U81" s="1" t="inlineStr"/>
      <c r="V81" s="1" t="n">
        <v>0</v>
      </c>
      <c r="W81" s="1" t="n">
        <v>0.207</v>
      </c>
      <c r="X81" s="1" t="inlineStr">
        <is>
          <t>true</t>
        </is>
      </c>
      <c r="Y81" s="1" t="n">
        <v>1</v>
      </c>
      <c r="Z81" s="1" t="inlineStr">
        <is>
          <t>Yes</t>
        </is>
      </c>
      <c r="AA81" s="1" t="n">
        <v>3</v>
      </c>
      <c r="AB81" s="1" t="n">
        <v>20</v>
      </c>
      <c r="AC81" s="1" t="inlineStr"/>
      <c r="AD81" s="1" t="inlineStr"/>
      <c r="AE81" s="1" t="n">
        <v>0</v>
      </c>
      <c r="AF81" s="1" t="n">
        <v>0.0309</v>
      </c>
      <c r="AG81" s="1" t="n">
        <v>0.0312</v>
      </c>
      <c r="AH81" s="1" t="n">
        <v>2</v>
      </c>
      <c r="AI81" s="1" t="n">
        <v>0.0005999999999999999</v>
      </c>
      <c r="AJ81" s="1" t="n">
        <v>-3.16</v>
      </c>
      <c r="AK81" s="1" t="n">
        <v>-4.0363</v>
      </c>
      <c r="AL81" s="1" t="inlineStr">
        <is>
          <t>Linear</t>
        </is>
      </c>
      <c r="AM81" s="1" t="n">
        <v>100.89</v>
      </c>
      <c r="AN81" s="1" t="inlineStr">
        <is>
          <t>Amplification</t>
        </is>
      </c>
      <c r="AO81" s="1" t="inlineStr">
        <is>
          <t>N</t>
        </is>
      </c>
      <c r="AP81" s="1" t="inlineStr">
        <is>
          <t>N</t>
        </is>
      </c>
      <c r="AQ81" s="1" t="inlineStr">
        <is>
          <t>N</t>
        </is>
      </c>
      <c r="AR81" s="1" t="inlineStr"/>
      <c r="AS81" s="1" t="inlineStr">
        <is>
          <t>N</t>
        </is>
      </c>
    </row>
    <row r="82">
      <c r="A82" s="2" t="inlineStr">
        <is>
          <t>E11</t>
        </is>
      </c>
      <c r="B82" s="2" t="n">
        <v>59</v>
      </c>
      <c r="C82" s="2" t="inlineStr">
        <is>
          <t>STANDARD</t>
        </is>
      </c>
      <c r="D82" s="2" t="inlineStr">
        <is>
          <t>STD 0.03</t>
        </is>
      </c>
      <c r="E82" s="2" t="inlineStr">
        <is>
          <t>CHO</t>
        </is>
      </c>
      <c r="F82" s="2" t="n">
        <v>26.3061</v>
      </c>
      <c r="G82" s="2" t="n">
        <v>26.2855</v>
      </c>
      <c r="H82" s="2" t="n">
        <v>0.11</v>
      </c>
      <c r="I82" s="2" t="n">
        <v>0.0285</v>
      </c>
      <c r="J82" s="2" t="n">
        <v>0.03</v>
      </c>
      <c r="K82" s="2" t="inlineStr"/>
      <c r="L82" s="2" t="inlineStr"/>
      <c r="M82" s="2" t="inlineStr"/>
      <c r="N82" s="2" t="n">
        <v>1</v>
      </c>
      <c r="O82" s="2" t="inlineStr"/>
      <c r="P82" s="2" t="inlineStr"/>
      <c r="Q82" s="2" t="n">
        <v>0.9998</v>
      </c>
      <c r="R82" s="2" t="n">
        <v>-3.3008</v>
      </c>
      <c r="S82" s="2" t="n">
        <v>21.3153</v>
      </c>
      <c r="T82" s="2" t="n">
        <v>0</v>
      </c>
      <c r="U82" s="2" t="inlineStr"/>
      <c r="V82" s="2" t="n">
        <v>0</v>
      </c>
      <c r="W82" s="2" t="n">
        <v>0.207</v>
      </c>
      <c r="X82" s="2" t="inlineStr">
        <is>
          <t>true</t>
        </is>
      </c>
      <c r="Y82" s="2" t="n">
        <v>1</v>
      </c>
      <c r="Z82" s="2" t="inlineStr">
        <is>
          <t>Yes</t>
        </is>
      </c>
      <c r="AA82" s="2" t="n">
        <v>3</v>
      </c>
      <c r="AB82" s="2" t="n">
        <v>20</v>
      </c>
      <c r="AC82" s="2" t="inlineStr"/>
      <c r="AD82" s="2" t="inlineStr"/>
      <c r="AE82" s="2" t="n">
        <v>0</v>
      </c>
      <c r="AF82" s="2" t="n">
        <v>0.0308</v>
      </c>
      <c r="AG82" s="2" t="n">
        <v>0.0312</v>
      </c>
      <c r="AH82" s="2" t="n">
        <v>2</v>
      </c>
      <c r="AI82" s="2" t="n">
        <v>0.0005999999999999999</v>
      </c>
      <c r="AJ82" s="2" t="n">
        <v>-2.54</v>
      </c>
      <c r="AK82" s="2" t="n">
        <v>-4.0363</v>
      </c>
      <c r="AL82" s="2" t="inlineStr">
        <is>
          <t>Linear</t>
        </is>
      </c>
      <c r="AM82" s="2" t="n">
        <v>100.89</v>
      </c>
      <c r="AN82" s="2" t="inlineStr">
        <is>
          <t>Amplification</t>
        </is>
      </c>
      <c r="AO82" s="2" t="inlineStr">
        <is>
          <t>N</t>
        </is>
      </c>
      <c r="AP82" s="2" t="inlineStr">
        <is>
          <t>N</t>
        </is>
      </c>
      <c r="AQ82" s="2" t="inlineStr">
        <is>
          <t>N</t>
        </is>
      </c>
      <c r="AR82" s="2" t="inlineStr"/>
      <c r="AS82" s="2" t="inlineStr">
        <is>
          <t>N</t>
        </is>
      </c>
    </row>
    <row r="83">
      <c r="A83" s="1" t="inlineStr">
        <is>
          <t>E12</t>
        </is>
      </c>
      <c r="B83" s="1" t="n">
        <v>60</v>
      </c>
      <c r="C83" s="1" t="inlineStr">
        <is>
          <t>STANDARD</t>
        </is>
      </c>
      <c r="D83" s="1" t="inlineStr">
        <is>
          <t>STD 0.03</t>
        </is>
      </c>
      <c r="E83" s="1" t="inlineStr">
        <is>
          <t>CHO</t>
        </is>
      </c>
      <c r="F83" s="1" t="n">
        <v>26.2529</v>
      </c>
      <c r="G83" s="1" t="n">
        <v>26.2855</v>
      </c>
      <c r="H83" s="1" t="n">
        <v>0.11</v>
      </c>
      <c r="I83" s="1" t="n">
        <v>0.0285</v>
      </c>
      <c r="J83" s="1" t="n">
        <v>0.03</v>
      </c>
      <c r="K83" s="1" t="inlineStr"/>
      <c r="L83" s="1" t="inlineStr"/>
      <c r="M83" s="1" t="inlineStr"/>
      <c r="N83" s="1" t="n">
        <v>1</v>
      </c>
      <c r="O83" s="1" t="inlineStr"/>
      <c r="P83" s="1" t="inlineStr"/>
      <c r="Q83" s="1" t="n">
        <v>0.9998</v>
      </c>
      <c r="R83" s="1" t="n">
        <v>-3.3008</v>
      </c>
      <c r="S83" s="1" t="n">
        <v>21.3153</v>
      </c>
      <c r="T83" s="1" t="n">
        <v>0</v>
      </c>
      <c r="U83" s="1" t="inlineStr"/>
      <c r="V83" s="1" t="n">
        <v>0</v>
      </c>
      <c r="W83" s="1" t="n">
        <v>0.207</v>
      </c>
      <c r="X83" s="1" t="inlineStr">
        <is>
          <t>true</t>
        </is>
      </c>
      <c r="Y83" s="1" t="n">
        <v>1</v>
      </c>
      <c r="Z83" s="1" t="inlineStr">
        <is>
          <t>Yes</t>
        </is>
      </c>
      <c r="AA83" s="1" t="n">
        <v>3</v>
      </c>
      <c r="AB83" s="1" t="n">
        <v>20</v>
      </c>
      <c r="AC83" s="1" t="inlineStr"/>
      <c r="AD83" s="1" t="inlineStr"/>
      <c r="AE83" s="1" t="n">
        <v>0</v>
      </c>
      <c r="AF83" s="1" t="n">
        <v>0.0319</v>
      </c>
      <c r="AG83" s="1" t="n">
        <v>0.0312</v>
      </c>
      <c r="AH83" s="1" t="n">
        <v>2</v>
      </c>
      <c r="AI83" s="1" t="n">
        <v>0.0005999999999999999</v>
      </c>
      <c r="AJ83" s="1" t="n">
        <v>-6.41</v>
      </c>
      <c r="AK83" s="1" t="n">
        <v>-4.0363</v>
      </c>
      <c r="AL83" s="1" t="inlineStr">
        <is>
          <t>Linear</t>
        </is>
      </c>
      <c r="AM83" s="1" t="n">
        <v>100.89</v>
      </c>
      <c r="AN83" s="1" t="inlineStr">
        <is>
          <t>Amplification</t>
        </is>
      </c>
      <c r="AO83" s="1" t="inlineStr">
        <is>
          <t>N</t>
        </is>
      </c>
      <c r="AP83" s="1" t="inlineStr">
        <is>
          <t>N</t>
        </is>
      </c>
      <c r="AQ83" s="1" t="inlineStr">
        <is>
          <t>N</t>
        </is>
      </c>
      <c r="AR83" s="1" t="inlineStr"/>
      <c r="AS83" s="1" t="inlineStr">
        <is>
          <t>N</t>
        </is>
      </c>
    </row>
    <row r="84">
      <c r="A84" s="2" t="inlineStr">
        <is>
          <t>F1</t>
        </is>
      </c>
      <c r="B84" s="2" t="n">
        <v>61</v>
      </c>
      <c r="C84" s="2" t="inlineStr">
        <is>
          <t>UNKNOWN</t>
        </is>
      </c>
      <c r="D84" s="2" t="inlineStr">
        <is>
          <t>MPC - 10</t>
        </is>
      </c>
      <c r="E84" s="2" t="inlineStr">
        <is>
          <t>CHO</t>
        </is>
      </c>
      <c r="F84" s="2" t="n">
        <v>17.9251</v>
      </c>
      <c r="G84" s="2" t="n">
        <v>17.8808</v>
      </c>
      <c r="H84" s="2" t="n">
        <v>0.41</v>
      </c>
      <c r="I84" s="2" t="n">
        <v>0.0731</v>
      </c>
      <c r="J84" s="2" t="n">
        <v>10.6433</v>
      </c>
      <c r="K84" s="2" t="n">
        <v>10.9875</v>
      </c>
      <c r="L84" s="2" t="n">
        <v>0.5681</v>
      </c>
      <c r="M84" s="2" t="n">
        <v>5.17</v>
      </c>
      <c r="N84" s="2" t="n">
        <v>1</v>
      </c>
      <c r="O84" s="2" t="n">
        <v>10.9875</v>
      </c>
      <c r="P84" s="2" t="n">
        <v>109.87</v>
      </c>
      <c r="Q84" s="2" t="n">
        <v>0.9998</v>
      </c>
      <c r="R84" s="2" t="n">
        <v>-3.3008</v>
      </c>
      <c r="S84" s="2" t="n">
        <v>21.3153</v>
      </c>
      <c r="T84" s="2" t="n">
        <v>10.9875</v>
      </c>
      <c r="U84" s="2" t="inlineStr"/>
      <c r="V84" s="2" t="n">
        <v>0</v>
      </c>
      <c r="W84" s="2" t="n">
        <v>0.207</v>
      </c>
      <c r="X84" s="2" t="inlineStr">
        <is>
          <t>true</t>
        </is>
      </c>
      <c r="Y84" s="2" t="n">
        <v>1</v>
      </c>
      <c r="Z84" s="2" t="inlineStr">
        <is>
          <t>Yes</t>
        </is>
      </c>
      <c r="AA84" s="2" t="n">
        <v>3</v>
      </c>
      <c r="AB84" s="2" t="n">
        <v>12</v>
      </c>
      <c r="AC84" s="2" t="n">
        <v>0</v>
      </c>
      <c r="AD84" s="2" t="n">
        <v>10.9875</v>
      </c>
      <c r="AE84" s="2" t="n">
        <v>10</v>
      </c>
      <c r="AF84" s="2" t="inlineStr"/>
      <c r="AG84" s="2" t="inlineStr"/>
      <c r="AH84" s="2" t="inlineStr"/>
      <c r="AI84" s="2" t="inlineStr"/>
      <c r="AJ84" s="2" t="inlineStr"/>
      <c r="AK84" s="2" t="inlineStr"/>
      <c r="AL84" s="2" t="inlineStr">
        <is>
          <t>Linear</t>
        </is>
      </c>
      <c r="AM84" s="2" t="n">
        <v>100.89</v>
      </c>
      <c r="AN84" s="2" t="inlineStr">
        <is>
          <t>Amplification</t>
        </is>
      </c>
      <c r="AO84" s="2" t="inlineStr">
        <is>
          <t>N</t>
        </is>
      </c>
      <c r="AP84" s="2" t="inlineStr">
        <is>
          <t>N</t>
        </is>
      </c>
      <c r="AQ84" s="2" t="inlineStr">
        <is>
          <t>N</t>
        </is>
      </c>
      <c r="AR84" s="2" t="inlineStr"/>
      <c r="AS84" s="2" t="inlineStr">
        <is>
          <t>N</t>
        </is>
      </c>
    </row>
    <row r="85">
      <c r="A85" s="1" t="inlineStr">
        <is>
          <t>F2</t>
        </is>
      </c>
      <c r="B85" s="1" t="n">
        <v>62</v>
      </c>
      <c r="C85" s="1" t="inlineStr">
        <is>
          <t>UNKNOWN</t>
        </is>
      </c>
      <c r="D85" s="1" t="inlineStr">
        <is>
          <t>MPC - 10</t>
        </is>
      </c>
      <c r="E85" s="1" t="inlineStr">
        <is>
          <t>CHO</t>
        </is>
      </c>
      <c r="F85" s="1" t="n">
        <v>17.9207</v>
      </c>
      <c r="G85" s="1" t="n">
        <v>17.8808</v>
      </c>
      <c r="H85" s="1" t="n">
        <v>0.41</v>
      </c>
      <c r="I85" s="1" t="n">
        <v>0.0731</v>
      </c>
      <c r="J85" s="1" t="n">
        <v>10.676</v>
      </c>
      <c r="K85" s="1" t="n">
        <v>10.9875</v>
      </c>
      <c r="L85" s="1" t="n">
        <v>0.5681</v>
      </c>
      <c r="M85" s="1" t="n">
        <v>5.17</v>
      </c>
      <c r="N85" s="1" t="n">
        <v>1</v>
      </c>
      <c r="O85" s="1" t="n">
        <v>10.9875</v>
      </c>
      <c r="P85" s="1" t="n">
        <v>109.87</v>
      </c>
      <c r="Q85" s="1" t="n">
        <v>0.9998</v>
      </c>
      <c r="R85" s="1" t="n">
        <v>-3.3008</v>
      </c>
      <c r="S85" s="1" t="n">
        <v>21.3153</v>
      </c>
      <c r="T85" s="1" t="n">
        <v>10.9875</v>
      </c>
      <c r="U85" s="1" t="inlineStr"/>
      <c r="V85" s="1" t="n">
        <v>0</v>
      </c>
      <c r="W85" s="1" t="n">
        <v>0.207</v>
      </c>
      <c r="X85" s="1" t="inlineStr">
        <is>
          <t>true</t>
        </is>
      </c>
      <c r="Y85" s="1" t="n">
        <v>1</v>
      </c>
      <c r="Z85" s="1" t="inlineStr">
        <is>
          <t>Yes</t>
        </is>
      </c>
      <c r="AA85" s="1" t="n">
        <v>3</v>
      </c>
      <c r="AB85" s="1" t="n">
        <v>13</v>
      </c>
      <c r="AC85" s="1" t="n">
        <v>0</v>
      </c>
      <c r="AD85" s="1" t="n">
        <v>10.9875</v>
      </c>
      <c r="AE85" s="1" t="n">
        <v>10</v>
      </c>
      <c r="AF85" s="1" t="inlineStr"/>
      <c r="AG85" s="1" t="inlineStr"/>
      <c r="AH85" s="1" t="inlineStr"/>
      <c r="AI85" s="1" t="inlineStr"/>
      <c r="AJ85" s="1" t="inlineStr"/>
      <c r="AK85" s="1" t="inlineStr"/>
      <c r="AL85" s="1" t="inlineStr">
        <is>
          <t>Linear</t>
        </is>
      </c>
      <c r="AM85" s="1" t="n">
        <v>100.89</v>
      </c>
      <c r="AN85" s="1" t="inlineStr">
        <is>
          <t>Amplification</t>
        </is>
      </c>
      <c r="AO85" s="1" t="inlineStr">
        <is>
          <t>N</t>
        </is>
      </c>
      <c r="AP85" s="1" t="inlineStr">
        <is>
          <t>N</t>
        </is>
      </c>
      <c r="AQ85" s="1" t="inlineStr">
        <is>
          <t>N</t>
        </is>
      </c>
      <c r="AR85" s="1" t="inlineStr"/>
      <c r="AS85" s="1" t="inlineStr">
        <is>
          <t>N</t>
        </is>
      </c>
    </row>
    <row r="86">
      <c r="A86" s="2" t="inlineStr">
        <is>
          <t>F3</t>
        </is>
      </c>
      <c r="B86" s="2" t="n">
        <v>63</v>
      </c>
      <c r="C86" s="2" t="inlineStr">
        <is>
          <t>UNKNOWN</t>
        </is>
      </c>
      <c r="D86" s="2" t="inlineStr">
        <is>
          <t>MPC - 10</t>
        </is>
      </c>
      <c r="E86" s="2" t="inlineStr">
        <is>
          <t>CHO</t>
        </is>
      </c>
      <c r="F86" s="2" t="n">
        <v>17.7964</v>
      </c>
      <c r="G86" s="2" t="n">
        <v>17.8808</v>
      </c>
      <c r="H86" s="2" t="n">
        <v>0.41</v>
      </c>
      <c r="I86" s="2" t="n">
        <v>0.0731</v>
      </c>
      <c r="J86" s="2" t="n">
        <v>11.6431</v>
      </c>
      <c r="K86" s="2" t="n">
        <v>10.9875</v>
      </c>
      <c r="L86" s="2" t="n">
        <v>0.5681</v>
      </c>
      <c r="M86" s="2" t="n">
        <v>5.17</v>
      </c>
      <c r="N86" s="2" t="n">
        <v>1</v>
      </c>
      <c r="O86" s="2" t="n">
        <v>10.9875</v>
      </c>
      <c r="P86" s="2" t="n">
        <v>109.87</v>
      </c>
      <c r="Q86" s="2" t="n">
        <v>0.9998</v>
      </c>
      <c r="R86" s="2" t="n">
        <v>-3.3008</v>
      </c>
      <c r="S86" s="2" t="n">
        <v>21.3153</v>
      </c>
      <c r="T86" s="2" t="n">
        <v>10.9875</v>
      </c>
      <c r="U86" s="2" t="inlineStr"/>
      <c r="V86" s="2" t="n">
        <v>0</v>
      </c>
      <c r="W86" s="2" t="n">
        <v>0.207</v>
      </c>
      <c r="X86" s="2" t="inlineStr">
        <is>
          <t>true</t>
        </is>
      </c>
      <c r="Y86" s="2" t="n">
        <v>1</v>
      </c>
      <c r="Z86" s="2" t="inlineStr">
        <is>
          <t>Yes</t>
        </is>
      </c>
      <c r="AA86" s="2" t="n">
        <v>3</v>
      </c>
      <c r="AB86" s="2" t="n">
        <v>11</v>
      </c>
      <c r="AC86" s="2" t="n">
        <v>0</v>
      </c>
      <c r="AD86" s="2" t="n">
        <v>10.9875</v>
      </c>
      <c r="AE86" s="2" t="n">
        <v>10</v>
      </c>
      <c r="AF86" s="2" t="inlineStr"/>
      <c r="AG86" s="2" t="inlineStr"/>
      <c r="AH86" s="2" t="inlineStr"/>
      <c r="AI86" s="2" t="inlineStr"/>
      <c r="AJ86" s="2" t="inlineStr"/>
      <c r="AK86" s="2" t="inlineStr"/>
      <c r="AL86" s="2" t="inlineStr">
        <is>
          <t>Linear</t>
        </is>
      </c>
      <c r="AM86" s="2" t="n">
        <v>100.89</v>
      </c>
      <c r="AN86" s="2" t="inlineStr">
        <is>
          <t>Amplification</t>
        </is>
      </c>
      <c r="AO86" s="2" t="inlineStr">
        <is>
          <t>N</t>
        </is>
      </c>
      <c r="AP86" s="2" t="inlineStr">
        <is>
          <t>N</t>
        </is>
      </c>
      <c r="AQ86" s="2" t="inlineStr">
        <is>
          <t>N</t>
        </is>
      </c>
      <c r="AR86" s="2" t="inlineStr"/>
      <c r="AS86" s="2" t="inlineStr">
        <is>
          <t>N</t>
        </is>
      </c>
    </row>
    <row r="87">
      <c r="A87" s="1" t="inlineStr">
        <is>
          <t>F4</t>
        </is>
      </c>
      <c r="B87" s="1" t="n">
        <v>64</v>
      </c>
      <c r="C87" s="1" t="inlineStr">
        <is>
          <t>UNKNOWN</t>
        </is>
      </c>
      <c r="D87" s="1" t="inlineStr">
        <is>
          <t>S1 D2 S</t>
        </is>
      </c>
      <c r="E87" s="1" t="inlineStr">
        <is>
          <t>CHO</t>
        </is>
      </c>
      <c r="F87" s="1" t="n">
        <v>19.6439</v>
      </c>
      <c r="G87" s="1" t="n">
        <v>19.6749</v>
      </c>
      <c r="H87" s="1" t="n">
        <v>0.2</v>
      </c>
      <c r="I87" s="1" t="n">
        <v>0.0389</v>
      </c>
      <c r="J87" s="1" t="n">
        <v>3.2089</v>
      </c>
      <c r="K87" s="1" t="n">
        <v>3.1411</v>
      </c>
      <c r="L87" s="1" t="n">
        <v>0.08459999999999999</v>
      </c>
      <c r="M87" s="1" t="n">
        <v>2.69</v>
      </c>
      <c r="N87" s="1" t="n">
        <v>1</v>
      </c>
      <c r="O87" s="1" t="n">
        <v>3.1411</v>
      </c>
      <c r="P87" s="1" t="n">
        <v>104.7</v>
      </c>
      <c r="Q87" s="1" t="n">
        <v>0.9998</v>
      </c>
      <c r="R87" s="1" t="n">
        <v>-3.3008</v>
      </c>
      <c r="S87" s="1" t="n">
        <v>21.3153</v>
      </c>
      <c r="T87" s="1" t="n">
        <v>3.1411</v>
      </c>
      <c r="U87" s="1" t="inlineStr"/>
      <c r="V87" s="1" t="n">
        <v>0</v>
      </c>
      <c r="W87" s="1" t="n">
        <v>0.207</v>
      </c>
      <c r="X87" s="1" t="inlineStr">
        <is>
          <t>true</t>
        </is>
      </c>
      <c r="Y87" s="1" t="n">
        <v>1</v>
      </c>
      <c r="Z87" s="1" t="inlineStr">
        <is>
          <t>Yes</t>
        </is>
      </c>
      <c r="AA87" s="1" t="n">
        <v>3</v>
      </c>
      <c r="AB87" s="1" t="n">
        <v>14</v>
      </c>
      <c r="AC87" s="1" t="n">
        <v>0</v>
      </c>
      <c r="AD87" s="1" t="n">
        <v>3.1411</v>
      </c>
      <c r="AE87" s="1" t="n">
        <v>3</v>
      </c>
      <c r="AF87" s="1" t="inlineStr"/>
      <c r="AG87" s="1" t="inlineStr"/>
      <c r="AH87" s="1" t="inlineStr"/>
      <c r="AI87" s="1" t="inlineStr"/>
      <c r="AJ87" s="1" t="inlineStr"/>
      <c r="AK87" s="1" t="inlineStr"/>
      <c r="AL87" s="1" t="inlineStr">
        <is>
          <t>Linear</t>
        </is>
      </c>
      <c r="AM87" s="1" t="n">
        <v>100.89</v>
      </c>
      <c r="AN87" s="1" t="inlineStr">
        <is>
          <t>Amplification</t>
        </is>
      </c>
      <c r="AO87" s="1" t="inlineStr">
        <is>
          <t>N</t>
        </is>
      </c>
      <c r="AP87" s="1" t="inlineStr">
        <is>
          <t>N</t>
        </is>
      </c>
      <c r="AQ87" s="1" t="inlineStr">
        <is>
          <t>N</t>
        </is>
      </c>
      <c r="AR87" s="1" t="inlineStr"/>
      <c r="AS87" s="1" t="inlineStr">
        <is>
          <t>N</t>
        </is>
      </c>
    </row>
    <row r="88">
      <c r="A88" s="2" t="inlineStr">
        <is>
          <t>F5</t>
        </is>
      </c>
      <c r="B88" s="2" t="n">
        <v>65</v>
      </c>
      <c r="C88" s="2" t="inlineStr">
        <is>
          <t>UNKNOWN</t>
        </is>
      </c>
      <c r="D88" s="2" t="inlineStr">
        <is>
          <t>S1 D2 S</t>
        </is>
      </c>
      <c r="E88" s="2" t="inlineStr">
        <is>
          <t>CHO</t>
        </is>
      </c>
      <c r="F88" s="2" t="n">
        <v>19.6622</v>
      </c>
      <c r="G88" s="2" t="n">
        <v>19.6749</v>
      </c>
      <c r="H88" s="2" t="n">
        <v>0.2</v>
      </c>
      <c r="I88" s="2" t="n">
        <v>0.0389</v>
      </c>
      <c r="J88" s="2" t="n">
        <v>3.1682</v>
      </c>
      <c r="K88" s="2" t="n">
        <v>3.1411</v>
      </c>
      <c r="L88" s="2" t="n">
        <v>0.08459999999999999</v>
      </c>
      <c r="M88" s="2" t="n">
        <v>2.69</v>
      </c>
      <c r="N88" s="2" t="n">
        <v>1</v>
      </c>
      <c r="O88" s="2" t="n">
        <v>3.1411</v>
      </c>
      <c r="P88" s="2" t="n">
        <v>104.7</v>
      </c>
      <c r="Q88" s="2" t="n">
        <v>0.9998</v>
      </c>
      <c r="R88" s="2" t="n">
        <v>-3.3008</v>
      </c>
      <c r="S88" s="2" t="n">
        <v>21.3153</v>
      </c>
      <c r="T88" s="2" t="n">
        <v>3.1411</v>
      </c>
      <c r="U88" s="2" t="inlineStr"/>
      <c r="V88" s="2" t="n">
        <v>0</v>
      </c>
      <c r="W88" s="2" t="n">
        <v>0.207</v>
      </c>
      <c r="X88" s="2" t="inlineStr">
        <is>
          <t>true</t>
        </is>
      </c>
      <c r="Y88" s="2" t="n">
        <v>1</v>
      </c>
      <c r="Z88" s="2" t="inlineStr">
        <is>
          <t>Yes</t>
        </is>
      </c>
      <c r="AA88" s="2" t="n">
        <v>3</v>
      </c>
      <c r="AB88" s="2" t="n">
        <v>15</v>
      </c>
      <c r="AC88" s="2" t="n">
        <v>0</v>
      </c>
      <c r="AD88" s="2" t="n">
        <v>3.1411</v>
      </c>
      <c r="AE88" s="2" t="n">
        <v>3</v>
      </c>
      <c r="AF88" s="2" t="inlineStr"/>
      <c r="AG88" s="2" t="inlineStr"/>
      <c r="AH88" s="2" t="inlineStr"/>
      <c r="AI88" s="2" t="inlineStr"/>
      <c r="AJ88" s="2" t="inlineStr"/>
      <c r="AK88" s="2" t="inlineStr"/>
      <c r="AL88" s="2" t="inlineStr">
        <is>
          <t>Linear</t>
        </is>
      </c>
      <c r="AM88" s="2" t="n">
        <v>100.89</v>
      </c>
      <c r="AN88" s="2" t="inlineStr">
        <is>
          <t>Amplification</t>
        </is>
      </c>
      <c r="AO88" s="2" t="inlineStr">
        <is>
          <t>N</t>
        </is>
      </c>
      <c r="AP88" s="2" t="inlineStr">
        <is>
          <t>N</t>
        </is>
      </c>
      <c r="AQ88" s="2" t="inlineStr">
        <is>
          <t>N</t>
        </is>
      </c>
      <c r="AR88" s="2" t="inlineStr"/>
      <c r="AS88" s="2" t="inlineStr">
        <is>
          <t>N</t>
        </is>
      </c>
    </row>
    <row r="89">
      <c r="A89" s="1" t="inlineStr">
        <is>
          <t>F6</t>
        </is>
      </c>
      <c r="B89" s="1" t="n">
        <v>66</v>
      </c>
      <c r="C89" s="1" t="inlineStr">
        <is>
          <t>UNKNOWN</t>
        </is>
      </c>
      <c r="D89" s="1" t="inlineStr">
        <is>
          <t>S1 D2 S</t>
        </is>
      </c>
      <c r="E89" s="1" t="inlineStr">
        <is>
          <t>CHO</t>
        </is>
      </c>
      <c r="F89" s="1" t="n">
        <v>19.7185</v>
      </c>
      <c r="G89" s="1" t="n">
        <v>19.6749</v>
      </c>
      <c r="H89" s="1" t="n">
        <v>0.2</v>
      </c>
      <c r="I89" s="1" t="n">
        <v>0.0389</v>
      </c>
      <c r="J89" s="1" t="n">
        <v>3.0462</v>
      </c>
      <c r="K89" s="1" t="n">
        <v>3.1411</v>
      </c>
      <c r="L89" s="1" t="n">
        <v>0.08459999999999999</v>
      </c>
      <c r="M89" s="1" t="n">
        <v>2.69</v>
      </c>
      <c r="N89" s="1" t="n">
        <v>1</v>
      </c>
      <c r="O89" s="1" t="n">
        <v>3.1411</v>
      </c>
      <c r="P89" s="1" t="n">
        <v>104.7</v>
      </c>
      <c r="Q89" s="1" t="n">
        <v>0.9998</v>
      </c>
      <c r="R89" s="1" t="n">
        <v>-3.3008</v>
      </c>
      <c r="S89" s="1" t="n">
        <v>21.3153</v>
      </c>
      <c r="T89" s="1" t="n">
        <v>3.1411</v>
      </c>
      <c r="U89" s="1" t="inlineStr"/>
      <c r="V89" s="1" t="n">
        <v>0</v>
      </c>
      <c r="W89" s="1" t="n">
        <v>0.207</v>
      </c>
      <c r="X89" s="1" t="inlineStr">
        <is>
          <t>true</t>
        </is>
      </c>
      <c r="Y89" s="1" t="n">
        <v>1</v>
      </c>
      <c r="Z89" s="1" t="inlineStr">
        <is>
          <t>Yes</t>
        </is>
      </c>
      <c r="AA89" s="1" t="n">
        <v>3</v>
      </c>
      <c r="AB89" s="1" t="n">
        <v>14</v>
      </c>
      <c r="AC89" s="1" t="n">
        <v>0</v>
      </c>
      <c r="AD89" s="1" t="n">
        <v>3.1411</v>
      </c>
      <c r="AE89" s="1" t="n">
        <v>3</v>
      </c>
      <c r="AF89" s="1" t="inlineStr"/>
      <c r="AG89" s="1" t="inlineStr"/>
      <c r="AH89" s="1" t="inlineStr"/>
      <c r="AI89" s="1" t="inlineStr"/>
      <c r="AJ89" s="1" t="inlineStr"/>
      <c r="AK89" s="1" t="inlineStr"/>
      <c r="AL89" s="1" t="inlineStr">
        <is>
          <t>Linear</t>
        </is>
      </c>
      <c r="AM89" s="1" t="n">
        <v>100.89</v>
      </c>
      <c r="AN89" s="1" t="inlineStr">
        <is>
          <t>Amplification</t>
        </is>
      </c>
      <c r="AO89" s="1" t="inlineStr">
        <is>
          <t>N</t>
        </is>
      </c>
      <c r="AP89" s="1" t="inlineStr">
        <is>
          <t>N</t>
        </is>
      </c>
      <c r="AQ89" s="1" t="inlineStr">
        <is>
          <t>N</t>
        </is>
      </c>
      <c r="AR89" s="1" t="inlineStr"/>
      <c r="AS89" s="1" t="inlineStr">
        <is>
          <t>N</t>
        </is>
      </c>
    </row>
    <row r="90">
      <c r="A90" s="2" t="inlineStr">
        <is>
          <t>F7</t>
        </is>
      </c>
      <c r="B90" s="2" t="n">
        <v>67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</row>
    <row r="91">
      <c r="A91" s="1" t="inlineStr">
        <is>
          <t>F8</t>
        </is>
      </c>
      <c r="B91" s="1" t="n">
        <v>68</v>
      </c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</row>
    <row r="92">
      <c r="A92" s="2" t="inlineStr">
        <is>
          <t>F9</t>
        </is>
      </c>
      <c r="B92" s="2" t="n">
        <v>69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</row>
    <row r="93">
      <c r="A93" s="1" t="inlineStr">
        <is>
          <t>F10</t>
        </is>
      </c>
      <c r="B93" s="1" t="n">
        <v>70</v>
      </c>
      <c r="C93" s="1" t="inlineStr">
        <is>
          <t>STANDARD</t>
        </is>
      </c>
      <c r="D93" s="1" t="inlineStr">
        <is>
          <t>STD 0.003</t>
        </is>
      </c>
      <c r="E93" s="1" t="inlineStr">
        <is>
          <t>CHO</t>
        </is>
      </c>
      <c r="F93" s="1" t="n">
        <v>29.5618</v>
      </c>
      <c r="G93" s="1" t="n">
        <v>29.7218</v>
      </c>
      <c r="H93" s="1" t="n">
        <v>0.47</v>
      </c>
      <c r="I93" s="1" t="n">
        <v>0.1389</v>
      </c>
      <c r="J93" s="1" t="n">
        <v>0.003</v>
      </c>
      <c r="K93" s="1" t="inlineStr"/>
      <c r="L93" s="1" t="inlineStr"/>
      <c r="M93" s="1" t="inlineStr"/>
      <c r="N93" s="1" t="n">
        <v>1</v>
      </c>
      <c r="O93" s="1" t="inlineStr"/>
      <c r="P93" s="1" t="inlineStr"/>
      <c r="Q93" s="1" t="n">
        <v>0.9998</v>
      </c>
      <c r="R93" s="1" t="n">
        <v>-3.3008</v>
      </c>
      <c r="S93" s="1" t="n">
        <v>21.3153</v>
      </c>
      <c r="T93" s="1" t="n">
        <v>0</v>
      </c>
      <c r="U93" s="1" t="inlineStr"/>
      <c r="V93" s="1" t="n">
        <v>0</v>
      </c>
      <c r="W93" s="1" t="n">
        <v>0.207</v>
      </c>
      <c r="X93" s="1" t="inlineStr">
        <is>
          <t>true</t>
        </is>
      </c>
      <c r="Y93" s="1" t="n">
        <v>1</v>
      </c>
      <c r="Z93" s="1" t="inlineStr">
        <is>
          <t>Yes</t>
        </is>
      </c>
      <c r="AA93" s="1" t="n">
        <v>3</v>
      </c>
      <c r="AB93" s="1" t="n">
        <v>23</v>
      </c>
      <c r="AC93" s="1" t="inlineStr"/>
      <c r="AD93" s="1" t="inlineStr"/>
      <c r="AE93" s="1" t="n">
        <v>0</v>
      </c>
      <c r="AF93" s="1" t="n">
        <v>0.0032</v>
      </c>
      <c r="AG93" s="1" t="n">
        <v>0.0028</v>
      </c>
      <c r="AH93" s="1" t="n">
        <v>9.94</v>
      </c>
      <c r="AI93" s="1" t="n">
        <v>0.0003</v>
      </c>
      <c r="AJ93" s="1" t="n">
        <v>-5.82</v>
      </c>
      <c r="AK93" s="1" t="n">
        <v>5.0557</v>
      </c>
      <c r="AL93" s="1" t="inlineStr">
        <is>
          <t>Linear</t>
        </is>
      </c>
      <c r="AM93" s="1" t="n">
        <v>100.89</v>
      </c>
      <c r="AN93" s="1" t="inlineStr">
        <is>
          <t>Amplification</t>
        </is>
      </c>
      <c r="AO93" s="1" t="inlineStr">
        <is>
          <t>N</t>
        </is>
      </c>
      <c r="AP93" s="1" t="inlineStr">
        <is>
          <t>N</t>
        </is>
      </c>
      <c r="AQ93" s="1" t="inlineStr">
        <is>
          <t>N</t>
        </is>
      </c>
      <c r="AR93" s="1" t="inlineStr"/>
      <c r="AS93" s="1" t="inlineStr">
        <is>
          <t>N</t>
        </is>
      </c>
    </row>
    <row r="94">
      <c r="A94" s="2" t="inlineStr">
        <is>
          <t>F11</t>
        </is>
      </c>
      <c r="B94" s="2" t="n">
        <v>71</v>
      </c>
      <c r="C94" s="2" t="inlineStr">
        <is>
          <t>STANDARD</t>
        </is>
      </c>
      <c r="D94" s="2" t="inlineStr">
        <is>
          <t>STD 0.003</t>
        </is>
      </c>
      <c r="E94" s="2" t="inlineStr">
        <is>
          <t>CHO</t>
        </is>
      </c>
      <c r="F94" s="2" t="n">
        <v>29.8118</v>
      </c>
      <c r="G94" s="2" t="n">
        <v>29.7218</v>
      </c>
      <c r="H94" s="2" t="n">
        <v>0.47</v>
      </c>
      <c r="I94" s="2" t="n">
        <v>0.1389</v>
      </c>
      <c r="J94" s="2" t="n">
        <v>0.003</v>
      </c>
      <c r="K94" s="2" t="inlineStr"/>
      <c r="L94" s="2" t="inlineStr"/>
      <c r="M94" s="2" t="inlineStr"/>
      <c r="N94" s="2" t="n">
        <v>1</v>
      </c>
      <c r="O94" s="2" t="inlineStr"/>
      <c r="P94" s="2" t="inlineStr"/>
      <c r="Q94" s="2" t="n">
        <v>0.9998</v>
      </c>
      <c r="R94" s="2" t="n">
        <v>-3.3008</v>
      </c>
      <c r="S94" s="2" t="n">
        <v>21.3153</v>
      </c>
      <c r="T94" s="2" t="n">
        <v>0</v>
      </c>
      <c r="U94" s="2" t="inlineStr"/>
      <c r="V94" s="2" t="n">
        <v>0</v>
      </c>
      <c r="W94" s="2" t="n">
        <v>0.207</v>
      </c>
      <c r="X94" s="2" t="inlineStr">
        <is>
          <t>true</t>
        </is>
      </c>
      <c r="Y94" s="2" t="n">
        <v>1</v>
      </c>
      <c r="Z94" s="2" t="inlineStr">
        <is>
          <t>Yes</t>
        </is>
      </c>
      <c r="AA94" s="2" t="n">
        <v>3</v>
      </c>
      <c r="AB94" s="2" t="n">
        <v>22</v>
      </c>
      <c r="AC94" s="2" t="inlineStr"/>
      <c r="AD94" s="2" t="inlineStr"/>
      <c r="AE94" s="2" t="n">
        <v>0</v>
      </c>
      <c r="AF94" s="2" t="n">
        <v>0.0027</v>
      </c>
      <c r="AG94" s="2" t="n">
        <v>0.0028</v>
      </c>
      <c r="AH94" s="2" t="n">
        <v>9.94</v>
      </c>
      <c r="AI94" s="2" t="n">
        <v>0.0003</v>
      </c>
      <c r="AJ94" s="2" t="n">
        <v>11.12</v>
      </c>
      <c r="AK94" s="2" t="n">
        <v>5.0557</v>
      </c>
      <c r="AL94" s="2" t="inlineStr">
        <is>
          <t>Linear</t>
        </is>
      </c>
      <c r="AM94" s="2" t="n">
        <v>100.89</v>
      </c>
      <c r="AN94" s="2" t="inlineStr">
        <is>
          <t>Amplification</t>
        </is>
      </c>
      <c r="AO94" s="2" t="inlineStr">
        <is>
          <t>N</t>
        </is>
      </c>
      <c r="AP94" s="2" t="inlineStr">
        <is>
          <t>N</t>
        </is>
      </c>
      <c r="AQ94" s="2" t="inlineStr">
        <is>
          <t>N</t>
        </is>
      </c>
      <c r="AR94" s="2" t="inlineStr"/>
      <c r="AS94" s="2" t="inlineStr">
        <is>
          <t>N</t>
        </is>
      </c>
    </row>
    <row r="95">
      <c r="A95" s="1" t="inlineStr">
        <is>
          <t>F12</t>
        </is>
      </c>
      <c r="B95" s="1" t="n">
        <v>72</v>
      </c>
      <c r="C95" s="1" t="inlineStr">
        <is>
          <t>STANDARD</t>
        </is>
      </c>
      <c r="D95" s="1" t="inlineStr">
        <is>
          <t>STD 0.003</t>
        </is>
      </c>
      <c r="E95" s="1" t="inlineStr">
        <is>
          <t>CHO</t>
        </is>
      </c>
      <c r="F95" s="1" t="n">
        <v>29.7917</v>
      </c>
      <c r="G95" s="1" t="n">
        <v>29.7218</v>
      </c>
      <c r="H95" s="1" t="n">
        <v>0.47</v>
      </c>
      <c r="I95" s="1" t="n">
        <v>0.1389</v>
      </c>
      <c r="J95" s="1" t="n">
        <v>0.003</v>
      </c>
      <c r="K95" s="1" t="inlineStr"/>
      <c r="L95" s="1" t="inlineStr"/>
      <c r="M95" s="1" t="inlineStr"/>
      <c r="N95" s="1" t="n">
        <v>1</v>
      </c>
      <c r="O95" s="1" t="inlineStr"/>
      <c r="P95" s="1" t="inlineStr"/>
      <c r="Q95" s="1" t="n">
        <v>0.9998</v>
      </c>
      <c r="R95" s="1" t="n">
        <v>-3.3008</v>
      </c>
      <c r="S95" s="1" t="n">
        <v>21.3153</v>
      </c>
      <c r="T95" s="1" t="n">
        <v>0</v>
      </c>
      <c r="U95" s="1" t="inlineStr"/>
      <c r="V95" s="1" t="n">
        <v>0</v>
      </c>
      <c r="W95" s="1" t="n">
        <v>0.207</v>
      </c>
      <c r="X95" s="1" t="inlineStr">
        <is>
          <t>true</t>
        </is>
      </c>
      <c r="Y95" s="1" t="n">
        <v>1</v>
      </c>
      <c r="Z95" s="1" t="inlineStr">
        <is>
          <t>Yes</t>
        </is>
      </c>
      <c r="AA95" s="1" t="n">
        <v>3</v>
      </c>
      <c r="AB95" s="1" t="n">
        <v>23</v>
      </c>
      <c r="AC95" s="1" t="inlineStr"/>
      <c r="AD95" s="1" t="inlineStr"/>
      <c r="AE95" s="1" t="n">
        <v>0</v>
      </c>
      <c r="AF95" s="1" t="n">
        <v>0.0027</v>
      </c>
      <c r="AG95" s="1" t="n">
        <v>0.0028</v>
      </c>
      <c r="AH95" s="1" t="n">
        <v>9.94</v>
      </c>
      <c r="AI95" s="1" t="n">
        <v>0.0003</v>
      </c>
      <c r="AJ95" s="1" t="n">
        <v>9.859999999999999</v>
      </c>
      <c r="AK95" s="1" t="n">
        <v>5.0557</v>
      </c>
      <c r="AL95" s="1" t="inlineStr">
        <is>
          <t>Linear</t>
        </is>
      </c>
      <c r="AM95" s="1" t="n">
        <v>100.89</v>
      </c>
      <c r="AN95" s="1" t="inlineStr">
        <is>
          <t>Amplification</t>
        </is>
      </c>
      <c r="AO95" s="1" t="inlineStr">
        <is>
          <t>N</t>
        </is>
      </c>
      <c r="AP95" s="1" t="inlineStr">
        <is>
          <t>N</t>
        </is>
      </c>
      <c r="AQ95" s="1" t="inlineStr">
        <is>
          <t>N</t>
        </is>
      </c>
      <c r="AR95" s="1" t="inlineStr"/>
      <c r="AS95" s="1" t="inlineStr">
        <is>
          <t>N</t>
        </is>
      </c>
    </row>
    <row r="96">
      <c r="A96" s="2" t="inlineStr">
        <is>
          <t>G1</t>
        </is>
      </c>
      <c r="B96" s="2" t="n">
        <v>73</v>
      </c>
      <c r="C96" s="2" t="inlineStr">
        <is>
          <t>UNKNOWN</t>
        </is>
      </c>
      <c r="D96" s="2" t="inlineStr">
        <is>
          <t>LPC - 5</t>
        </is>
      </c>
      <c r="E96" s="2" t="inlineStr">
        <is>
          <t>CHO</t>
        </is>
      </c>
      <c r="F96" s="2" t="n">
        <v>18.8866</v>
      </c>
      <c r="G96" s="2" t="n">
        <v>18.8759</v>
      </c>
      <c r="H96" s="2" t="n">
        <v>0.05</v>
      </c>
      <c r="I96" s="2" t="n">
        <v>0.0101</v>
      </c>
      <c r="J96" s="2" t="n">
        <v>5.4424</v>
      </c>
      <c r="K96" s="2" t="n">
        <v>5.4834</v>
      </c>
      <c r="L96" s="2" t="n">
        <v>0.0384</v>
      </c>
      <c r="M96" s="2" t="n">
        <v>0.7</v>
      </c>
      <c r="N96" s="2" t="n">
        <v>1</v>
      </c>
      <c r="O96" s="2" t="n">
        <v>5.4834</v>
      </c>
      <c r="P96" s="2" t="n">
        <v>109.67</v>
      </c>
      <c r="Q96" s="2" t="n">
        <v>0.9998</v>
      </c>
      <c r="R96" s="2" t="n">
        <v>-3.3008</v>
      </c>
      <c r="S96" s="2" t="n">
        <v>21.3153</v>
      </c>
      <c r="T96" s="2" t="n">
        <v>5.4834</v>
      </c>
      <c r="U96" s="2" t="inlineStr"/>
      <c r="V96" s="2" t="n">
        <v>0</v>
      </c>
      <c r="W96" s="2" t="n">
        <v>0.207</v>
      </c>
      <c r="X96" s="2" t="inlineStr">
        <is>
          <t>true</t>
        </is>
      </c>
      <c r="Y96" s="2" t="n">
        <v>1</v>
      </c>
      <c r="Z96" s="2" t="inlineStr">
        <is>
          <t>Yes</t>
        </is>
      </c>
      <c r="AA96" s="2" t="n">
        <v>3</v>
      </c>
      <c r="AB96" s="2" t="n">
        <v>13</v>
      </c>
      <c r="AC96" s="2" t="n">
        <v>0</v>
      </c>
      <c r="AD96" s="2" t="n">
        <v>5.4834</v>
      </c>
      <c r="AE96" s="2" t="n">
        <v>5</v>
      </c>
      <c r="AF96" s="2" t="inlineStr"/>
      <c r="AG96" s="2" t="inlineStr"/>
      <c r="AH96" s="2" t="inlineStr"/>
      <c r="AI96" s="2" t="inlineStr"/>
      <c r="AJ96" s="2" t="inlineStr"/>
      <c r="AK96" s="2" t="inlineStr"/>
      <c r="AL96" s="2" t="inlineStr">
        <is>
          <t>Linear</t>
        </is>
      </c>
      <c r="AM96" s="2" t="n">
        <v>100.89</v>
      </c>
      <c r="AN96" s="2" t="inlineStr">
        <is>
          <t>Amplification</t>
        </is>
      </c>
      <c r="AO96" s="2" t="inlineStr">
        <is>
          <t>N</t>
        </is>
      </c>
      <c r="AP96" s="2" t="inlineStr">
        <is>
          <t>N</t>
        </is>
      </c>
      <c r="AQ96" s="2" t="inlineStr">
        <is>
          <t>N</t>
        </is>
      </c>
      <c r="AR96" s="2" t="inlineStr"/>
      <c r="AS96" s="2" t="inlineStr">
        <is>
          <t>N</t>
        </is>
      </c>
    </row>
    <row r="97">
      <c r="A97" s="1" t="inlineStr">
        <is>
          <t>G2</t>
        </is>
      </c>
      <c r="B97" s="1" t="n">
        <v>74</v>
      </c>
      <c r="C97" s="1" t="inlineStr">
        <is>
          <t>UNKNOWN</t>
        </is>
      </c>
      <c r="D97" s="1" t="inlineStr">
        <is>
          <t>LPC - 5</t>
        </is>
      </c>
      <c r="E97" s="1" t="inlineStr">
        <is>
          <t>CHO</t>
        </is>
      </c>
      <c r="F97" s="1" t="n">
        <v>18.8667</v>
      </c>
      <c r="G97" s="1" t="n">
        <v>18.8759</v>
      </c>
      <c r="H97" s="1" t="n">
        <v>0.05</v>
      </c>
      <c r="I97" s="1" t="n">
        <v>0.0101</v>
      </c>
      <c r="J97" s="1" t="n">
        <v>5.5186</v>
      </c>
      <c r="K97" s="1" t="n">
        <v>5.4834</v>
      </c>
      <c r="L97" s="1" t="n">
        <v>0.0384</v>
      </c>
      <c r="M97" s="1" t="n">
        <v>0.7</v>
      </c>
      <c r="N97" s="1" t="n">
        <v>1</v>
      </c>
      <c r="O97" s="1" t="n">
        <v>5.4834</v>
      </c>
      <c r="P97" s="1" t="n">
        <v>109.67</v>
      </c>
      <c r="Q97" s="1" t="n">
        <v>0.9998</v>
      </c>
      <c r="R97" s="1" t="n">
        <v>-3.3008</v>
      </c>
      <c r="S97" s="1" t="n">
        <v>21.3153</v>
      </c>
      <c r="T97" s="1" t="n">
        <v>5.4834</v>
      </c>
      <c r="U97" s="1" t="inlineStr"/>
      <c r="V97" s="1" t="n">
        <v>0</v>
      </c>
      <c r="W97" s="1" t="n">
        <v>0.207</v>
      </c>
      <c r="X97" s="1" t="inlineStr">
        <is>
          <t>true</t>
        </is>
      </c>
      <c r="Y97" s="1" t="n">
        <v>1</v>
      </c>
      <c r="Z97" s="1" t="inlineStr">
        <is>
          <t>Yes</t>
        </is>
      </c>
      <c r="AA97" s="1" t="n">
        <v>3</v>
      </c>
      <c r="AB97" s="1" t="n">
        <v>12</v>
      </c>
      <c r="AC97" s="1" t="n">
        <v>0</v>
      </c>
      <c r="AD97" s="1" t="n">
        <v>5.4834</v>
      </c>
      <c r="AE97" s="1" t="n">
        <v>5</v>
      </c>
      <c r="AF97" s="1" t="inlineStr"/>
      <c r="AG97" s="1" t="inlineStr"/>
      <c r="AH97" s="1" t="inlineStr"/>
      <c r="AI97" s="1" t="inlineStr"/>
      <c r="AJ97" s="1" t="inlineStr"/>
      <c r="AK97" s="1" t="inlineStr"/>
      <c r="AL97" s="1" t="inlineStr">
        <is>
          <t>Linear</t>
        </is>
      </c>
      <c r="AM97" s="1" t="n">
        <v>100.89</v>
      </c>
      <c r="AN97" s="1" t="inlineStr">
        <is>
          <t>Amplification</t>
        </is>
      </c>
      <c r="AO97" s="1" t="inlineStr">
        <is>
          <t>N</t>
        </is>
      </c>
      <c r="AP97" s="1" t="inlineStr">
        <is>
          <t>N</t>
        </is>
      </c>
      <c r="AQ97" s="1" t="inlineStr">
        <is>
          <t>N</t>
        </is>
      </c>
      <c r="AR97" s="1" t="inlineStr"/>
      <c r="AS97" s="1" t="inlineStr">
        <is>
          <t>N</t>
        </is>
      </c>
    </row>
    <row r="98">
      <c r="A98" s="2" t="inlineStr">
        <is>
          <t>G3</t>
        </is>
      </c>
      <c r="B98" s="2" t="n">
        <v>75</v>
      </c>
      <c r="C98" s="2" t="inlineStr">
        <is>
          <t>UNKNOWN</t>
        </is>
      </c>
      <c r="D98" s="2" t="inlineStr">
        <is>
          <t>LPC - 5</t>
        </is>
      </c>
      <c r="E98" s="2" t="inlineStr">
        <is>
          <t>CHO</t>
        </is>
      </c>
      <c r="F98" s="2" t="n">
        <v>18.8743</v>
      </c>
      <c r="G98" s="2" t="n">
        <v>18.8759</v>
      </c>
      <c r="H98" s="2" t="n">
        <v>0.05</v>
      </c>
      <c r="I98" s="2" t="n">
        <v>0.0101</v>
      </c>
      <c r="J98" s="2" t="n">
        <v>5.4892</v>
      </c>
      <c r="K98" s="2" t="n">
        <v>5.4834</v>
      </c>
      <c r="L98" s="2" t="n">
        <v>0.0384</v>
      </c>
      <c r="M98" s="2" t="n">
        <v>0.7</v>
      </c>
      <c r="N98" s="2" t="n">
        <v>1</v>
      </c>
      <c r="O98" s="2" t="n">
        <v>5.4834</v>
      </c>
      <c r="P98" s="2" t="n">
        <v>109.67</v>
      </c>
      <c r="Q98" s="2" t="n">
        <v>0.9998</v>
      </c>
      <c r="R98" s="2" t="n">
        <v>-3.3008</v>
      </c>
      <c r="S98" s="2" t="n">
        <v>21.3153</v>
      </c>
      <c r="T98" s="2" t="n">
        <v>5.4834</v>
      </c>
      <c r="U98" s="2" t="inlineStr"/>
      <c r="V98" s="2" t="n">
        <v>0</v>
      </c>
      <c r="W98" s="2" t="n">
        <v>0.207</v>
      </c>
      <c r="X98" s="2" t="inlineStr">
        <is>
          <t>true</t>
        </is>
      </c>
      <c r="Y98" s="2" t="n">
        <v>1</v>
      </c>
      <c r="Z98" s="2" t="inlineStr">
        <is>
          <t>Yes</t>
        </is>
      </c>
      <c r="AA98" s="2" t="n">
        <v>3</v>
      </c>
      <c r="AB98" s="2" t="n">
        <v>14</v>
      </c>
      <c r="AC98" s="2" t="n">
        <v>0</v>
      </c>
      <c r="AD98" s="2" t="n">
        <v>5.4834</v>
      </c>
      <c r="AE98" s="2" t="n">
        <v>5</v>
      </c>
      <c r="AF98" s="2" t="inlineStr"/>
      <c r="AG98" s="2" t="inlineStr"/>
      <c r="AH98" s="2" t="inlineStr"/>
      <c r="AI98" s="2" t="inlineStr"/>
      <c r="AJ98" s="2" t="inlineStr"/>
      <c r="AK98" s="2" t="inlineStr"/>
      <c r="AL98" s="2" t="inlineStr">
        <is>
          <t>Linear</t>
        </is>
      </c>
      <c r="AM98" s="2" t="n">
        <v>100.89</v>
      </c>
      <c r="AN98" s="2" t="inlineStr">
        <is>
          <t>Amplification</t>
        </is>
      </c>
      <c r="AO98" s="2" t="inlineStr">
        <is>
          <t>N</t>
        </is>
      </c>
      <c r="AP98" s="2" t="inlineStr">
        <is>
          <t>N</t>
        </is>
      </c>
      <c r="AQ98" s="2" t="inlineStr">
        <is>
          <t>N</t>
        </is>
      </c>
      <c r="AR98" s="2" t="inlineStr"/>
      <c r="AS98" s="2" t="inlineStr">
        <is>
          <t>N</t>
        </is>
      </c>
    </row>
    <row r="99">
      <c r="A99" s="1" t="inlineStr">
        <is>
          <t>G4</t>
        </is>
      </c>
      <c r="B99" s="1" t="n">
        <v>76</v>
      </c>
      <c r="C99" s="1" t="inlineStr">
        <is>
          <t>UNKNOWN</t>
        </is>
      </c>
      <c r="D99" s="1" t="inlineStr">
        <is>
          <t>S1 D3 S</t>
        </is>
      </c>
      <c r="E99" s="1" t="inlineStr">
        <is>
          <t>CHO</t>
        </is>
      </c>
      <c r="F99" s="1" t="n">
        <v>19.68</v>
      </c>
      <c r="G99" s="1" t="n">
        <v>19.6959</v>
      </c>
      <c r="H99" s="1" t="n">
        <v>0.12</v>
      </c>
      <c r="I99" s="1" t="n">
        <v>0.0241</v>
      </c>
      <c r="J99" s="1" t="n">
        <v>3.1292</v>
      </c>
      <c r="K99" s="1" t="n">
        <v>3.095</v>
      </c>
      <c r="L99" s="1" t="n">
        <v>0.0517</v>
      </c>
      <c r="M99" s="1" t="n">
        <v>1.67</v>
      </c>
      <c r="N99" s="1" t="n">
        <v>1</v>
      </c>
      <c r="O99" s="1" t="n">
        <v>3.095</v>
      </c>
      <c r="P99" s="1" t="n">
        <v>103.17</v>
      </c>
      <c r="Q99" s="1" t="n">
        <v>0.9998</v>
      </c>
      <c r="R99" s="1" t="n">
        <v>-3.3008</v>
      </c>
      <c r="S99" s="1" t="n">
        <v>21.3153</v>
      </c>
      <c r="T99" s="1" t="n">
        <v>3.095</v>
      </c>
      <c r="U99" s="1" t="inlineStr"/>
      <c r="V99" s="1" t="n">
        <v>0</v>
      </c>
      <c r="W99" s="1" t="n">
        <v>0.207</v>
      </c>
      <c r="X99" s="1" t="inlineStr">
        <is>
          <t>true</t>
        </is>
      </c>
      <c r="Y99" s="1" t="n">
        <v>1</v>
      </c>
      <c r="Z99" s="1" t="inlineStr">
        <is>
          <t>Yes</t>
        </is>
      </c>
      <c r="AA99" s="1" t="n">
        <v>3</v>
      </c>
      <c r="AB99" s="1" t="n">
        <v>14</v>
      </c>
      <c r="AC99" s="1" t="n">
        <v>0</v>
      </c>
      <c r="AD99" s="1" t="n">
        <v>3.095</v>
      </c>
      <c r="AE99" s="1" t="n">
        <v>3</v>
      </c>
      <c r="AF99" s="1" t="inlineStr"/>
      <c r="AG99" s="1" t="inlineStr"/>
      <c r="AH99" s="1" t="inlineStr"/>
      <c r="AI99" s="1" t="inlineStr"/>
      <c r="AJ99" s="1" t="inlineStr"/>
      <c r="AK99" s="1" t="inlineStr"/>
      <c r="AL99" s="1" t="inlineStr">
        <is>
          <t>Linear</t>
        </is>
      </c>
      <c r="AM99" s="1" t="n">
        <v>100.89</v>
      </c>
      <c r="AN99" s="1" t="inlineStr">
        <is>
          <t>Amplification</t>
        </is>
      </c>
      <c r="AO99" s="1" t="inlineStr">
        <is>
          <t>N</t>
        </is>
      </c>
      <c r="AP99" s="1" t="inlineStr">
        <is>
          <t>N</t>
        </is>
      </c>
      <c r="AQ99" s="1" t="inlineStr">
        <is>
          <t>N</t>
        </is>
      </c>
      <c r="AR99" s="1" t="inlineStr"/>
      <c r="AS99" s="1" t="inlineStr">
        <is>
          <t>N</t>
        </is>
      </c>
    </row>
    <row r="100">
      <c r="A100" s="2" t="inlineStr">
        <is>
          <t>G5</t>
        </is>
      </c>
      <c r="B100" s="2" t="n">
        <v>77</v>
      </c>
      <c r="C100" s="2" t="inlineStr">
        <is>
          <t>UNKNOWN</t>
        </is>
      </c>
      <c r="D100" s="2" t="inlineStr">
        <is>
          <t>S1 D3 S</t>
        </is>
      </c>
      <c r="E100" s="2" t="inlineStr">
        <is>
          <t>CHO</t>
        </is>
      </c>
      <c r="F100" s="2" t="n">
        <v>19.7236</v>
      </c>
      <c r="G100" s="2" t="n">
        <v>19.6959</v>
      </c>
      <c r="H100" s="2" t="n">
        <v>0.12</v>
      </c>
      <c r="I100" s="2" t="n">
        <v>0.0241</v>
      </c>
      <c r="J100" s="2" t="n">
        <v>3.0355</v>
      </c>
      <c r="K100" s="2" t="n">
        <v>3.095</v>
      </c>
      <c r="L100" s="2" t="n">
        <v>0.0517</v>
      </c>
      <c r="M100" s="2" t="n">
        <v>1.67</v>
      </c>
      <c r="N100" s="2" t="n">
        <v>1</v>
      </c>
      <c r="O100" s="2" t="n">
        <v>3.095</v>
      </c>
      <c r="P100" s="2" t="n">
        <v>103.17</v>
      </c>
      <c r="Q100" s="2" t="n">
        <v>0.9998</v>
      </c>
      <c r="R100" s="2" t="n">
        <v>-3.3008</v>
      </c>
      <c r="S100" s="2" t="n">
        <v>21.3153</v>
      </c>
      <c r="T100" s="2" t="n">
        <v>3.095</v>
      </c>
      <c r="U100" s="2" t="inlineStr"/>
      <c r="V100" s="2" t="n">
        <v>0</v>
      </c>
      <c r="W100" s="2" t="n">
        <v>0.207</v>
      </c>
      <c r="X100" s="2" t="inlineStr">
        <is>
          <t>true</t>
        </is>
      </c>
      <c r="Y100" s="2" t="n">
        <v>1</v>
      </c>
      <c r="Z100" s="2" t="inlineStr">
        <is>
          <t>Yes</t>
        </is>
      </c>
      <c r="AA100" s="2" t="n">
        <v>3</v>
      </c>
      <c r="AB100" s="2" t="n">
        <v>14</v>
      </c>
      <c r="AC100" s="2" t="n">
        <v>0</v>
      </c>
      <c r="AD100" s="2" t="n">
        <v>3.095</v>
      </c>
      <c r="AE100" s="2" t="n">
        <v>3</v>
      </c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>
        <is>
          <t>Linear</t>
        </is>
      </c>
      <c r="AM100" s="2" t="n">
        <v>100.89</v>
      </c>
      <c r="AN100" s="2" t="inlineStr">
        <is>
          <t>Amplification</t>
        </is>
      </c>
      <c r="AO100" s="2" t="inlineStr">
        <is>
          <t>N</t>
        </is>
      </c>
      <c r="AP100" s="2" t="inlineStr">
        <is>
          <t>N</t>
        </is>
      </c>
      <c r="AQ100" s="2" t="inlineStr">
        <is>
          <t>N</t>
        </is>
      </c>
      <c r="AR100" s="2" t="inlineStr"/>
      <c r="AS100" s="2" t="inlineStr">
        <is>
          <t>N</t>
        </is>
      </c>
    </row>
    <row r="101">
      <c r="A101" s="1" t="inlineStr">
        <is>
          <t>G6</t>
        </is>
      </c>
      <c r="B101" s="1" t="n">
        <v>78</v>
      </c>
      <c r="C101" s="1" t="inlineStr">
        <is>
          <t>UNKNOWN</t>
        </is>
      </c>
      <c r="D101" s="1" t="inlineStr">
        <is>
          <t>S1 D3 S</t>
        </is>
      </c>
      <c r="E101" s="1" t="inlineStr">
        <is>
          <t>CHO</t>
        </is>
      </c>
      <c r="F101" s="1" t="n">
        <v>19.6841</v>
      </c>
      <c r="G101" s="1" t="n">
        <v>19.6959</v>
      </c>
      <c r="H101" s="1" t="n">
        <v>0.12</v>
      </c>
      <c r="I101" s="1" t="n">
        <v>0.0241</v>
      </c>
      <c r="J101" s="1" t="n">
        <v>3.1202</v>
      </c>
      <c r="K101" s="1" t="n">
        <v>3.095</v>
      </c>
      <c r="L101" s="1" t="n">
        <v>0.0517</v>
      </c>
      <c r="M101" s="1" t="n">
        <v>1.67</v>
      </c>
      <c r="N101" s="1" t="n">
        <v>1</v>
      </c>
      <c r="O101" s="1" t="n">
        <v>3.095</v>
      </c>
      <c r="P101" s="1" t="n">
        <v>103.17</v>
      </c>
      <c r="Q101" s="1" t="n">
        <v>0.9998</v>
      </c>
      <c r="R101" s="1" t="n">
        <v>-3.3008</v>
      </c>
      <c r="S101" s="1" t="n">
        <v>21.3153</v>
      </c>
      <c r="T101" s="1" t="n">
        <v>3.095</v>
      </c>
      <c r="U101" s="1" t="inlineStr"/>
      <c r="V101" s="1" t="n">
        <v>0</v>
      </c>
      <c r="W101" s="1" t="n">
        <v>0.207</v>
      </c>
      <c r="X101" s="1" t="inlineStr">
        <is>
          <t>true</t>
        </is>
      </c>
      <c r="Y101" s="1" t="n">
        <v>1</v>
      </c>
      <c r="Z101" s="1" t="inlineStr">
        <is>
          <t>Yes</t>
        </is>
      </c>
      <c r="AA101" s="1" t="n">
        <v>3</v>
      </c>
      <c r="AB101" s="1" t="n">
        <v>15</v>
      </c>
      <c r="AC101" s="1" t="n">
        <v>0</v>
      </c>
      <c r="AD101" s="1" t="n">
        <v>3.095</v>
      </c>
      <c r="AE101" s="1" t="n">
        <v>3</v>
      </c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>
        <is>
          <t>Linear</t>
        </is>
      </c>
      <c r="AM101" s="1" t="n">
        <v>100.89</v>
      </c>
      <c r="AN101" s="1" t="inlineStr">
        <is>
          <t>Amplification</t>
        </is>
      </c>
      <c r="AO101" s="1" t="inlineStr">
        <is>
          <t>N</t>
        </is>
      </c>
      <c r="AP101" s="1" t="inlineStr">
        <is>
          <t>N</t>
        </is>
      </c>
      <c r="AQ101" s="1" t="inlineStr">
        <is>
          <t>N</t>
        </is>
      </c>
      <c r="AR101" s="1" t="inlineStr"/>
      <c r="AS101" s="1" t="inlineStr">
        <is>
          <t>N</t>
        </is>
      </c>
    </row>
    <row r="102">
      <c r="A102" s="2" t="inlineStr">
        <is>
          <t>G7</t>
        </is>
      </c>
      <c r="B102" s="2" t="n">
        <v>79</v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</row>
    <row r="103">
      <c r="A103" s="1" t="inlineStr">
        <is>
          <t>G8</t>
        </is>
      </c>
      <c r="B103" s="1" t="n">
        <v>80</v>
      </c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</row>
    <row r="104">
      <c r="A104" s="2" t="inlineStr">
        <is>
          <t>G9</t>
        </is>
      </c>
      <c r="B104" s="2" t="n">
        <v>81</v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</row>
    <row r="105">
      <c r="A105" s="1" t="inlineStr">
        <is>
          <t>G10</t>
        </is>
      </c>
      <c r="B105" s="1" t="n">
        <v>82</v>
      </c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</row>
    <row r="106">
      <c r="A106" s="2" t="inlineStr">
        <is>
          <t>G11</t>
        </is>
      </c>
      <c r="B106" s="2" t="n">
        <v>83</v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</row>
    <row r="107">
      <c r="A107" s="1" t="inlineStr">
        <is>
          <t>G12</t>
        </is>
      </c>
      <c r="B107" s="1" t="n">
        <v>84</v>
      </c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</row>
    <row r="108">
      <c r="A108" s="2" t="inlineStr">
        <is>
          <t>H1</t>
        </is>
      </c>
      <c r="B108" s="2" t="n">
        <v>85</v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</row>
    <row r="109">
      <c r="A109" s="1" t="inlineStr">
        <is>
          <t>H2</t>
        </is>
      </c>
      <c r="B109" s="1" t="n">
        <v>86</v>
      </c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</row>
    <row r="110">
      <c r="A110" s="2" t="inlineStr">
        <is>
          <t>H3</t>
        </is>
      </c>
      <c r="B110" s="2" t="n">
        <v>87</v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</row>
    <row r="111">
      <c r="A111" s="1" t="inlineStr">
        <is>
          <t>H4</t>
        </is>
      </c>
      <c r="B111" s="1" t="n">
        <v>88</v>
      </c>
      <c r="C111" s="1" t="inlineStr">
        <is>
          <t>UNKNOWN</t>
        </is>
      </c>
      <c r="D111" s="1" t="inlineStr">
        <is>
          <t>S1 D4 S</t>
        </is>
      </c>
      <c r="E111" s="1" t="inlineStr">
        <is>
          <t>CHO</t>
        </is>
      </c>
      <c r="F111" s="1" t="n">
        <v>19.6611</v>
      </c>
      <c r="G111" s="1" t="n">
        <v>19.7067</v>
      </c>
      <c r="H111" s="1" t="n">
        <v>0.22</v>
      </c>
      <c r="I111" s="1" t="n">
        <v>0.0424</v>
      </c>
      <c r="J111" s="1" t="n">
        <v>3.1707</v>
      </c>
      <c r="K111" s="1" t="n">
        <v>3.0723</v>
      </c>
      <c r="L111" s="1" t="n">
        <v>0.0912</v>
      </c>
      <c r="M111" s="1" t="n">
        <v>2.97</v>
      </c>
      <c r="N111" s="1" t="n">
        <v>1</v>
      </c>
      <c r="O111" s="1" t="n">
        <v>3.0723</v>
      </c>
      <c r="P111" s="1" t="n">
        <v>102.41</v>
      </c>
      <c r="Q111" s="1" t="n">
        <v>0.9998</v>
      </c>
      <c r="R111" s="1" t="n">
        <v>-3.3008</v>
      </c>
      <c r="S111" s="1" t="n">
        <v>21.3153</v>
      </c>
      <c r="T111" s="1" t="n">
        <v>3.0723</v>
      </c>
      <c r="U111" s="1" t="inlineStr"/>
      <c r="V111" s="1" t="n">
        <v>0</v>
      </c>
      <c r="W111" s="1" t="n">
        <v>0.207</v>
      </c>
      <c r="X111" s="1" t="inlineStr">
        <is>
          <t>true</t>
        </is>
      </c>
      <c r="Y111" s="1" t="n">
        <v>1</v>
      </c>
      <c r="Z111" s="1" t="inlineStr">
        <is>
          <t>Yes</t>
        </is>
      </c>
      <c r="AA111" s="1" t="n">
        <v>3</v>
      </c>
      <c r="AB111" s="1" t="n">
        <v>14</v>
      </c>
      <c r="AC111" s="1" t="n">
        <v>0</v>
      </c>
      <c r="AD111" s="1" t="n">
        <v>3.0723</v>
      </c>
      <c r="AE111" s="1" t="n">
        <v>3</v>
      </c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>
        <is>
          <t>Linear</t>
        </is>
      </c>
      <c r="AM111" s="1" t="n">
        <v>100.89</v>
      </c>
      <c r="AN111" s="1" t="inlineStr">
        <is>
          <t>Amplification</t>
        </is>
      </c>
      <c r="AO111" s="1" t="inlineStr">
        <is>
          <t>N</t>
        </is>
      </c>
      <c r="AP111" s="1" t="inlineStr">
        <is>
          <t>N</t>
        </is>
      </c>
      <c r="AQ111" s="1" t="inlineStr">
        <is>
          <t>N</t>
        </is>
      </c>
      <c r="AR111" s="1" t="inlineStr"/>
      <c r="AS111" s="1" t="inlineStr">
        <is>
          <t>N</t>
        </is>
      </c>
    </row>
    <row r="112">
      <c r="A112" s="2" t="inlineStr">
        <is>
          <t>H5</t>
        </is>
      </c>
      <c r="B112" s="2" t="n">
        <v>89</v>
      </c>
      <c r="C112" s="2" t="inlineStr">
        <is>
          <t>UNKNOWN</t>
        </is>
      </c>
      <c r="D112" s="2" t="inlineStr">
        <is>
          <t>S1 D4 S</t>
        </is>
      </c>
      <c r="E112" s="2" t="inlineStr">
        <is>
          <t>CHO</t>
        </is>
      </c>
      <c r="F112" s="2" t="n">
        <v>19.7449</v>
      </c>
      <c r="G112" s="2" t="n">
        <v>19.7067</v>
      </c>
      <c r="H112" s="2" t="n">
        <v>0.22</v>
      </c>
      <c r="I112" s="2" t="n">
        <v>0.0424</v>
      </c>
      <c r="J112" s="2" t="n">
        <v>2.9907</v>
      </c>
      <c r="K112" s="2" t="n">
        <v>3.0723</v>
      </c>
      <c r="L112" s="2" t="n">
        <v>0.0912</v>
      </c>
      <c r="M112" s="2" t="n">
        <v>2.97</v>
      </c>
      <c r="N112" s="2" t="n">
        <v>1</v>
      </c>
      <c r="O112" s="2" t="n">
        <v>3.0723</v>
      </c>
      <c r="P112" s="2" t="n">
        <v>102.41</v>
      </c>
      <c r="Q112" s="2" t="n">
        <v>0.9998</v>
      </c>
      <c r="R112" s="2" t="n">
        <v>-3.3008</v>
      </c>
      <c r="S112" s="2" t="n">
        <v>21.3153</v>
      </c>
      <c r="T112" s="2" t="n">
        <v>3.0723</v>
      </c>
      <c r="U112" s="2" t="inlineStr"/>
      <c r="V112" s="2" t="n">
        <v>0</v>
      </c>
      <c r="W112" s="2" t="n">
        <v>0.207</v>
      </c>
      <c r="X112" s="2" t="inlineStr">
        <is>
          <t>true</t>
        </is>
      </c>
      <c r="Y112" s="2" t="n">
        <v>1</v>
      </c>
      <c r="Z112" s="2" t="inlineStr">
        <is>
          <t>Yes</t>
        </is>
      </c>
      <c r="AA112" s="2" t="n">
        <v>3</v>
      </c>
      <c r="AB112" s="2" t="n">
        <v>15</v>
      </c>
      <c r="AC112" s="2" t="n">
        <v>0</v>
      </c>
      <c r="AD112" s="2" t="n">
        <v>3.0723</v>
      </c>
      <c r="AE112" s="2" t="n">
        <v>3</v>
      </c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>
        <is>
          <t>Linear</t>
        </is>
      </c>
      <c r="AM112" s="2" t="n">
        <v>100.89</v>
      </c>
      <c r="AN112" s="2" t="inlineStr">
        <is>
          <t>Amplification</t>
        </is>
      </c>
      <c r="AO112" s="2" t="inlineStr">
        <is>
          <t>N</t>
        </is>
      </c>
      <c r="AP112" s="2" t="inlineStr">
        <is>
          <t>N</t>
        </is>
      </c>
      <c r="AQ112" s="2" t="inlineStr">
        <is>
          <t>N</t>
        </is>
      </c>
      <c r="AR112" s="2" t="inlineStr"/>
      <c r="AS112" s="2" t="inlineStr">
        <is>
          <t>N</t>
        </is>
      </c>
    </row>
    <row r="113">
      <c r="A113" s="1" t="inlineStr">
        <is>
          <t>H6</t>
        </is>
      </c>
      <c r="B113" s="1" t="n">
        <v>90</v>
      </c>
      <c r="C113" s="1" t="inlineStr">
        <is>
          <t>UNKNOWN</t>
        </is>
      </c>
      <c r="D113" s="1" t="inlineStr">
        <is>
          <t>S1 D4 S</t>
        </is>
      </c>
      <c r="E113" s="1" t="inlineStr">
        <is>
          <t>CHO</t>
        </is>
      </c>
      <c r="F113" s="1" t="n">
        <v>19.7142</v>
      </c>
      <c r="G113" s="1" t="n">
        <v>19.7067</v>
      </c>
      <c r="H113" s="1" t="n">
        <v>0.22</v>
      </c>
      <c r="I113" s="1" t="n">
        <v>0.0424</v>
      </c>
      <c r="J113" s="1" t="n">
        <v>3.0555</v>
      </c>
      <c r="K113" s="1" t="n">
        <v>3.0723</v>
      </c>
      <c r="L113" s="1" t="n">
        <v>0.0912</v>
      </c>
      <c r="M113" s="1" t="n">
        <v>2.97</v>
      </c>
      <c r="N113" s="1" t="n">
        <v>1</v>
      </c>
      <c r="O113" s="1" t="n">
        <v>3.0723</v>
      </c>
      <c r="P113" s="1" t="n">
        <v>102.41</v>
      </c>
      <c r="Q113" s="1" t="n">
        <v>0.9998</v>
      </c>
      <c r="R113" s="1" t="n">
        <v>-3.3008</v>
      </c>
      <c r="S113" s="1" t="n">
        <v>21.3153</v>
      </c>
      <c r="T113" s="1" t="n">
        <v>3.0723</v>
      </c>
      <c r="U113" s="1" t="inlineStr"/>
      <c r="V113" s="1" t="n">
        <v>0</v>
      </c>
      <c r="W113" s="1" t="n">
        <v>0.207</v>
      </c>
      <c r="X113" s="1" t="inlineStr">
        <is>
          <t>true</t>
        </is>
      </c>
      <c r="Y113" s="1" t="n">
        <v>1</v>
      </c>
      <c r="Z113" s="1" t="inlineStr">
        <is>
          <t>Yes</t>
        </is>
      </c>
      <c r="AA113" s="1" t="n">
        <v>3</v>
      </c>
      <c r="AB113" s="1" t="n">
        <v>15</v>
      </c>
      <c r="AC113" s="1" t="n">
        <v>0</v>
      </c>
      <c r="AD113" s="1" t="n">
        <v>3.0723</v>
      </c>
      <c r="AE113" s="1" t="n">
        <v>3</v>
      </c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>
        <is>
          <t>Linear</t>
        </is>
      </c>
      <c r="AM113" s="1" t="n">
        <v>100.89</v>
      </c>
      <c r="AN113" s="1" t="inlineStr">
        <is>
          <t>Amplification</t>
        </is>
      </c>
      <c r="AO113" s="1" t="inlineStr">
        <is>
          <t>N</t>
        </is>
      </c>
      <c r="AP113" s="1" t="inlineStr">
        <is>
          <t>N</t>
        </is>
      </c>
      <c r="AQ113" s="1" t="inlineStr">
        <is>
          <t>N</t>
        </is>
      </c>
      <c r="AR113" s="1" t="inlineStr"/>
      <c r="AS113" s="1" t="inlineStr">
        <is>
          <t>N</t>
        </is>
      </c>
    </row>
    <row r="114">
      <c r="A114" s="2" t="inlineStr">
        <is>
          <t>H7</t>
        </is>
      </c>
      <c r="B114" s="2" t="n">
        <v>91</v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</row>
    <row r="115">
      <c r="A115" s="1" t="inlineStr">
        <is>
          <t>H8</t>
        </is>
      </c>
      <c r="B115" s="1" t="n">
        <v>92</v>
      </c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</row>
    <row r="116">
      <c r="A116" s="2" t="inlineStr">
        <is>
          <t>H9</t>
        </is>
      </c>
      <c r="B116" s="2" t="n">
        <v>93</v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</row>
    <row r="117">
      <c r="A117" s="1" t="inlineStr">
        <is>
          <t>H10</t>
        </is>
      </c>
      <c r="B117" s="1" t="n">
        <v>94</v>
      </c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</row>
    <row r="118">
      <c r="A118" s="2" t="inlineStr">
        <is>
          <t>H11</t>
        </is>
      </c>
      <c r="B118" s="2" t="n">
        <v>95</v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</row>
    <row r="119">
      <c r="A119" s="1" t="inlineStr">
        <is>
          <t>H12</t>
        </is>
      </c>
      <c r="B119" s="1" t="n">
        <v>96</v>
      </c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</row>
  </sheetData>
  <autoFilter ref="A23:AS119"/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63"/>
  <sheetViews>
    <sheetView topLeftCell="A3543" workbookViewId="0">
      <selection activeCell="G3847" sqref="G3847:G3855"/>
    </sheetView>
  </sheetViews>
  <sheetFormatPr baseColWidth="8" defaultRowHeight="12.75"/>
  <cols>
    <col width="21.28515625" customWidth="1" min="1" max="1"/>
    <col width="23.42578125" customWidth="1" min="2" max="3"/>
    <col width="11.7109375" customWidth="1" min="4" max="5"/>
    <col width="15.42578125" customWidth="1" min="6" max="6"/>
    <col width="13.85546875" customWidth="1" min="7" max="7"/>
    <col width="13.28515625" customWidth="1" min="8" max="8"/>
    <col width="11.7109375" customWidth="1" min="9" max="15"/>
  </cols>
  <sheetData>
    <row r="1">
      <c r="A1" s="35" t="inlineStr">
        <is>
          <t>Experiment Details:</t>
        </is>
      </c>
    </row>
    <row r="2">
      <c r="A2" s="36" t="inlineStr">
        <is>
          <t>Block Type:</t>
        </is>
      </c>
      <c r="B2" s="3" t="inlineStr">
        <is>
          <t>0.1 mL</t>
        </is>
      </c>
      <c r="C2" s="32" t="n"/>
    </row>
    <row r="3">
      <c r="A3" s="36" t="inlineStr">
        <is>
          <t>Chemistry:</t>
        </is>
      </c>
      <c r="B3" s="3" t="inlineStr">
        <is>
          <t>TAQMAN</t>
        </is>
      </c>
      <c r="C3" s="32" t="n"/>
    </row>
    <row r="4">
      <c r="A4" s="36" t="inlineStr">
        <is>
          <t>Date Created:</t>
        </is>
      </c>
      <c r="B4" s="3" t="inlineStr">
        <is>
          <t>17 Jul 2026 11:00:56 GMT-0700</t>
        </is>
      </c>
      <c r="C4" s="32" t="n"/>
    </row>
    <row r="5">
      <c r="A5" s="36" t="inlineStr">
        <is>
          <t>Barcode:</t>
        </is>
      </c>
      <c r="B5" s="3" t="inlineStr"/>
      <c r="C5" s="32" t="n"/>
    </row>
    <row r="6">
      <c r="A6" s="36" t="inlineStr">
        <is>
          <t>Comments:</t>
        </is>
      </c>
      <c r="B6" s="3" t="inlineStr">
        <is>
          <t>Update protein concentration
Correct dilutions
Correct spike information
For HCCP and ProA</t>
        </is>
      </c>
      <c r="C6" s="32" t="n"/>
    </row>
    <row r="7">
      <c r="A7" s="36" t="inlineStr">
        <is>
          <t>Experiment Name:</t>
        </is>
      </c>
      <c r="B7" s="3" t="inlineStr">
        <is>
          <t>2026-07-17_MD_R3_GR</t>
        </is>
      </c>
      <c r="C7" s="32" t="n"/>
    </row>
    <row r="8" ht="25.5" customHeight="1">
      <c r="A8" s="36" t="inlineStr">
        <is>
          <t>Experiment Run End Time:</t>
        </is>
      </c>
      <c r="B8" s="3" t="inlineStr">
        <is>
          <t>17 Jul 2026 16:14:21 GMT-0700</t>
        </is>
      </c>
      <c r="C8" s="32" t="n"/>
    </row>
    <row r="9">
      <c r="A9" s="36" t="inlineStr">
        <is>
          <t>Experiment Type:</t>
        </is>
      </c>
      <c r="B9" s="3" t="inlineStr">
        <is>
          <t>Standard Curve</t>
        </is>
      </c>
      <c r="C9" s="32" t="n"/>
    </row>
    <row r="10">
      <c r="A10" s="36" t="inlineStr">
        <is>
          <t>Instrument Name:</t>
        </is>
      </c>
      <c r="B10" s="3" t="inlineStr">
        <is>
          <t>272513207</t>
        </is>
      </c>
      <c r="C10" s="32" t="n"/>
    </row>
    <row r="11" ht="25.5" customHeight="1">
      <c r="A11" s="36" t="inlineStr">
        <is>
          <t>Instrument Serial Number:</t>
        </is>
      </c>
      <c r="B11" s="3" t="inlineStr">
        <is>
          <t>272513207</t>
        </is>
      </c>
      <c r="C11" s="32" t="n"/>
    </row>
    <row r="12">
      <c r="A12" s="36" t="inlineStr">
        <is>
          <t>Instrument Type:</t>
        </is>
      </c>
      <c r="B12" s="3" t="inlineStr">
        <is>
          <t>QuantStudio™ 5</t>
        </is>
      </c>
      <c r="C12" s="32" t="n"/>
    </row>
    <row r="13">
      <c r="A13" s="36" t="inlineStr">
        <is>
          <t>Passive Reference:</t>
        </is>
      </c>
      <c r="B13" s="3" t="inlineStr">
        <is>
          <t>ROX</t>
        </is>
      </c>
      <c r="C13" s="32" t="n"/>
    </row>
    <row r="14">
      <c r="A14" s="36" t="inlineStr">
        <is>
          <t>E-Sig Status:</t>
        </is>
      </c>
      <c r="B14" s="3" t="inlineStr">
        <is>
          <t>Unsigned</t>
        </is>
      </c>
      <c r="C14" s="32" t="n"/>
    </row>
    <row r="15">
      <c r="A15" s="36" t="inlineStr">
        <is>
          <t>E-Sig By:</t>
        </is>
      </c>
      <c r="B15" s="3" t="inlineStr">
        <is>
          <t>NA</t>
        </is>
      </c>
      <c r="C15" s="32" t="n"/>
    </row>
    <row r="16">
      <c r="A16" s="36" t="inlineStr">
        <is>
          <t>Fit:</t>
        </is>
      </c>
      <c r="B16" s="3" t="inlineStr">
        <is>
          <t>Linear</t>
        </is>
      </c>
      <c r="C16" s="32" t="n"/>
    </row>
    <row r="17">
      <c r="A17" s="36" t="inlineStr">
        <is>
          <t>Weighting:</t>
        </is>
      </c>
      <c r="B17" s="3" t="inlineStr">
        <is>
          <t>None</t>
        </is>
      </c>
      <c r="C17" s="32" t="n"/>
    </row>
    <row r="18">
      <c r="A18" s="36" t="inlineStr">
        <is>
          <t>Formula:</t>
        </is>
      </c>
      <c r="B18" s="3" t="inlineStr">
        <is>
          <t>N/A</t>
        </is>
      </c>
      <c r="C18" s="32" t="n"/>
    </row>
    <row r="19">
      <c r="A19" s="36" t="inlineStr">
        <is>
          <t>Target:</t>
        </is>
      </c>
      <c r="B19" s="3" t="inlineStr">
        <is>
          <t>CHO</t>
        </is>
      </c>
      <c r="C19" s="3" t="n"/>
      <c r="D19" s="3" t="inlineStr">
        <is>
          <t>R2 : 0.9998</t>
        </is>
      </c>
      <c r="E19" s="3" t="inlineStr">
        <is>
          <t>Slope : -3.3008</t>
        </is>
      </c>
      <c r="F19" s="3" t="inlineStr">
        <is>
          <t>y-Intercept : 21.3153</t>
        </is>
      </c>
      <c r="G19" s="3" t="inlineStr">
        <is>
          <t>Efficiency : 100.89</t>
        </is>
      </c>
      <c r="H19" s="3" t="inlineStr">
        <is>
          <t>Std error : 0.0116</t>
        </is>
      </c>
    </row>
    <row r="23" ht="25.5" customHeight="1">
      <c r="A23" s="35" t="inlineStr">
        <is>
          <t>Well</t>
        </is>
      </c>
      <c r="B23" s="35" t="inlineStr">
        <is>
          <t>Well Position</t>
        </is>
      </c>
      <c r="C23" s="33" t="inlineStr">
        <is>
          <t>Sample Name</t>
        </is>
      </c>
      <c r="D23" s="35" t="inlineStr">
        <is>
          <t>Cycle</t>
        </is>
      </c>
      <c r="E23" s="35" t="inlineStr">
        <is>
          <t>Target Name</t>
        </is>
      </c>
      <c r="F23" s="35" t="inlineStr">
        <is>
          <t>Rn</t>
        </is>
      </c>
      <c r="G23" s="35" t="inlineStr">
        <is>
          <t>ΔRn</t>
        </is>
      </c>
    </row>
    <row r="24">
      <c r="A24" s="2" t="inlineStr">
        <is>
          <t>A1</t>
        </is>
      </c>
      <c r="B24" s="2" t="n">
        <v>1</v>
      </c>
      <c r="C24" s="2">
        <f>_xlfn.XLOOKUP(B24,Results!$B$23:$B$119,Results!$D$23:$D$119)</f>
        <v/>
      </c>
      <c r="D24" s="2" t="n">
        <v>1</v>
      </c>
      <c r="E24" s="2" t="inlineStr">
        <is>
          <t>CHO</t>
        </is>
      </c>
      <c r="F24" s="2" t="n">
        <v>2.1254</v>
      </c>
      <c r="G24" s="2" t="n">
        <v>0.003195</v>
      </c>
    </row>
    <row r="25">
      <c r="A25" s="1" t="inlineStr">
        <is>
          <t>A1</t>
        </is>
      </c>
      <c r="B25" s="1" t="n">
        <v>1</v>
      </c>
      <c r="C25" s="2">
        <f>_xlfn.XLOOKUP(B25,Results!$B$23:$B$119,Results!$D$23:$D$119)</f>
        <v/>
      </c>
      <c r="D25" s="1" t="n">
        <v>2</v>
      </c>
      <c r="E25" s="1" t="inlineStr">
        <is>
          <t>CHO</t>
        </is>
      </c>
      <c r="F25" s="1" t="n">
        <v>2.132</v>
      </c>
      <c r="G25" s="1" t="n">
        <v>0.006404</v>
      </c>
    </row>
    <row r="26">
      <c r="A26" s="2" t="inlineStr">
        <is>
          <t>A1</t>
        </is>
      </c>
      <c r="B26" s="2" t="n">
        <v>1</v>
      </c>
      <c r="C26" s="2">
        <f>_xlfn.XLOOKUP(B26,Results!$B$23:$B$119,Results!$D$23:$D$119)</f>
        <v/>
      </c>
      <c r="D26" s="2" t="n">
        <v>3</v>
      </c>
      <c r="E26" s="2" t="inlineStr">
        <is>
          <t>CHO</t>
        </is>
      </c>
      <c r="F26" s="2" t="n">
        <v>2.1351</v>
      </c>
      <c r="G26" s="2" t="n">
        <v>0.006184</v>
      </c>
    </row>
    <row r="27">
      <c r="A27" s="1" t="inlineStr">
        <is>
          <t>A1</t>
        </is>
      </c>
      <c r="B27" s="1" t="n">
        <v>1</v>
      </c>
      <c r="C27" s="2">
        <f>_xlfn.XLOOKUP(B27,Results!$B$23:$B$119,Results!$D$23:$D$119)</f>
        <v/>
      </c>
      <c r="D27" s="1" t="n">
        <v>4</v>
      </c>
      <c r="E27" s="1" t="inlineStr">
        <is>
          <t>CHO</t>
        </is>
      </c>
      <c r="F27" s="1" t="n">
        <v>2.136</v>
      </c>
      <c r="G27" s="1" t="n">
        <v>0.003646</v>
      </c>
    </row>
    <row r="28">
      <c r="A28" s="2" t="inlineStr">
        <is>
          <t>A1</t>
        </is>
      </c>
      <c r="B28" s="2" t="n">
        <v>1</v>
      </c>
      <c r="C28" s="2">
        <f>_xlfn.XLOOKUP(B28,Results!$B$23:$B$119,Results!$D$23:$D$119)</f>
        <v/>
      </c>
      <c r="D28" s="2" t="n">
        <v>5</v>
      </c>
      <c r="E28" s="2" t="inlineStr">
        <is>
          <t>CHO</t>
        </is>
      </c>
      <c r="F28" s="2" t="n">
        <v>2.1381</v>
      </c>
      <c r="G28" s="2" t="n">
        <v>0.002378</v>
      </c>
    </row>
    <row r="29">
      <c r="A29" s="1" t="inlineStr">
        <is>
          <t>A1</t>
        </is>
      </c>
      <c r="B29" s="1" t="n">
        <v>1</v>
      </c>
      <c r="C29" s="2">
        <f>_xlfn.XLOOKUP(B29,Results!$B$23:$B$119,Results!$D$23:$D$119)</f>
        <v/>
      </c>
      <c r="D29" s="1" t="n">
        <v>6</v>
      </c>
      <c r="E29" s="1" t="inlineStr">
        <is>
          <t>CHO</t>
        </is>
      </c>
      <c r="F29" s="1" t="n">
        <v>2.1389</v>
      </c>
      <c r="G29" s="1" t="n">
        <v>-0.000174</v>
      </c>
    </row>
    <row r="30">
      <c r="A30" s="2" t="inlineStr">
        <is>
          <t>A1</t>
        </is>
      </c>
      <c r="B30" s="2" t="n">
        <v>1</v>
      </c>
      <c r="C30" s="2">
        <f>_xlfn.XLOOKUP(B30,Results!$B$23:$B$119,Results!$D$23:$D$119)</f>
        <v/>
      </c>
      <c r="D30" s="2" t="n">
        <v>7</v>
      </c>
      <c r="E30" s="2" t="inlineStr">
        <is>
          <t>CHO</t>
        </is>
      </c>
      <c r="F30" s="2" t="n">
        <v>2.1453</v>
      </c>
      <c r="G30" s="2" t="n">
        <v>0.002803</v>
      </c>
    </row>
    <row r="31">
      <c r="A31" s="1" t="inlineStr">
        <is>
          <t>A1</t>
        </is>
      </c>
      <c r="B31" s="1" t="n">
        <v>1</v>
      </c>
      <c r="C31" s="2">
        <f>_xlfn.XLOOKUP(B31,Results!$B$23:$B$119,Results!$D$23:$D$119)</f>
        <v/>
      </c>
      <c r="D31" s="1" t="n">
        <v>8</v>
      </c>
      <c r="E31" s="1" t="inlineStr">
        <is>
          <t>CHO</t>
        </is>
      </c>
      <c r="F31" s="1" t="n">
        <v>2.1474</v>
      </c>
      <c r="G31" s="1" t="n">
        <v>0.001485</v>
      </c>
    </row>
    <row r="32">
      <c r="A32" s="2" t="inlineStr">
        <is>
          <t>A1</t>
        </is>
      </c>
      <c r="B32" s="2" t="n">
        <v>1</v>
      </c>
      <c r="C32" s="2">
        <f>_xlfn.XLOOKUP(B32,Results!$B$23:$B$119,Results!$D$23:$D$119)</f>
        <v/>
      </c>
      <c r="D32" s="2" t="n">
        <v>9</v>
      </c>
      <c r="E32" s="2" t="inlineStr">
        <is>
          <t>CHO</t>
        </is>
      </c>
      <c r="F32" s="2" t="n">
        <v>2.1468</v>
      </c>
      <c r="G32" s="2" t="n">
        <v>-0.002467</v>
      </c>
    </row>
    <row r="33">
      <c r="A33" s="1" t="inlineStr">
        <is>
          <t>A1</t>
        </is>
      </c>
      <c r="B33" s="1" t="n">
        <v>1</v>
      </c>
      <c r="C33" s="2">
        <f>_xlfn.XLOOKUP(B33,Results!$B$23:$B$119,Results!$D$23:$D$119)</f>
        <v/>
      </c>
      <c r="D33" s="1" t="n">
        <v>10</v>
      </c>
      <c r="E33" s="1" t="inlineStr">
        <is>
          <t>CHO</t>
        </is>
      </c>
      <c r="F33" s="1" t="n">
        <v>2.1491</v>
      </c>
      <c r="G33" s="1" t="n">
        <v>-0.003546</v>
      </c>
    </row>
    <row r="34">
      <c r="A34" s="2" t="inlineStr">
        <is>
          <t>A1</t>
        </is>
      </c>
      <c r="B34" s="2" t="n">
        <v>1</v>
      </c>
      <c r="C34" s="2">
        <f>_xlfn.XLOOKUP(B34,Results!$B$23:$B$119,Results!$D$23:$D$119)</f>
        <v/>
      </c>
      <c r="D34" s="2" t="n">
        <v>11</v>
      </c>
      <c r="E34" s="2" t="inlineStr">
        <is>
          <t>CHO</t>
        </is>
      </c>
      <c r="F34" s="2" t="n">
        <v>2.1526</v>
      </c>
      <c r="G34" s="2" t="n">
        <v>-0.003455</v>
      </c>
    </row>
    <row r="35">
      <c r="A35" s="1" t="inlineStr">
        <is>
          <t>A1</t>
        </is>
      </c>
      <c r="B35" s="1" t="n">
        <v>1</v>
      </c>
      <c r="C35" s="2">
        <f>_xlfn.XLOOKUP(B35,Results!$B$23:$B$119,Results!$D$23:$D$119)</f>
        <v/>
      </c>
      <c r="D35" s="1" t="n">
        <v>12</v>
      </c>
      <c r="E35" s="1" t="inlineStr">
        <is>
          <t>CHO</t>
        </is>
      </c>
      <c r="F35" s="1" t="n">
        <v>2.156</v>
      </c>
      <c r="G35" s="1" t="n">
        <v>-0.003372</v>
      </c>
    </row>
    <row r="36">
      <c r="A36" s="2" t="inlineStr">
        <is>
          <t>A1</t>
        </is>
      </c>
      <c r="B36" s="2" t="n">
        <v>1</v>
      </c>
      <c r="C36" s="2">
        <f>_xlfn.XLOOKUP(B36,Results!$B$23:$B$119,Results!$D$23:$D$119)</f>
        <v/>
      </c>
      <c r="D36" s="2" t="n">
        <v>13</v>
      </c>
      <c r="E36" s="2" t="inlineStr">
        <is>
          <t>CHO</t>
        </is>
      </c>
      <c r="F36" s="2" t="n">
        <v>2.1588</v>
      </c>
      <c r="G36" s="2" t="n">
        <v>-0.004038</v>
      </c>
    </row>
    <row r="37">
      <c r="A37" s="1" t="inlineStr">
        <is>
          <t>A1</t>
        </is>
      </c>
      <c r="B37" s="1" t="n">
        <v>1</v>
      </c>
      <c r="C37" s="2">
        <f>_xlfn.XLOOKUP(B37,Results!$B$23:$B$119,Results!$D$23:$D$119)</f>
        <v/>
      </c>
      <c r="D37" s="1" t="n">
        <v>14</v>
      </c>
      <c r="E37" s="1" t="inlineStr">
        <is>
          <t>CHO</t>
        </is>
      </c>
      <c r="F37" s="1" t="n">
        <v>2.1624</v>
      </c>
      <c r="G37" s="1" t="n">
        <v>-0.003751</v>
      </c>
    </row>
    <row r="38">
      <c r="A38" s="2" t="inlineStr">
        <is>
          <t>A1</t>
        </is>
      </c>
      <c r="B38" s="2" t="n">
        <v>1</v>
      </c>
      <c r="C38" s="2">
        <f>_xlfn.XLOOKUP(B38,Results!$B$23:$B$119,Results!$D$23:$D$119)</f>
        <v/>
      </c>
      <c r="D38" s="2" t="n">
        <v>15</v>
      </c>
      <c r="E38" s="2" t="inlineStr">
        <is>
          <t>CHO</t>
        </is>
      </c>
      <c r="F38" s="2" t="n">
        <v>2.1663</v>
      </c>
      <c r="G38" s="2" t="n">
        <v>-0.003268</v>
      </c>
    </row>
    <row r="39">
      <c r="A39" s="1" t="inlineStr">
        <is>
          <t>A1</t>
        </is>
      </c>
      <c r="B39" s="1" t="n">
        <v>1</v>
      </c>
      <c r="C39" s="2">
        <f>_xlfn.XLOOKUP(B39,Results!$B$23:$B$119,Results!$D$23:$D$119)</f>
        <v/>
      </c>
      <c r="D39" s="1" t="n">
        <v>16</v>
      </c>
      <c r="E39" s="1" t="inlineStr">
        <is>
          <t>CHO</t>
        </is>
      </c>
      <c r="F39" s="1" t="n">
        <v>2.1709</v>
      </c>
      <c r="G39" s="1" t="n">
        <v>-0.002037</v>
      </c>
    </row>
    <row r="40">
      <c r="A40" s="2" t="inlineStr">
        <is>
          <t>A1</t>
        </is>
      </c>
      <c r="B40" s="2" t="n">
        <v>1</v>
      </c>
      <c r="C40" s="2">
        <f>_xlfn.XLOOKUP(B40,Results!$B$23:$B$119,Results!$D$23:$D$119)</f>
        <v/>
      </c>
      <c r="D40" s="2" t="n">
        <v>17</v>
      </c>
      <c r="E40" s="2" t="inlineStr">
        <is>
          <t>CHO</t>
        </is>
      </c>
      <c r="F40" s="2" t="n">
        <v>2.1744</v>
      </c>
      <c r="G40" s="2" t="n">
        <v>-0.001918</v>
      </c>
    </row>
    <row r="41">
      <c r="A41" s="1" t="inlineStr">
        <is>
          <t>A1</t>
        </is>
      </c>
      <c r="B41" s="1" t="n">
        <v>1</v>
      </c>
      <c r="C41" s="2">
        <f>_xlfn.XLOOKUP(B41,Results!$B$23:$B$119,Results!$D$23:$D$119)</f>
        <v/>
      </c>
      <c r="D41" s="1" t="n">
        <v>18</v>
      </c>
      <c r="E41" s="1" t="inlineStr">
        <is>
          <t>CHO</t>
        </is>
      </c>
      <c r="F41" s="1" t="n">
        <v>2.1794</v>
      </c>
      <c r="G41" s="1" t="n">
        <v>-0.000341</v>
      </c>
    </row>
    <row r="42">
      <c r="A42" s="2" t="inlineStr">
        <is>
          <t>A1</t>
        </is>
      </c>
      <c r="B42" s="2" t="n">
        <v>1</v>
      </c>
      <c r="C42" s="2">
        <f>_xlfn.XLOOKUP(B42,Results!$B$23:$B$119,Results!$D$23:$D$119)</f>
        <v/>
      </c>
      <c r="D42" s="2" t="n">
        <v>19</v>
      </c>
      <c r="E42" s="2" t="inlineStr">
        <is>
          <t>CHO</t>
        </is>
      </c>
      <c r="F42" s="2" t="n">
        <v>2.1814</v>
      </c>
      <c r="G42" s="2" t="n">
        <v>-0.001697</v>
      </c>
    </row>
    <row r="43">
      <c r="A43" s="1" t="inlineStr">
        <is>
          <t>A1</t>
        </is>
      </c>
      <c r="B43" s="1" t="n">
        <v>1</v>
      </c>
      <c r="C43" s="2">
        <f>_xlfn.XLOOKUP(B43,Results!$B$23:$B$119,Results!$D$23:$D$119)</f>
        <v/>
      </c>
      <c r="D43" s="1" t="n">
        <v>20</v>
      </c>
      <c r="E43" s="1" t="inlineStr">
        <is>
          <t>CHO</t>
        </is>
      </c>
      <c r="F43" s="1" t="n">
        <v>2.1863</v>
      </c>
      <c r="G43" s="1" t="n">
        <v>-0.000209</v>
      </c>
    </row>
    <row r="44">
      <c r="A44" s="2" t="inlineStr">
        <is>
          <t>A1</t>
        </is>
      </c>
      <c r="B44" s="2" t="n">
        <v>1</v>
      </c>
      <c r="C44" s="2">
        <f>_xlfn.XLOOKUP(B44,Results!$B$23:$B$119,Results!$D$23:$D$119)</f>
        <v/>
      </c>
      <c r="D44" s="2" t="n">
        <v>21</v>
      </c>
      <c r="E44" s="2" t="inlineStr">
        <is>
          <t>CHO</t>
        </is>
      </c>
      <c r="F44" s="2" t="n">
        <v>2.1936</v>
      </c>
      <c r="G44" s="2" t="n">
        <v>0.003704</v>
      </c>
    </row>
    <row r="45">
      <c r="A45" s="1" t="inlineStr">
        <is>
          <t>A1</t>
        </is>
      </c>
      <c r="B45" s="1" t="n">
        <v>1</v>
      </c>
      <c r="C45" s="2">
        <f>_xlfn.XLOOKUP(B45,Results!$B$23:$B$119,Results!$D$23:$D$119)</f>
        <v/>
      </c>
      <c r="D45" s="1" t="n">
        <v>22</v>
      </c>
      <c r="E45" s="1" t="inlineStr">
        <is>
          <t>CHO</t>
        </is>
      </c>
      <c r="F45" s="1" t="n">
        <v>2.1971</v>
      </c>
      <c r="G45" s="1" t="n">
        <v>0.003835</v>
      </c>
    </row>
    <row r="46">
      <c r="A46" s="2" t="inlineStr">
        <is>
          <t>A1</t>
        </is>
      </c>
      <c r="B46" s="2" t="n">
        <v>1</v>
      </c>
      <c r="C46" s="2">
        <f>_xlfn.XLOOKUP(B46,Results!$B$23:$B$119,Results!$D$23:$D$119)</f>
        <v/>
      </c>
      <c r="D46" s="2" t="n">
        <v>23</v>
      </c>
      <c r="E46" s="2" t="inlineStr">
        <is>
          <t>CHO</t>
        </is>
      </c>
      <c r="F46" s="2" t="n">
        <v>2.1986</v>
      </c>
      <c r="G46" s="2" t="n">
        <v>0.001931</v>
      </c>
    </row>
    <row r="47">
      <c r="A47" s="1" t="inlineStr">
        <is>
          <t>A1</t>
        </is>
      </c>
      <c r="B47" s="1" t="n">
        <v>1</v>
      </c>
      <c r="C47" s="2">
        <f>_xlfn.XLOOKUP(B47,Results!$B$23:$B$119,Results!$D$23:$D$119)</f>
        <v/>
      </c>
      <c r="D47" s="1" t="n">
        <v>24</v>
      </c>
      <c r="E47" s="1" t="inlineStr">
        <is>
          <t>CHO</t>
        </is>
      </c>
      <c r="F47" s="1" t="n">
        <v>2.2034</v>
      </c>
      <c r="G47" s="1" t="n">
        <v>0.003384</v>
      </c>
    </row>
    <row r="48">
      <c r="A48" s="2" t="inlineStr">
        <is>
          <t>A1</t>
        </is>
      </c>
      <c r="B48" s="2" t="n">
        <v>1</v>
      </c>
      <c r="C48" s="2">
        <f>_xlfn.XLOOKUP(B48,Results!$B$23:$B$119,Results!$D$23:$D$119)</f>
        <v/>
      </c>
      <c r="D48" s="2" t="n">
        <v>25</v>
      </c>
      <c r="E48" s="2" t="inlineStr">
        <is>
          <t>CHO</t>
        </is>
      </c>
      <c r="F48" s="2" t="n">
        <v>2.2052</v>
      </c>
      <c r="G48" s="2" t="n">
        <v>0.001716</v>
      </c>
    </row>
    <row r="49">
      <c r="A49" s="1" t="inlineStr">
        <is>
          <t>A1</t>
        </is>
      </c>
      <c r="B49" s="1" t="n">
        <v>1</v>
      </c>
      <c r="C49" s="2">
        <f>_xlfn.XLOOKUP(B49,Results!$B$23:$B$119,Results!$D$23:$D$119)</f>
        <v/>
      </c>
      <c r="D49" s="1" t="n">
        <v>26</v>
      </c>
      <c r="E49" s="1" t="inlineStr">
        <is>
          <t>CHO</t>
        </is>
      </c>
      <c r="F49" s="1" t="n">
        <v>2.2062</v>
      </c>
      <c r="G49" s="1" t="n">
        <v>-0.000638</v>
      </c>
    </row>
    <row r="50">
      <c r="A50" s="2" t="inlineStr">
        <is>
          <t>A1</t>
        </is>
      </c>
      <c r="B50" s="2" t="n">
        <v>1</v>
      </c>
      <c r="C50" s="2">
        <f>_xlfn.XLOOKUP(B50,Results!$B$23:$B$119,Results!$D$23:$D$119)</f>
        <v/>
      </c>
      <c r="D50" s="2" t="n">
        <v>27</v>
      </c>
      <c r="E50" s="2" t="inlineStr">
        <is>
          <t>CHO</t>
        </is>
      </c>
      <c r="F50" s="2" t="n">
        <v>2.2082</v>
      </c>
      <c r="G50" s="2" t="n">
        <v>-0.001956</v>
      </c>
    </row>
    <row r="51">
      <c r="A51" s="1" t="inlineStr">
        <is>
          <t>A1</t>
        </is>
      </c>
      <c r="B51" s="1" t="n">
        <v>1</v>
      </c>
      <c r="C51" s="2">
        <f>_xlfn.XLOOKUP(B51,Results!$B$23:$B$119,Results!$D$23:$D$119)</f>
        <v/>
      </c>
      <c r="D51" s="1" t="n">
        <v>28</v>
      </c>
      <c r="E51" s="1" t="inlineStr">
        <is>
          <t>CHO</t>
        </is>
      </c>
      <c r="F51" s="1" t="n">
        <v>2.2163</v>
      </c>
      <c r="G51" s="1" t="n">
        <v>0.002692</v>
      </c>
    </row>
    <row r="52">
      <c r="A52" s="2" t="inlineStr">
        <is>
          <t>A1</t>
        </is>
      </c>
      <c r="B52" s="2" t="n">
        <v>1</v>
      </c>
      <c r="C52" s="2">
        <f>_xlfn.XLOOKUP(B52,Results!$B$23:$B$119,Results!$D$23:$D$119)</f>
        <v/>
      </c>
      <c r="D52" s="2" t="n">
        <v>29</v>
      </c>
      <c r="E52" s="2" t="inlineStr">
        <is>
          <t>CHO</t>
        </is>
      </c>
      <c r="F52" s="2" t="n">
        <v>2.2183</v>
      </c>
      <c r="G52" s="2" t="n">
        <v>0.001279</v>
      </c>
    </row>
    <row r="53">
      <c r="A53" s="1" t="inlineStr">
        <is>
          <t>A1</t>
        </is>
      </c>
      <c r="B53" s="1" t="n">
        <v>1</v>
      </c>
      <c r="C53" s="2">
        <f>_xlfn.XLOOKUP(B53,Results!$B$23:$B$119,Results!$D$23:$D$119)</f>
        <v/>
      </c>
      <c r="D53" s="1" t="n">
        <v>30</v>
      </c>
      <c r="E53" s="1" t="inlineStr">
        <is>
          <t>CHO</t>
        </is>
      </c>
      <c r="F53" s="1" t="n">
        <v>2.2193</v>
      </c>
      <c r="G53" s="1" t="n">
        <v>-0.001022</v>
      </c>
    </row>
    <row r="54">
      <c r="A54" s="2" t="inlineStr">
        <is>
          <t>A1</t>
        </is>
      </c>
      <c r="B54" s="2" t="n">
        <v>1</v>
      </c>
      <c r="C54" s="2">
        <f>_xlfn.XLOOKUP(B54,Results!$B$23:$B$119,Results!$D$23:$D$119)</f>
        <v/>
      </c>
      <c r="D54" s="2" t="n">
        <v>31</v>
      </c>
      <c r="E54" s="2" t="inlineStr">
        <is>
          <t>CHO</t>
        </is>
      </c>
      <c r="F54" s="2" t="n">
        <v>2.2215</v>
      </c>
      <c r="G54" s="2" t="n">
        <v>-0.002236</v>
      </c>
    </row>
    <row r="55">
      <c r="A55" s="1" t="inlineStr">
        <is>
          <t>A1</t>
        </is>
      </c>
      <c r="B55" s="1" t="n">
        <v>1</v>
      </c>
      <c r="C55" s="2">
        <f>_xlfn.XLOOKUP(B55,Results!$B$23:$B$119,Results!$D$23:$D$119)</f>
        <v/>
      </c>
      <c r="D55" s="1" t="n">
        <v>32</v>
      </c>
      <c r="E55" s="1" t="inlineStr">
        <is>
          <t>CHO</t>
        </is>
      </c>
      <c r="F55" s="1" t="n">
        <v>2.2253</v>
      </c>
      <c r="G55" s="1" t="n">
        <v>-0.001873</v>
      </c>
    </row>
    <row r="56">
      <c r="A56" s="2" t="inlineStr">
        <is>
          <t>A1</t>
        </is>
      </c>
      <c r="B56" s="2" t="n">
        <v>1</v>
      </c>
      <c r="C56" s="2">
        <f>_xlfn.XLOOKUP(B56,Results!$B$23:$B$119,Results!$D$23:$D$119)</f>
        <v/>
      </c>
      <c r="D56" s="2" t="n">
        <v>33</v>
      </c>
      <c r="E56" s="2" t="inlineStr">
        <is>
          <t>CHO</t>
        </is>
      </c>
      <c r="F56" s="2" t="n">
        <v>2.2307</v>
      </c>
      <c r="G56" s="2" t="n">
        <v>0.000188</v>
      </c>
    </row>
    <row r="57">
      <c r="A57" s="1" t="inlineStr">
        <is>
          <t>A1</t>
        </is>
      </c>
      <c r="B57" s="1" t="n">
        <v>1</v>
      </c>
      <c r="C57" s="2">
        <f>_xlfn.XLOOKUP(B57,Results!$B$23:$B$119,Results!$D$23:$D$119)</f>
        <v/>
      </c>
      <c r="D57" s="1" t="n">
        <v>34</v>
      </c>
      <c r="E57" s="1" t="inlineStr">
        <is>
          <t>CHO</t>
        </is>
      </c>
      <c r="F57" s="1" t="n">
        <v>2.2341</v>
      </c>
      <c r="G57" s="1" t="n">
        <v>0.000153</v>
      </c>
    </row>
    <row r="58">
      <c r="A58" s="2" t="inlineStr">
        <is>
          <t>A1</t>
        </is>
      </c>
      <c r="B58" s="2" t="n">
        <v>1</v>
      </c>
      <c r="C58" s="2">
        <f>_xlfn.XLOOKUP(B58,Results!$B$23:$B$119,Results!$D$23:$D$119)</f>
        <v/>
      </c>
      <c r="D58" s="2" t="n">
        <v>35</v>
      </c>
      <c r="E58" s="2" t="inlineStr">
        <is>
          <t>CHO</t>
        </is>
      </c>
      <c r="F58" s="2" t="n">
        <v>2.2377</v>
      </c>
      <c r="G58" s="2" t="n">
        <v>0.000419</v>
      </c>
    </row>
    <row r="59">
      <c r="A59" s="1" t="inlineStr">
        <is>
          <t>A1</t>
        </is>
      </c>
      <c r="B59" s="1" t="n">
        <v>1</v>
      </c>
      <c r="C59" s="2">
        <f>_xlfn.XLOOKUP(B59,Results!$B$23:$B$119,Results!$D$23:$D$119)</f>
        <v/>
      </c>
      <c r="D59" s="1" t="n">
        <v>36</v>
      </c>
      <c r="E59" s="1" t="inlineStr">
        <is>
          <t>CHO</t>
        </is>
      </c>
      <c r="F59" s="1" t="n">
        <v>2.2403</v>
      </c>
      <c r="G59" s="1" t="n">
        <v>-0.000366</v>
      </c>
    </row>
    <row r="60">
      <c r="A60" s="2" t="inlineStr">
        <is>
          <t>A1</t>
        </is>
      </c>
      <c r="B60" s="2" t="n">
        <v>1</v>
      </c>
      <c r="C60" s="2">
        <f>_xlfn.XLOOKUP(B60,Results!$B$23:$B$119,Results!$D$23:$D$119)</f>
        <v/>
      </c>
      <c r="D60" s="2" t="n">
        <v>37</v>
      </c>
      <c r="E60" s="2" t="inlineStr">
        <is>
          <t>CHO</t>
        </is>
      </c>
      <c r="F60" s="2" t="n">
        <v>2.2459</v>
      </c>
      <c r="G60" s="2" t="n">
        <v>0.001858</v>
      </c>
    </row>
    <row r="61">
      <c r="A61" s="1" t="inlineStr">
        <is>
          <t>A1</t>
        </is>
      </c>
      <c r="B61" s="1" t="n">
        <v>1</v>
      </c>
      <c r="C61" s="2">
        <f>_xlfn.XLOOKUP(B61,Results!$B$23:$B$119,Results!$D$23:$D$119)</f>
        <v/>
      </c>
      <c r="D61" s="1" t="n">
        <v>38</v>
      </c>
      <c r="E61" s="1" t="inlineStr">
        <is>
          <t>CHO</t>
        </is>
      </c>
      <c r="F61" s="1" t="n">
        <v>2.2481</v>
      </c>
      <c r="G61" s="1" t="n">
        <v>0.0006489999999999999</v>
      </c>
    </row>
    <row r="62">
      <c r="A62" s="2" t="inlineStr">
        <is>
          <t>A1</t>
        </is>
      </c>
      <c r="B62" s="2" t="n">
        <v>1</v>
      </c>
      <c r="C62" s="2">
        <f>_xlfn.XLOOKUP(B62,Results!$B$23:$B$119,Results!$D$23:$D$119)</f>
        <v/>
      </c>
      <c r="D62" s="2" t="n">
        <v>39</v>
      </c>
      <c r="E62" s="2" t="inlineStr">
        <is>
          <t>CHO</t>
        </is>
      </c>
      <c r="F62" s="2" t="n">
        <v>2.2509</v>
      </c>
      <c r="G62" s="2" t="n">
        <v>5.9e-05</v>
      </c>
    </row>
    <row r="63">
      <c r="A63" s="1" t="inlineStr">
        <is>
          <t>A1</t>
        </is>
      </c>
      <c r="B63" s="1" t="n">
        <v>1</v>
      </c>
      <c r="C63" s="2">
        <f>_xlfn.XLOOKUP(B63,Results!$B$23:$B$119,Results!$D$23:$D$119)</f>
        <v/>
      </c>
      <c r="D63" s="1" t="n">
        <v>40</v>
      </c>
      <c r="E63" s="1" t="inlineStr">
        <is>
          <t>CHO</t>
        </is>
      </c>
      <c r="F63" s="1" t="n">
        <v>2.2524</v>
      </c>
      <c r="G63" s="1" t="n">
        <v>-0.001774</v>
      </c>
    </row>
    <row r="64">
      <c r="A64" s="2" t="inlineStr">
        <is>
          <t>A2</t>
        </is>
      </c>
      <c r="B64" s="2" t="n">
        <v>2</v>
      </c>
      <c r="C64" s="2">
        <f>_xlfn.XLOOKUP(B64,Results!$B$23:$B$119,Results!$D$23:$D$119)</f>
        <v/>
      </c>
      <c r="D64" s="2" t="n">
        <v>1</v>
      </c>
      <c r="E64" s="2" t="inlineStr">
        <is>
          <t>CHO</t>
        </is>
      </c>
      <c r="F64" s="2" t="n">
        <v>2.1226</v>
      </c>
      <c r="G64" s="2" t="n">
        <v>-0.004111</v>
      </c>
    </row>
    <row r="65">
      <c r="A65" s="1" t="inlineStr">
        <is>
          <t>A2</t>
        </is>
      </c>
      <c r="B65" s="1" t="n">
        <v>2</v>
      </c>
      <c r="C65" s="2">
        <f>_xlfn.XLOOKUP(B65,Results!$B$23:$B$119,Results!$D$23:$D$119)</f>
        <v/>
      </c>
      <c r="D65" s="1" t="n">
        <v>2</v>
      </c>
      <c r="E65" s="1" t="inlineStr">
        <is>
          <t>CHO</t>
        </is>
      </c>
      <c r="F65" s="1" t="n">
        <v>2.125</v>
      </c>
      <c r="G65" s="1" t="n">
        <v>-0.005472</v>
      </c>
    </row>
    <row r="66">
      <c r="A66" s="2" t="inlineStr">
        <is>
          <t>A2</t>
        </is>
      </c>
      <c r="B66" s="2" t="n">
        <v>2</v>
      </c>
      <c r="C66" s="2">
        <f>_xlfn.XLOOKUP(B66,Results!$B$23:$B$119,Results!$D$23:$D$119)</f>
        <v/>
      </c>
      <c r="D66" s="2" t="n">
        <v>3</v>
      </c>
      <c r="E66" s="2" t="inlineStr">
        <is>
          <t>CHO</t>
        </is>
      </c>
      <c r="F66" s="2" t="n">
        <v>2.1309</v>
      </c>
      <c r="G66" s="2" t="n">
        <v>-0.003315</v>
      </c>
    </row>
    <row r="67">
      <c r="A67" s="1" t="inlineStr">
        <is>
          <t>A2</t>
        </is>
      </c>
      <c r="B67" s="1" t="n">
        <v>2</v>
      </c>
      <c r="C67" s="2">
        <f>_xlfn.XLOOKUP(B67,Results!$B$23:$B$119,Results!$D$23:$D$119)</f>
        <v/>
      </c>
      <c r="D67" s="1" t="n">
        <v>4</v>
      </c>
      <c r="E67" s="1" t="inlineStr">
        <is>
          <t>CHO</t>
        </is>
      </c>
      <c r="F67" s="1" t="n">
        <v>2.1356</v>
      </c>
      <c r="G67" s="1" t="n">
        <v>-0.002468</v>
      </c>
    </row>
    <row r="68">
      <c r="A68" s="2" t="inlineStr">
        <is>
          <t>A2</t>
        </is>
      </c>
      <c r="B68" s="2" t="n">
        <v>2</v>
      </c>
      <c r="C68" s="2">
        <f>_xlfn.XLOOKUP(B68,Results!$B$23:$B$119,Results!$D$23:$D$119)</f>
        <v/>
      </c>
      <c r="D68" s="2" t="n">
        <v>5</v>
      </c>
      <c r="E68" s="2" t="inlineStr">
        <is>
          <t>CHO</t>
        </is>
      </c>
      <c r="F68" s="2" t="n">
        <v>2.1412</v>
      </c>
      <c r="G68" s="2" t="n">
        <v>-0.000619</v>
      </c>
    </row>
    <row r="69">
      <c r="A69" s="1" t="inlineStr">
        <is>
          <t>A2</t>
        </is>
      </c>
      <c r="B69" s="1" t="n">
        <v>2</v>
      </c>
      <c r="C69" s="2">
        <f>_xlfn.XLOOKUP(B69,Results!$B$23:$B$119,Results!$D$23:$D$119)</f>
        <v/>
      </c>
      <c r="D69" s="1" t="n">
        <v>6</v>
      </c>
      <c r="E69" s="1" t="inlineStr">
        <is>
          <t>CHO</t>
        </is>
      </c>
      <c r="F69" s="1" t="n">
        <v>2.1456</v>
      </c>
      <c r="G69" s="1" t="n">
        <v>6e-06</v>
      </c>
    </row>
    <row r="70">
      <c r="A70" s="2" t="inlineStr">
        <is>
          <t>A2</t>
        </is>
      </c>
      <c r="B70" s="2" t="n">
        <v>2</v>
      </c>
      <c r="C70" s="2">
        <f>_xlfn.XLOOKUP(B70,Results!$B$23:$B$119,Results!$D$23:$D$119)</f>
        <v/>
      </c>
      <c r="D70" s="2" t="n">
        <v>7</v>
      </c>
      <c r="E70" s="2" t="inlineStr">
        <is>
          <t>CHO</t>
        </is>
      </c>
      <c r="F70" s="2" t="n">
        <v>2.1511</v>
      </c>
      <c r="G70" s="2" t="n">
        <v>0.001733</v>
      </c>
    </row>
    <row r="71">
      <c r="A71" s="1" t="inlineStr">
        <is>
          <t>A2</t>
        </is>
      </c>
      <c r="B71" s="1" t="n">
        <v>2</v>
      </c>
      <c r="C71" s="2">
        <f>_xlfn.XLOOKUP(B71,Results!$B$23:$B$119,Results!$D$23:$D$119)</f>
        <v/>
      </c>
      <c r="D71" s="1" t="n">
        <v>8</v>
      </c>
      <c r="E71" s="1" t="inlineStr">
        <is>
          <t>CHO</t>
        </is>
      </c>
      <c r="F71" s="1" t="n">
        <v>2.1534</v>
      </c>
      <c r="G71" s="1" t="n">
        <v>0.0003</v>
      </c>
    </row>
    <row r="72">
      <c r="A72" s="2" t="inlineStr">
        <is>
          <t>A2</t>
        </is>
      </c>
      <c r="B72" s="2" t="n">
        <v>2</v>
      </c>
      <c r="C72" s="2">
        <f>_xlfn.XLOOKUP(B72,Results!$B$23:$B$119,Results!$D$23:$D$119)</f>
        <v/>
      </c>
      <c r="D72" s="2" t="n">
        <v>9</v>
      </c>
      <c r="E72" s="2" t="inlineStr">
        <is>
          <t>CHO</t>
        </is>
      </c>
      <c r="F72" s="2" t="n">
        <v>2.1551</v>
      </c>
      <c r="G72" s="2" t="n">
        <v>-0.001765</v>
      </c>
    </row>
    <row r="73">
      <c r="A73" s="1" t="inlineStr">
        <is>
          <t>A2</t>
        </is>
      </c>
      <c r="B73" s="1" t="n">
        <v>2</v>
      </c>
      <c r="C73" s="2">
        <f>_xlfn.XLOOKUP(B73,Results!$B$23:$B$119,Results!$D$23:$D$119)</f>
        <v/>
      </c>
      <c r="D73" s="1" t="n">
        <v>10</v>
      </c>
      <c r="E73" s="1" t="inlineStr">
        <is>
          <t>CHO</t>
        </is>
      </c>
      <c r="F73" s="1" t="n">
        <v>2.1578</v>
      </c>
      <c r="G73" s="1" t="n">
        <v>-0.002843</v>
      </c>
    </row>
    <row r="74">
      <c r="A74" s="2" t="inlineStr">
        <is>
          <t>A2</t>
        </is>
      </c>
      <c r="B74" s="2" t="n">
        <v>2</v>
      </c>
      <c r="C74" s="2">
        <f>_xlfn.XLOOKUP(B74,Results!$B$23:$B$119,Results!$D$23:$D$119)</f>
        <v/>
      </c>
      <c r="D74" s="2" t="n">
        <v>11</v>
      </c>
      <c r="E74" s="2" t="inlineStr">
        <is>
          <t>CHO</t>
        </is>
      </c>
      <c r="F74" s="2" t="n">
        <v>2.1623</v>
      </c>
      <c r="G74" s="2" t="n">
        <v>-0.002078</v>
      </c>
    </row>
    <row r="75">
      <c r="A75" s="1" t="inlineStr">
        <is>
          <t>A2</t>
        </is>
      </c>
      <c r="B75" s="1" t="n">
        <v>2</v>
      </c>
      <c r="C75" s="2">
        <f>_xlfn.XLOOKUP(B75,Results!$B$23:$B$119,Results!$D$23:$D$119)</f>
        <v/>
      </c>
      <c r="D75" s="1" t="n">
        <v>12</v>
      </c>
      <c r="E75" s="1" t="inlineStr">
        <is>
          <t>CHO</t>
        </is>
      </c>
      <c r="F75" s="1" t="n">
        <v>2.1667</v>
      </c>
      <c r="G75" s="1" t="n">
        <v>-0.001504</v>
      </c>
    </row>
    <row r="76">
      <c r="A76" s="2" t="inlineStr">
        <is>
          <t>A2</t>
        </is>
      </c>
      <c r="B76" s="2" t="n">
        <v>2</v>
      </c>
      <c r="C76" s="2">
        <f>_xlfn.XLOOKUP(B76,Results!$B$23:$B$119,Results!$D$23:$D$119)</f>
        <v/>
      </c>
      <c r="D76" s="2" t="n">
        <v>13</v>
      </c>
      <c r="E76" s="2" t="inlineStr">
        <is>
          <t>CHO</t>
        </is>
      </c>
      <c r="F76" s="2" t="n">
        <v>2.1709</v>
      </c>
      <c r="G76" s="2" t="n">
        <v>-0.00101</v>
      </c>
    </row>
    <row r="77">
      <c r="A77" s="1" t="inlineStr">
        <is>
          <t>A2</t>
        </is>
      </c>
      <c r="B77" s="1" t="n">
        <v>2</v>
      </c>
      <c r="C77" s="2">
        <f>_xlfn.XLOOKUP(B77,Results!$B$23:$B$119,Results!$D$23:$D$119)</f>
        <v/>
      </c>
      <c r="D77" s="1" t="n">
        <v>14</v>
      </c>
      <c r="E77" s="1" t="inlineStr">
        <is>
          <t>CHO</t>
        </is>
      </c>
      <c r="F77" s="1" t="n">
        <v>2.177</v>
      </c>
      <c r="G77" s="1" t="n">
        <v>0.001285</v>
      </c>
    </row>
    <row r="78">
      <c r="A78" s="2" t="inlineStr">
        <is>
          <t>A2</t>
        </is>
      </c>
      <c r="B78" s="2" t="n">
        <v>2</v>
      </c>
      <c r="C78" s="2">
        <f>_xlfn.XLOOKUP(B78,Results!$B$23:$B$119,Results!$D$23:$D$119)</f>
        <v/>
      </c>
      <c r="D78" s="2" t="n">
        <v>15</v>
      </c>
      <c r="E78" s="2" t="inlineStr">
        <is>
          <t>CHO</t>
        </is>
      </c>
      <c r="F78" s="2" t="n">
        <v>2.1817</v>
      </c>
      <c r="G78" s="2" t="n">
        <v>0.002201</v>
      </c>
    </row>
    <row r="79">
      <c r="A79" s="1" t="inlineStr">
        <is>
          <t>A2</t>
        </is>
      </c>
      <c r="B79" s="1" t="n">
        <v>2</v>
      </c>
      <c r="C79" s="2">
        <f>_xlfn.XLOOKUP(B79,Results!$B$23:$B$119,Results!$D$23:$D$119)</f>
        <v/>
      </c>
      <c r="D79" s="1" t="n">
        <v>16</v>
      </c>
      <c r="E79" s="1" t="inlineStr">
        <is>
          <t>CHO</t>
        </is>
      </c>
      <c r="F79" s="1" t="n">
        <v>2.1852</v>
      </c>
      <c r="G79" s="1" t="n">
        <v>0.001981</v>
      </c>
    </row>
    <row r="80">
      <c r="A80" s="2" t="inlineStr">
        <is>
          <t>A2</t>
        </is>
      </c>
      <c r="B80" s="2" t="n">
        <v>2</v>
      </c>
      <c r="C80" s="2">
        <f>_xlfn.XLOOKUP(B80,Results!$B$23:$B$119,Results!$D$23:$D$119)</f>
        <v/>
      </c>
      <c r="D80" s="2" t="n">
        <v>17</v>
      </c>
      <c r="E80" s="2" t="inlineStr">
        <is>
          <t>CHO</t>
        </is>
      </c>
      <c r="F80" s="2" t="n">
        <v>2.1873</v>
      </c>
      <c r="G80" s="2" t="n">
        <v>0.000315</v>
      </c>
    </row>
    <row r="81">
      <c r="A81" s="1" t="inlineStr">
        <is>
          <t>A2</t>
        </is>
      </c>
      <c r="B81" s="1" t="n">
        <v>2</v>
      </c>
      <c r="C81" s="2">
        <f>_xlfn.XLOOKUP(B81,Results!$B$23:$B$119,Results!$D$23:$D$119)</f>
        <v/>
      </c>
      <c r="D81" s="1" t="n">
        <v>18</v>
      </c>
      <c r="E81" s="1" t="inlineStr">
        <is>
          <t>CHO</t>
        </is>
      </c>
      <c r="F81" s="1" t="n">
        <v>2.1923</v>
      </c>
      <c r="G81" s="1" t="n">
        <v>0.001465</v>
      </c>
    </row>
    <row r="82">
      <c r="A82" s="2" t="inlineStr">
        <is>
          <t>A2</t>
        </is>
      </c>
      <c r="B82" s="2" t="n">
        <v>2</v>
      </c>
      <c r="C82" s="2">
        <f>_xlfn.XLOOKUP(B82,Results!$B$23:$B$119,Results!$D$23:$D$119)</f>
        <v/>
      </c>
      <c r="D82" s="2" t="n">
        <v>19</v>
      </c>
      <c r="E82" s="2" t="inlineStr">
        <is>
          <t>CHO</t>
        </is>
      </c>
      <c r="F82" s="2" t="n">
        <v>2.1987</v>
      </c>
      <c r="G82" s="2" t="n">
        <v>0.004085</v>
      </c>
    </row>
    <row r="83">
      <c r="A83" s="1" t="inlineStr">
        <is>
          <t>A2</t>
        </is>
      </c>
      <c r="B83" s="1" t="n">
        <v>2</v>
      </c>
      <c r="C83" s="2">
        <f>_xlfn.XLOOKUP(B83,Results!$B$23:$B$119,Results!$D$23:$D$119)</f>
        <v/>
      </c>
      <c r="D83" s="1" t="n">
        <v>20</v>
      </c>
      <c r="E83" s="1" t="inlineStr">
        <is>
          <t>CHO</t>
        </is>
      </c>
      <c r="F83" s="1" t="n">
        <v>2.2024</v>
      </c>
      <c r="G83" s="1" t="n">
        <v>0.00404</v>
      </c>
    </row>
    <row r="84">
      <c r="A84" s="2" t="inlineStr">
        <is>
          <t>A2</t>
        </is>
      </c>
      <c r="B84" s="2" t="n">
        <v>2</v>
      </c>
      <c r="C84" s="2">
        <f>_xlfn.XLOOKUP(B84,Results!$B$23:$B$119,Results!$D$23:$D$119)</f>
        <v/>
      </c>
      <c r="D84" s="2" t="n">
        <v>21</v>
      </c>
      <c r="E84" s="2" t="inlineStr">
        <is>
          <t>CHO</t>
        </is>
      </c>
      <c r="F84" s="2" t="n">
        <v>2.2049</v>
      </c>
      <c r="G84" s="2" t="n">
        <v>0.002823</v>
      </c>
    </row>
    <row r="85">
      <c r="A85" s="1" t="inlineStr">
        <is>
          <t>A2</t>
        </is>
      </c>
      <c r="B85" s="1" t="n">
        <v>2</v>
      </c>
      <c r="C85" s="2">
        <f>_xlfn.XLOOKUP(B85,Results!$B$23:$B$119,Results!$D$23:$D$119)</f>
        <v/>
      </c>
      <c r="D85" s="1" t="n">
        <v>22</v>
      </c>
      <c r="E85" s="1" t="inlineStr">
        <is>
          <t>CHO</t>
        </is>
      </c>
      <c r="F85" s="1" t="n">
        <v>2.2078</v>
      </c>
      <c r="G85" s="1" t="n">
        <v>0.001927</v>
      </c>
    </row>
    <row r="86">
      <c r="A86" s="2" t="inlineStr">
        <is>
          <t>A2</t>
        </is>
      </c>
      <c r="B86" s="2" t="n">
        <v>2</v>
      </c>
      <c r="C86" s="2">
        <f>_xlfn.XLOOKUP(B86,Results!$B$23:$B$119,Results!$D$23:$D$119)</f>
        <v/>
      </c>
      <c r="D86" s="2" t="n">
        <v>23</v>
      </c>
      <c r="E86" s="2" t="inlineStr">
        <is>
          <t>CHO</t>
        </is>
      </c>
      <c r="F86" s="2" t="n">
        <v>2.2101</v>
      </c>
      <c r="G86" s="2" t="n">
        <v>0.000426</v>
      </c>
    </row>
    <row r="87">
      <c r="A87" s="1" t="inlineStr">
        <is>
          <t>A2</t>
        </is>
      </c>
      <c r="B87" s="1" t="n">
        <v>2</v>
      </c>
      <c r="C87" s="2">
        <f>_xlfn.XLOOKUP(B87,Results!$B$23:$B$119,Results!$D$23:$D$119)</f>
        <v/>
      </c>
      <c r="D87" s="1" t="n">
        <v>24</v>
      </c>
      <c r="E87" s="1" t="inlineStr">
        <is>
          <t>CHO</t>
        </is>
      </c>
      <c r="F87" s="1" t="n">
        <v>2.2143</v>
      </c>
      <c r="G87" s="1" t="n">
        <v>0.000934</v>
      </c>
    </row>
    <row r="88">
      <c r="A88" s="2" t="inlineStr">
        <is>
          <t>A2</t>
        </is>
      </c>
      <c r="B88" s="2" t="n">
        <v>2</v>
      </c>
      <c r="C88" s="2">
        <f>_xlfn.XLOOKUP(B88,Results!$B$23:$B$119,Results!$D$23:$D$119)</f>
        <v/>
      </c>
      <c r="D88" s="2" t="n">
        <v>25</v>
      </c>
      <c r="E88" s="2" t="inlineStr">
        <is>
          <t>CHO</t>
        </is>
      </c>
      <c r="F88" s="2" t="n">
        <v>2.2205</v>
      </c>
      <c r="G88" s="2" t="n">
        <v>0.003337</v>
      </c>
    </row>
    <row r="89">
      <c r="A89" s="1" t="inlineStr">
        <is>
          <t>A2</t>
        </is>
      </c>
      <c r="B89" s="1" t="n">
        <v>2</v>
      </c>
      <c r="C89" s="2">
        <f>_xlfn.XLOOKUP(B89,Results!$B$23:$B$119,Results!$D$23:$D$119)</f>
        <v/>
      </c>
      <c r="D89" s="1" t="n">
        <v>26</v>
      </c>
      <c r="E89" s="1" t="inlineStr">
        <is>
          <t>CHO</t>
        </is>
      </c>
      <c r="F89" s="1" t="n">
        <v>2.2222</v>
      </c>
      <c r="G89" s="1" t="n">
        <v>0.001294</v>
      </c>
    </row>
    <row r="90">
      <c r="A90" s="2" t="inlineStr">
        <is>
          <t>A2</t>
        </is>
      </c>
      <c r="B90" s="2" t="n">
        <v>2</v>
      </c>
      <c r="C90" s="2">
        <f>_xlfn.XLOOKUP(B90,Results!$B$23:$B$119,Results!$D$23:$D$119)</f>
        <v/>
      </c>
      <c r="D90" s="2" t="n">
        <v>27</v>
      </c>
      <c r="E90" s="2" t="inlineStr">
        <is>
          <t>CHO</t>
        </is>
      </c>
      <c r="F90" s="2" t="n">
        <v>2.2241</v>
      </c>
      <c r="G90" s="2" t="n">
        <v>-0.000576</v>
      </c>
    </row>
    <row r="91">
      <c r="A91" s="1" t="inlineStr">
        <is>
          <t>A2</t>
        </is>
      </c>
      <c r="B91" s="1" t="n">
        <v>2</v>
      </c>
      <c r="C91" s="2">
        <f>_xlfn.XLOOKUP(B91,Results!$B$23:$B$119,Results!$D$23:$D$119)</f>
        <v/>
      </c>
      <c r="D91" s="1" t="n">
        <v>28</v>
      </c>
      <c r="E91" s="1" t="inlineStr">
        <is>
          <t>CHO</t>
        </is>
      </c>
      <c r="F91" s="1" t="n">
        <v>2.2312</v>
      </c>
      <c r="G91" s="1" t="n">
        <v>0.002757</v>
      </c>
    </row>
    <row r="92">
      <c r="A92" s="2" t="inlineStr">
        <is>
          <t>A2</t>
        </is>
      </c>
      <c r="B92" s="2" t="n">
        <v>2</v>
      </c>
      <c r="C92" s="2">
        <f>_xlfn.XLOOKUP(B92,Results!$B$23:$B$119,Results!$D$23:$D$119)</f>
        <v/>
      </c>
      <c r="D92" s="2" t="n">
        <v>29</v>
      </c>
      <c r="E92" s="2" t="inlineStr">
        <is>
          <t>CHO</t>
        </is>
      </c>
      <c r="F92" s="2" t="n">
        <v>2.2325</v>
      </c>
      <c r="G92" s="2" t="n">
        <v>0.000268</v>
      </c>
    </row>
    <row r="93">
      <c r="A93" s="1" t="inlineStr">
        <is>
          <t>A2</t>
        </is>
      </c>
      <c r="B93" s="1" t="n">
        <v>2</v>
      </c>
      <c r="C93" s="2">
        <f>_xlfn.XLOOKUP(B93,Results!$B$23:$B$119,Results!$D$23:$D$119)</f>
        <v/>
      </c>
      <c r="D93" s="1" t="n">
        <v>30</v>
      </c>
      <c r="E93" s="1" t="inlineStr">
        <is>
          <t>CHO</t>
        </is>
      </c>
      <c r="F93" s="1" t="n">
        <v>2.2318</v>
      </c>
      <c r="G93" s="1" t="n">
        <v>-0.004256</v>
      </c>
    </row>
    <row r="94">
      <c r="A94" s="2" t="inlineStr">
        <is>
          <t>A2</t>
        </is>
      </c>
      <c r="B94" s="2" t="n">
        <v>2</v>
      </c>
      <c r="C94" s="2">
        <f>_xlfn.XLOOKUP(B94,Results!$B$23:$B$119,Results!$D$23:$D$119)</f>
        <v/>
      </c>
      <c r="D94" s="2" t="n">
        <v>31</v>
      </c>
      <c r="E94" s="2" t="inlineStr">
        <is>
          <t>CHO</t>
        </is>
      </c>
      <c r="F94" s="2" t="n">
        <v>2.2373</v>
      </c>
      <c r="G94" s="2" t="n">
        <v>-0.002543</v>
      </c>
    </row>
    <row r="95">
      <c r="A95" s="1" t="inlineStr">
        <is>
          <t>A2</t>
        </is>
      </c>
      <c r="B95" s="1" t="n">
        <v>2</v>
      </c>
      <c r="C95" s="2">
        <f>_xlfn.XLOOKUP(B95,Results!$B$23:$B$119,Results!$D$23:$D$119)</f>
        <v/>
      </c>
      <c r="D95" s="1" t="n">
        <v>32</v>
      </c>
      <c r="E95" s="1" t="inlineStr">
        <is>
          <t>CHO</t>
        </is>
      </c>
      <c r="F95" s="1" t="n">
        <v>2.2422</v>
      </c>
      <c r="G95" s="1" t="n">
        <v>-0.001386</v>
      </c>
    </row>
    <row r="96">
      <c r="A96" s="2" t="inlineStr">
        <is>
          <t>A2</t>
        </is>
      </c>
      <c r="B96" s="2" t="n">
        <v>2</v>
      </c>
      <c r="C96" s="2">
        <f>_xlfn.XLOOKUP(B96,Results!$B$23:$B$119,Results!$D$23:$D$119)</f>
        <v/>
      </c>
      <c r="D96" s="2" t="n">
        <v>33</v>
      </c>
      <c r="E96" s="2" t="inlineStr">
        <is>
          <t>CHO</t>
        </is>
      </c>
      <c r="F96" s="2" t="n">
        <v>2.2443</v>
      </c>
      <c r="G96" s="2" t="n">
        <v>-0.003046</v>
      </c>
    </row>
    <row r="97">
      <c r="A97" s="1" t="inlineStr">
        <is>
          <t>A2</t>
        </is>
      </c>
      <c r="B97" s="1" t="n">
        <v>2</v>
      </c>
      <c r="C97" s="2">
        <f>_xlfn.XLOOKUP(B97,Results!$B$23:$B$119,Results!$D$23:$D$119)</f>
        <v/>
      </c>
      <c r="D97" s="1" t="n">
        <v>34</v>
      </c>
      <c r="E97" s="1" t="inlineStr">
        <is>
          <t>CHO</t>
        </is>
      </c>
      <c r="F97" s="1" t="n">
        <v>2.2511</v>
      </c>
      <c r="G97" s="1" t="n">
        <v>4.4e-05</v>
      </c>
    </row>
    <row r="98">
      <c r="A98" s="2" t="inlineStr">
        <is>
          <t>A2</t>
        </is>
      </c>
      <c r="B98" s="2" t="n">
        <v>2</v>
      </c>
      <c r="C98" s="2">
        <f>_xlfn.XLOOKUP(B98,Results!$B$23:$B$119,Results!$D$23:$D$119)</f>
        <v/>
      </c>
      <c r="D98" s="2" t="n">
        <v>35</v>
      </c>
      <c r="E98" s="2" t="inlineStr">
        <is>
          <t>CHO</t>
        </is>
      </c>
      <c r="F98" s="2" t="n">
        <v>2.2531</v>
      </c>
      <c r="G98" s="2" t="n">
        <v>-0.001733</v>
      </c>
    </row>
    <row r="99">
      <c r="A99" s="1" t="inlineStr">
        <is>
          <t>A2</t>
        </is>
      </c>
      <c r="B99" s="1" t="n">
        <v>2</v>
      </c>
      <c r="C99" s="2">
        <f>_xlfn.XLOOKUP(B99,Results!$B$23:$B$119,Results!$D$23:$D$119)</f>
        <v/>
      </c>
      <c r="D99" s="1" t="n">
        <v>36</v>
      </c>
      <c r="E99" s="1" t="inlineStr">
        <is>
          <t>CHO</t>
        </is>
      </c>
      <c r="F99" s="1" t="n">
        <v>2.2564</v>
      </c>
      <c r="G99" s="1" t="n">
        <v>-0.002281</v>
      </c>
    </row>
    <row r="100">
      <c r="A100" s="2" t="inlineStr">
        <is>
          <t>A2</t>
        </is>
      </c>
      <c r="B100" s="2" t="n">
        <v>2</v>
      </c>
      <c r="C100" s="2">
        <f>_xlfn.XLOOKUP(B100,Results!$B$23:$B$119,Results!$D$23:$D$119)</f>
        <v/>
      </c>
      <c r="D100" s="2" t="n">
        <v>37</v>
      </c>
      <c r="E100" s="2" t="inlineStr">
        <is>
          <t>CHO</t>
        </is>
      </c>
      <c r="F100" s="2" t="n">
        <v>2.2629</v>
      </c>
      <c r="G100" s="2" t="n">
        <v>0.000461</v>
      </c>
    </row>
    <row r="101">
      <c r="A101" s="1" t="inlineStr">
        <is>
          <t>A2</t>
        </is>
      </c>
      <c r="B101" s="1" t="n">
        <v>2</v>
      </c>
      <c r="C101" s="2">
        <f>_xlfn.XLOOKUP(B101,Results!$B$23:$B$119,Results!$D$23:$D$119)</f>
        <v/>
      </c>
      <c r="D101" s="1" t="n">
        <v>38</v>
      </c>
      <c r="E101" s="1" t="inlineStr">
        <is>
          <t>CHO</t>
        </is>
      </c>
      <c r="F101" s="1" t="n">
        <v>2.267</v>
      </c>
      <c r="G101" s="1" t="n">
        <v>0.00079</v>
      </c>
    </row>
    <row r="102">
      <c r="A102" s="2" t="inlineStr">
        <is>
          <t>A2</t>
        </is>
      </c>
      <c r="B102" s="2" t="n">
        <v>2</v>
      </c>
      <c r="C102" s="2">
        <f>_xlfn.XLOOKUP(B102,Results!$B$23:$B$119,Results!$D$23:$D$119)</f>
        <v/>
      </c>
      <c r="D102" s="2" t="n">
        <v>39</v>
      </c>
      <c r="E102" s="2" t="inlineStr">
        <is>
          <t>CHO</t>
        </is>
      </c>
      <c r="F102" s="2" t="n">
        <v>2.2689</v>
      </c>
      <c r="G102" s="2" t="n">
        <v>-0.001049</v>
      </c>
    </row>
    <row r="103">
      <c r="A103" s="1" t="inlineStr">
        <is>
          <t>A2</t>
        </is>
      </c>
      <c r="B103" s="1" t="n">
        <v>2</v>
      </c>
      <c r="C103" s="2">
        <f>_xlfn.XLOOKUP(B103,Results!$B$23:$B$119,Results!$D$23:$D$119)</f>
        <v/>
      </c>
      <c r="D103" s="1" t="n">
        <v>40</v>
      </c>
      <c r="E103" s="1" t="inlineStr">
        <is>
          <t>CHO</t>
        </is>
      </c>
      <c r="F103" s="1" t="n">
        <v>2.2673</v>
      </c>
      <c r="G103" s="1" t="n">
        <v>-0.006385</v>
      </c>
    </row>
    <row r="104">
      <c r="A104" s="2" t="inlineStr">
        <is>
          <t>A3</t>
        </is>
      </c>
      <c r="B104" s="2" t="n">
        <v>3</v>
      </c>
      <c r="C104" s="2">
        <f>_xlfn.XLOOKUP(B104,Results!$B$23:$B$119,Results!$D$23:$D$119)</f>
        <v/>
      </c>
      <c r="D104" s="2" t="n">
        <v>1</v>
      </c>
      <c r="E104" s="2" t="inlineStr">
        <is>
          <t>CHO</t>
        </is>
      </c>
      <c r="F104" s="2" t="n">
        <v>2.1915</v>
      </c>
      <c r="G104" s="2" t="n">
        <v>-0.010131</v>
      </c>
    </row>
    <row r="105">
      <c r="A105" s="1" t="inlineStr">
        <is>
          <t>A3</t>
        </is>
      </c>
      <c r="B105" s="1" t="n">
        <v>3</v>
      </c>
      <c r="C105" s="2">
        <f>_xlfn.XLOOKUP(B105,Results!$B$23:$B$119,Results!$D$23:$D$119)</f>
        <v/>
      </c>
      <c r="D105" s="1" t="n">
        <v>2</v>
      </c>
      <c r="E105" s="1" t="inlineStr">
        <is>
          <t>CHO</t>
        </is>
      </c>
      <c r="F105" s="1" t="n">
        <v>2.1943</v>
      </c>
      <c r="G105" s="1" t="n">
        <v>-0.011129</v>
      </c>
    </row>
    <row r="106">
      <c r="A106" s="2" t="inlineStr">
        <is>
          <t>A3</t>
        </is>
      </c>
      <c r="B106" s="2" t="n">
        <v>3</v>
      </c>
      <c r="C106" s="2">
        <f>_xlfn.XLOOKUP(B106,Results!$B$23:$B$119,Results!$D$23:$D$119)</f>
        <v/>
      </c>
      <c r="D106" s="2" t="n">
        <v>3</v>
      </c>
      <c r="E106" s="2" t="inlineStr">
        <is>
          <t>CHO</t>
        </is>
      </c>
      <c r="F106" s="2" t="n">
        <v>2.2048</v>
      </c>
      <c r="G106" s="2" t="n">
        <v>-0.004361</v>
      </c>
    </row>
    <row r="107">
      <c r="A107" s="1" t="inlineStr">
        <is>
          <t>A3</t>
        </is>
      </c>
      <c r="B107" s="1" t="n">
        <v>3</v>
      </c>
      <c r="C107" s="2">
        <f>_xlfn.XLOOKUP(B107,Results!$B$23:$B$119,Results!$D$23:$D$119)</f>
        <v/>
      </c>
      <c r="D107" s="1" t="n">
        <v>4</v>
      </c>
      <c r="E107" s="1" t="inlineStr">
        <is>
          <t>CHO</t>
        </is>
      </c>
      <c r="F107" s="1" t="n">
        <v>2.2103</v>
      </c>
      <c r="G107" s="1" t="n">
        <v>-0.002665</v>
      </c>
    </row>
    <row r="108">
      <c r="A108" s="2" t="inlineStr">
        <is>
          <t>A3</t>
        </is>
      </c>
      <c r="B108" s="2" t="n">
        <v>3</v>
      </c>
      <c r="C108" s="2">
        <f>_xlfn.XLOOKUP(B108,Results!$B$23:$B$119,Results!$D$23:$D$119)</f>
        <v/>
      </c>
      <c r="D108" s="2" t="n">
        <v>5</v>
      </c>
      <c r="E108" s="2" t="inlineStr">
        <is>
          <t>CHO</t>
        </is>
      </c>
      <c r="F108" s="2" t="n">
        <v>2.2152</v>
      </c>
      <c r="G108" s="2" t="n">
        <v>-0.001522</v>
      </c>
    </row>
    <row r="109">
      <c r="A109" s="1" t="inlineStr">
        <is>
          <t>A3</t>
        </is>
      </c>
      <c r="B109" s="1" t="n">
        <v>3</v>
      </c>
      <c r="C109" s="2">
        <f>_xlfn.XLOOKUP(B109,Results!$B$23:$B$119,Results!$D$23:$D$119)</f>
        <v/>
      </c>
      <c r="D109" s="1" t="n">
        <v>6</v>
      </c>
      <c r="E109" s="1" t="inlineStr">
        <is>
          <t>CHO</t>
        </is>
      </c>
      <c r="F109" s="1" t="n">
        <v>2.2203</v>
      </c>
      <c r="G109" s="1" t="n">
        <v>-0.000243</v>
      </c>
    </row>
    <row r="110">
      <c r="A110" s="2" t="inlineStr">
        <is>
          <t>A3</t>
        </is>
      </c>
      <c r="B110" s="2" t="n">
        <v>3</v>
      </c>
      <c r="C110" s="2">
        <f>_xlfn.XLOOKUP(B110,Results!$B$23:$B$119,Results!$D$23:$D$119)</f>
        <v/>
      </c>
      <c r="D110" s="2" t="n">
        <v>7</v>
      </c>
      <c r="E110" s="2" t="inlineStr">
        <is>
          <t>CHO</t>
        </is>
      </c>
      <c r="F110" s="2" t="n">
        <v>2.2241</v>
      </c>
      <c r="G110" s="2" t="n">
        <v>-0.000203</v>
      </c>
    </row>
    <row r="111">
      <c r="A111" s="1" t="inlineStr">
        <is>
          <t>A3</t>
        </is>
      </c>
      <c r="B111" s="1" t="n">
        <v>3</v>
      </c>
      <c r="C111" s="2">
        <f>_xlfn.XLOOKUP(B111,Results!$B$23:$B$119,Results!$D$23:$D$119)</f>
        <v/>
      </c>
      <c r="D111" s="1" t="n">
        <v>8</v>
      </c>
      <c r="E111" s="1" t="inlineStr">
        <is>
          <t>CHO</t>
        </is>
      </c>
      <c r="F111" s="1" t="n">
        <v>2.2271</v>
      </c>
      <c r="G111" s="1" t="n">
        <v>-0.001002</v>
      </c>
    </row>
    <row r="112">
      <c r="A112" s="2" t="inlineStr">
        <is>
          <t>A3</t>
        </is>
      </c>
      <c r="B112" s="2" t="n">
        <v>3</v>
      </c>
      <c r="C112" s="2">
        <f>_xlfn.XLOOKUP(B112,Results!$B$23:$B$119,Results!$D$23:$D$119)</f>
        <v/>
      </c>
      <c r="D112" s="2" t="n">
        <v>9</v>
      </c>
      <c r="E112" s="2" t="inlineStr">
        <is>
          <t>CHO</t>
        </is>
      </c>
      <c r="F112" s="2" t="n">
        <v>2.2305</v>
      </c>
      <c r="G112" s="2" t="n">
        <v>-0.001376</v>
      </c>
    </row>
    <row r="113">
      <c r="A113" s="1" t="inlineStr">
        <is>
          <t>A3</t>
        </is>
      </c>
      <c r="B113" s="1" t="n">
        <v>3</v>
      </c>
      <c r="C113" s="2">
        <f>_xlfn.XLOOKUP(B113,Results!$B$23:$B$119,Results!$D$23:$D$119)</f>
        <v/>
      </c>
      <c r="D113" s="1" t="n">
        <v>10</v>
      </c>
      <c r="E113" s="1" t="inlineStr">
        <is>
          <t>CHO</t>
        </is>
      </c>
      <c r="F113" s="1" t="n">
        <v>2.2351</v>
      </c>
      <c r="G113" s="1" t="n">
        <v>-0.0005240000000000001</v>
      </c>
    </row>
    <row r="114">
      <c r="A114" s="2" t="inlineStr">
        <is>
          <t>A3</t>
        </is>
      </c>
      <c r="B114" s="2" t="n">
        <v>3</v>
      </c>
      <c r="C114" s="2">
        <f>_xlfn.XLOOKUP(B114,Results!$B$23:$B$119,Results!$D$23:$D$119)</f>
        <v/>
      </c>
      <c r="D114" s="2" t="n">
        <v>11</v>
      </c>
      <c r="E114" s="2" t="inlineStr">
        <is>
          <t>CHO</t>
        </is>
      </c>
      <c r="F114" s="2" t="n">
        <v>2.2402</v>
      </c>
      <c r="G114" s="2" t="n">
        <v>0.000783</v>
      </c>
    </row>
    <row r="115">
      <c r="A115" s="1" t="inlineStr">
        <is>
          <t>A3</t>
        </is>
      </c>
      <c r="B115" s="1" t="n">
        <v>3</v>
      </c>
      <c r="C115" s="2">
        <f>_xlfn.XLOOKUP(B115,Results!$B$23:$B$119,Results!$D$23:$D$119)</f>
        <v/>
      </c>
      <c r="D115" s="1" t="n">
        <v>12</v>
      </c>
      <c r="E115" s="1" t="inlineStr">
        <is>
          <t>CHO</t>
        </is>
      </c>
      <c r="F115" s="1" t="n">
        <v>2.2441</v>
      </c>
      <c r="G115" s="1" t="n">
        <v>0.000962</v>
      </c>
    </row>
    <row r="116">
      <c r="A116" s="2" t="inlineStr">
        <is>
          <t>A3</t>
        </is>
      </c>
      <c r="B116" s="2" t="n">
        <v>3</v>
      </c>
      <c r="C116" s="2">
        <f>_xlfn.XLOOKUP(B116,Results!$B$23:$B$119,Results!$D$23:$D$119)</f>
        <v/>
      </c>
      <c r="D116" s="2" t="n">
        <v>13</v>
      </c>
      <c r="E116" s="2" t="inlineStr">
        <is>
          <t>CHO</t>
        </is>
      </c>
      <c r="F116" s="2" t="n">
        <v>2.2486</v>
      </c>
      <c r="G116" s="2" t="n">
        <v>0.001678</v>
      </c>
    </row>
    <row r="117">
      <c r="A117" s="1" t="inlineStr">
        <is>
          <t>A3</t>
        </is>
      </c>
      <c r="B117" s="1" t="n">
        <v>3</v>
      </c>
      <c r="C117" s="2">
        <f>_xlfn.XLOOKUP(B117,Results!$B$23:$B$119,Results!$D$23:$D$119)</f>
        <v/>
      </c>
      <c r="D117" s="1" t="n">
        <v>14</v>
      </c>
      <c r="E117" s="1" t="inlineStr">
        <is>
          <t>CHO</t>
        </is>
      </c>
      <c r="F117" s="1" t="n">
        <v>2.2525</v>
      </c>
      <c r="G117" s="1" t="n">
        <v>0.001744</v>
      </c>
    </row>
    <row r="118">
      <c r="A118" s="2" t="inlineStr">
        <is>
          <t>A3</t>
        </is>
      </c>
      <c r="B118" s="2" t="n">
        <v>3</v>
      </c>
      <c r="C118" s="2">
        <f>_xlfn.XLOOKUP(B118,Results!$B$23:$B$119,Results!$D$23:$D$119)</f>
        <v/>
      </c>
      <c r="D118" s="2" t="n">
        <v>15</v>
      </c>
      <c r="E118" s="2" t="inlineStr">
        <is>
          <t>CHO</t>
        </is>
      </c>
      <c r="F118" s="2" t="n">
        <v>2.2549</v>
      </c>
      <c r="G118" s="2" t="n">
        <v>0.000363</v>
      </c>
    </row>
    <row r="119">
      <c r="A119" s="1" t="inlineStr">
        <is>
          <t>A3</t>
        </is>
      </c>
      <c r="B119" s="1" t="n">
        <v>3</v>
      </c>
      <c r="C119" s="2">
        <f>_xlfn.XLOOKUP(B119,Results!$B$23:$B$119,Results!$D$23:$D$119)</f>
        <v/>
      </c>
      <c r="D119" s="1" t="n">
        <v>16</v>
      </c>
      <c r="E119" s="1" t="inlineStr">
        <is>
          <t>CHO</t>
        </is>
      </c>
      <c r="F119" s="1" t="n">
        <v>2.2604</v>
      </c>
      <c r="G119" s="1" t="n">
        <v>0.002108</v>
      </c>
    </row>
    <row r="120">
      <c r="A120" s="2" t="inlineStr">
        <is>
          <t>A3</t>
        </is>
      </c>
      <c r="B120" s="2" t="n">
        <v>3</v>
      </c>
      <c r="C120" s="2">
        <f>_xlfn.XLOOKUP(B120,Results!$B$23:$B$119,Results!$D$23:$D$119)</f>
        <v/>
      </c>
      <c r="D120" s="2" t="n">
        <v>17</v>
      </c>
      <c r="E120" s="2" t="inlineStr">
        <is>
          <t>CHO</t>
        </is>
      </c>
      <c r="F120" s="2" t="n">
        <v>2.2639</v>
      </c>
      <c r="G120" s="2" t="n">
        <v>0.001823</v>
      </c>
    </row>
    <row r="121">
      <c r="A121" s="1" t="inlineStr">
        <is>
          <t>A3</t>
        </is>
      </c>
      <c r="B121" s="1" t="n">
        <v>3</v>
      </c>
      <c r="C121" s="2">
        <f>_xlfn.XLOOKUP(B121,Results!$B$23:$B$119,Results!$D$23:$D$119)</f>
        <v/>
      </c>
      <c r="D121" s="1" t="n">
        <v>18</v>
      </c>
      <c r="E121" s="1" t="inlineStr">
        <is>
          <t>CHO</t>
        </is>
      </c>
      <c r="F121" s="1" t="n">
        <v>2.2676</v>
      </c>
      <c r="G121" s="1" t="n">
        <v>0.001746</v>
      </c>
    </row>
    <row r="122">
      <c r="A122" s="2" t="inlineStr">
        <is>
          <t>A3</t>
        </is>
      </c>
      <c r="B122" s="2" t="n">
        <v>3</v>
      </c>
      <c r="C122" s="2">
        <f>_xlfn.XLOOKUP(B122,Results!$B$23:$B$119,Results!$D$23:$D$119)</f>
        <v/>
      </c>
      <c r="D122" s="2" t="n">
        <v>19</v>
      </c>
      <c r="E122" s="2" t="inlineStr">
        <is>
          <t>CHO</t>
        </is>
      </c>
      <c r="F122" s="2" t="n">
        <v>2.2706</v>
      </c>
      <c r="G122" s="2" t="n">
        <v>0.00102</v>
      </c>
    </row>
    <row r="123">
      <c r="A123" s="1" t="inlineStr">
        <is>
          <t>A3</t>
        </is>
      </c>
      <c r="B123" s="1" t="n">
        <v>3</v>
      </c>
      <c r="C123" s="2">
        <f>_xlfn.XLOOKUP(B123,Results!$B$23:$B$119,Results!$D$23:$D$119)</f>
        <v/>
      </c>
      <c r="D123" s="1" t="n">
        <v>20</v>
      </c>
      <c r="E123" s="1" t="inlineStr">
        <is>
          <t>CHO</t>
        </is>
      </c>
      <c r="F123" s="1" t="n">
        <v>2.2725</v>
      </c>
      <c r="G123" s="1" t="n">
        <v>-0.0009300000000000001</v>
      </c>
    </row>
    <row r="124">
      <c r="A124" s="2" t="inlineStr">
        <is>
          <t>A3</t>
        </is>
      </c>
      <c r="B124" s="2" t="n">
        <v>3</v>
      </c>
      <c r="C124" s="2">
        <f>_xlfn.XLOOKUP(B124,Results!$B$23:$B$119,Results!$D$23:$D$119)</f>
        <v/>
      </c>
      <c r="D124" s="2" t="n">
        <v>21</v>
      </c>
      <c r="E124" s="2" t="inlineStr">
        <is>
          <t>CHO</t>
        </is>
      </c>
      <c r="F124" s="2" t="n">
        <v>2.2771</v>
      </c>
      <c r="G124" s="2" t="n">
        <v>-3.1e-05</v>
      </c>
    </row>
    <row r="125">
      <c r="A125" s="1" t="inlineStr">
        <is>
          <t>A3</t>
        </is>
      </c>
      <c r="B125" s="1" t="n">
        <v>3</v>
      </c>
      <c r="C125" s="2">
        <f>_xlfn.XLOOKUP(B125,Results!$B$23:$B$119,Results!$D$23:$D$119)</f>
        <v/>
      </c>
      <c r="D125" s="1" t="n">
        <v>22</v>
      </c>
      <c r="E125" s="1" t="inlineStr">
        <is>
          <t>CHO</t>
        </is>
      </c>
      <c r="F125" s="1" t="n">
        <v>2.2842</v>
      </c>
      <c r="G125" s="1" t="n">
        <v>0.00324</v>
      </c>
    </row>
    <row r="126">
      <c r="A126" s="2" t="inlineStr">
        <is>
          <t>A3</t>
        </is>
      </c>
      <c r="B126" s="2" t="n">
        <v>3</v>
      </c>
      <c r="C126" s="2">
        <f>_xlfn.XLOOKUP(B126,Results!$B$23:$B$119,Results!$D$23:$D$119)</f>
        <v/>
      </c>
      <c r="D126" s="2" t="n">
        <v>23</v>
      </c>
      <c r="E126" s="2" t="inlineStr">
        <is>
          <t>CHO</t>
        </is>
      </c>
      <c r="F126" s="2" t="n">
        <v>2.2863</v>
      </c>
      <c r="G126" s="2" t="n">
        <v>0.001529</v>
      </c>
    </row>
    <row r="127">
      <c r="A127" s="1" t="inlineStr">
        <is>
          <t>A3</t>
        </is>
      </c>
      <c r="B127" s="1" t="n">
        <v>3</v>
      </c>
      <c r="C127" s="2">
        <f>_xlfn.XLOOKUP(B127,Results!$B$23:$B$119,Results!$D$23:$D$119)</f>
        <v/>
      </c>
      <c r="D127" s="1" t="n">
        <v>24</v>
      </c>
      <c r="E127" s="1" t="inlineStr">
        <is>
          <t>CHO</t>
        </is>
      </c>
      <c r="F127" s="1" t="n">
        <v>2.2928</v>
      </c>
      <c r="G127" s="1" t="n">
        <v>0.004333</v>
      </c>
    </row>
    <row r="128">
      <c r="A128" s="2" t="inlineStr">
        <is>
          <t>A3</t>
        </is>
      </c>
      <c r="B128" s="2" t="n">
        <v>3</v>
      </c>
      <c r="C128" s="2">
        <f>_xlfn.XLOOKUP(B128,Results!$B$23:$B$119,Results!$D$23:$D$119)</f>
        <v/>
      </c>
      <c r="D128" s="2" t="n">
        <v>25</v>
      </c>
      <c r="E128" s="2" t="inlineStr">
        <is>
          <t>CHO</t>
        </is>
      </c>
      <c r="F128" s="2" t="n">
        <v>2.2953</v>
      </c>
      <c r="G128" s="2" t="n">
        <v>0.003052</v>
      </c>
    </row>
    <row r="129">
      <c r="A129" s="1" t="inlineStr">
        <is>
          <t>A3</t>
        </is>
      </c>
      <c r="B129" s="1" t="n">
        <v>3</v>
      </c>
      <c r="C129" s="2">
        <f>_xlfn.XLOOKUP(B129,Results!$B$23:$B$119,Results!$D$23:$D$119)</f>
        <v/>
      </c>
      <c r="D129" s="1" t="n">
        <v>26</v>
      </c>
      <c r="E129" s="1" t="inlineStr">
        <is>
          <t>CHO</t>
        </is>
      </c>
      <c r="F129" s="1" t="n">
        <v>2.2995</v>
      </c>
      <c r="G129" s="1" t="n">
        <v>0.003459</v>
      </c>
    </row>
    <row r="130">
      <c r="A130" s="2" t="inlineStr">
        <is>
          <t>A3</t>
        </is>
      </c>
      <c r="B130" s="2" t="n">
        <v>3</v>
      </c>
      <c r="C130" s="2">
        <f>_xlfn.XLOOKUP(B130,Results!$B$23:$B$119,Results!$D$23:$D$119)</f>
        <v/>
      </c>
      <c r="D130" s="2" t="n">
        <v>27</v>
      </c>
      <c r="E130" s="2" t="inlineStr">
        <is>
          <t>CHO</t>
        </is>
      </c>
      <c r="F130" s="2" t="n">
        <v>2.3013</v>
      </c>
      <c r="G130" s="2" t="n">
        <v>0.001479</v>
      </c>
    </row>
    <row r="131">
      <c r="A131" s="1" t="inlineStr">
        <is>
          <t>A3</t>
        </is>
      </c>
      <c r="B131" s="1" t="n">
        <v>3</v>
      </c>
      <c r="C131" s="2">
        <f>_xlfn.XLOOKUP(B131,Results!$B$23:$B$119,Results!$D$23:$D$119)</f>
        <v/>
      </c>
      <c r="D131" s="1" t="n">
        <v>28</v>
      </c>
      <c r="E131" s="1" t="inlineStr">
        <is>
          <t>CHO</t>
        </is>
      </c>
      <c r="F131" s="1" t="n">
        <v>2.3035</v>
      </c>
      <c r="G131" s="1" t="n">
        <v>-9.000000000000001e-05</v>
      </c>
    </row>
    <row r="132">
      <c r="A132" s="2" t="inlineStr">
        <is>
          <t>A3</t>
        </is>
      </c>
      <c r="B132" s="2" t="n">
        <v>3</v>
      </c>
      <c r="C132" s="2">
        <f>_xlfn.XLOOKUP(B132,Results!$B$23:$B$119,Results!$D$23:$D$119)</f>
        <v/>
      </c>
      <c r="D132" s="2" t="n">
        <v>29</v>
      </c>
      <c r="E132" s="2" t="inlineStr">
        <is>
          <t>CHO</t>
        </is>
      </c>
      <c r="F132" s="2" t="n">
        <v>2.305</v>
      </c>
      <c r="G132" s="2" t="n">
        <v>-0.002345</v>
      </c>
    </row>
    <row r="133">
      <c r="A133" s="1" t="inlineStr">
        <is>
          <t>A3</t>
        </is>
      </c>
      <c r="B133" s="1" t="n">
        <v>3</v>
      </c>
      <c r="C133" s="2">
        <f>_xlfn.XLOOKUP(B133,Results!$B$23:$B$119,Results!$D$23:$D$119)</f>
        <v/>
      </c>
      <c r="D133" s="1" t="n">
        <v>30</v>
      </c>
      <c r="E133" s="1" t="inlineStr">
        <is>
          <t>CHO</t>
        </is>
      </c>
      <c r="F133" s="1" t="n">
        <v>2.3078</v>
      </c>
      <c r="G133" s="1" t="n">
        <v>-0.003342</v>
      </c>
    </row>
    <row r="134">
      <c r="A134" s="2" t="inlineStr">
        <is>
          <t>A3</t>
        </is>
      </c>
      <c r="B134" s="2" t="n">
        <v>3</v>
      </c>
      <c r="C134" s="2">
        <f>_xlfn.XLOOKUP(B134,Results!$B$23:$B$119,Results!$D$23:$D$119)</f>
        <v/>
      </c>
      <c r="D134" s="2" t="n">
        <v>31</v>
      </c>
      <c r="E134" s="2" t="inlineStr">
        <is>
          <t>CHO</t>
        </is>
      </c>
      <c r="F134" s="2" t="n">
        <v>2.3136</v>
      </c>
      <c r="G134" s="2" t="n">
        <v>-0.001378</v>
      </c>
    </row>
    <row r="135">
      <c r="A135" s="1" t="inlineStr">
        <is>
          <t>A3</t>
        </is>
      </c>
      <c r="B135" s="1" t="n">
        <v>3</v>
      </c>
      <c r="C135" s="2">
        <f>_xlfn.XLOOKUP(B135,Results!$B$23:$B$119,Results!$D$23:$D$119)</f>
        <v/>
      </c>
      <c r="D135" s="1" t="n">
        <v>32</v>
      </c>
      <c r="E135" s="1" t="inlineStr">
        <is>
          <t>CHO</t>
        </is>
      </c>
      <c r="F135" s="1" t="n">
        <v>2.3156</v>
      </c>
      <c r="G135" s="1" t="n">
        <v>-0.003111</v>
      </c>
    </row>
    <row r="136">
      <c r="A136" s="2" t="inlineStr">
        <is>
          <t>A3</t>
        </is>
      </c>
      <c r="B136" s="2" t="n">
        <v>3</v>
      </c>
      <c r="C136" s="2">
        <f>_xlfn.XLOOKUP(B136,Results!$B$23:$B$119,Results!$D$23:$D$119)</f>
        <v/>
      </c>
      <c r="D136" s="2" t="n">
        <v>33</v>
      </c>
      <c r="E136" s="2" t="inlineStr">
        <is>
          <t>CHO</t>
        </is>
      </c>
      <c r="F136" s="2" t="n">
        <v>2.3208</v>
      </c>
      <c r="G136" s="2" t="n">
        <v>-0.001728</v>
      </c>
    </row>
    <row r="137">
      <c r="A137" s="1" t="inlineStr">
        <is>
          <t>A3</t>
        </is>
      </c>
      <c r="B137" s="1" t="n">
        <v>3</v>
      </c>
      <c r="C137" s="2">
        <f>_xlfn.XLOOKUP(B137,Results!$B$23:$B$119,Results!$D$23:$D$119)</f>
        <v/>
      </c>
      <c r="D137" s="1" t="n">
        <v>34</v>
      </c>
      <c r="E137" s="1" t="inlineStr">
        <is>
          <t>CHO</t>
        </is>
      </c>
      <c r="F137" s="1" t="n">
        <v>2.3238</v>
      </c>
      <c r="G137" s="1" t="n">
        <v>-0.002459</v>
      </c>
    </row>
    <row r="138">
      <c r="A138" s="2" t="inlineStr">
        <is>
          <t>A3</t>
        </is>
      </c>
      <c r="B138" s="2" t="n">
        <v>3</v>
      </c>
      <c r="C138" s="2">
        <f>_xlfn.XLOOKUP(B138,Results!$B$23:$B$119,Results!$D$23:$D$119)</f>
        <v/>
      </c>
      <c r="D138" s="2" t="n">
        <v>35</v>
      </c>
      <c r="E138" s="2" t="inlineStr">
        <is>
          <t>CHO</t>
        </is>
      </c>
      <c r="F138" s="2" t="n">
        <v>2.3287</v>
      </c>
      <c r="G138" s="2" t="n">
        <v>-0.001384</v>
      </c>
    </row>
    <row r="139">
      <c r="A139" s="1" t="inlineStr">
        <is>
          <t>A3</t>
        </is>
      </c>
      <c r="B139" s="1" t="n">
        <v>3</v>
      </c>
      <c r="C139" s="2">
        <f>_xlfn.XLOOKUP(B139,Results!$B$23:$B$119,Results!$D$23:$D$119)</f>
        <v/>
      </c>
      <c r="D139" s="1" t="n">
        <v>36</v>
      </c>
      <c r="E139" s="1" t="inlineStr">
        <is>
          <t>CHO</t>
        </is>
      </c>
      <c r="F139" s="1" t="n">
        <v>2.3326</v>
      </c>
      <c r="G139" s="1" t="n">
        <v>-0.001206</v>
      </c>
    </row>
    <row r="140">
      <c r="A140" s="2" t="inlineStr">
        <is>
          <t>A3</t>
        </is>
      </c>
      <c r="B140" s="2" t="n">
        <v>3</v>
      </c>
      <c r="C140" s="2">
        <f>_xlfn.XLOOKUP(B140,Results!$B$23:$B$119,Results!$D$23:$D$119)</f>
        <v/>
      </c>
      <c r="D140" s="2" t="n">
        <v>37</v>
      </c>
      <c r="E140" s="2" t="inlineStr">
        <is>
          <t>CHO</t>
        </is>
      </c>
      <c r="F140" s="2" t="n">
        <v>2.3382</v>
      </c>
      <c r="G140" s="2" t="n">
        <v>0.000644</v>
      </c>
    </row>
    <row r="141">
      <c r="A141" s="1" t="inlineStr">
        <is>
          <t>A3</t>
        </is>
      </c>
      <c r="B141" s="1" t="n">
        <v>3</v>
      </c>
      <c r="C141" s="2">
        <f>_xlfn.XLOOKUP(B141,Results!$B$23:$B$119,Results!$D$23:$D$119)</f>
        <v/>
      </c>
      <c r="D141" s="1" t="n">
        <v>38</v>
      </c>
      <c r="E141" s="1" t="inlineStr">
        <is>
          <t>CHO</t>
        </is>
      </c>
      <c r="F141" s="1" t="n">
        <v>2.3421</v>
      </c>
      <c r="G141" s="1" t="n">
        <v>0.000711</v>
      </c>
    </row>
    <row r="142">
      <c r="A142" s="2" t="inlineStr">
        <is>
          <t>A3</t>
        </is>
      </c>
      <c r="B142" s="2" t="n">
        <v>3</v>
      </c>
      <c r="C142" s="2">
        <f>_xlfn.XLOOKUP(B142,Results!$B$23:$B$119,Results!$D$23:$D$119)</f>
        <v/>
      </c>
      <c r="D142" s="2" t="n">
        <v>39</v>
      </c>
      <c r="E142" s="2" t="inlineStr">
        <is>
          <t>CHO</t>
        </is>
      </c>
      <c r="F142" s="2" t="n">
        <v>2.3444</v>
      </c>
      <c r="G142" s="2" t="n">
        <v>-0.000773</v>
      </c>
    </row>
    <row r="143">
      <c r="A143" s="1" t="inlineStr">
        <is>
          <t>A3</t>
        </is>
      </c>
      <c r="B143" s="1" t="n">
        <v>3</v>
      </c>
      <c r="C143" s="2">
        <f>_xlfn.XLOOKUP(B143,Results!$B$23:$B$119,Results!$D$23:$D$119)</f>
        <v/>
      </c>
      <c r="D143" s="1" t="n">
        <v>40</v>
      </c>
      <c r="E143" s="1" t="inlineStr">
        <is>
          <t>CHO</t>
        </is>
      </c>
      <c r="F143" s="1" t="n">
        <v>2.3478</v>
      </c>
      <c r="G143" s="1" t="n">
        <v>-0.001117</v>
      </c>
    </row>
    <row r="144">
      <c r="A144" s="2" t="inlineStr">
        <is>
          <t>A4</t>
        </is>
      </c>
      <c r="B144" s="2" t="n">
        <v>4</v>
      </c>
      <c r="C144" s="2">
        <f>_xlfn.XLOOKUP(B144,Results!$B$23:$B$119,Results!$D$23:$D$119)</f>
        <v/>
      </c>
      <c r="D144" s="2" t="n">
        <v>1</v>
      </c>
      <c r="E144" s="2" t="inlineStr">
        <is>
          <t>CHO</t>
        </is>
      </c>
      <c r="F144" s="2" t="n">
        <v>2.4512</v>
      </c>
      <c r="G144" s="2" t="n">
        <v>0.006976</v>
      </c>
    </row>
    <row r="145">
      <c r="A145" s="1" t="inlineStr">
        <is>
          <t>A4</t>
        </is>
      </c>
      <c r="B145" s="1" t="n">
        <v>4</v>
      </c>
      <c r="C145" s="2">
        <f>_xlfn.XLOOKUP(B145,Results!$B$23:$B$119,Results!$D$23:$D$119)</f>
        <v/>
      </c>
      <c r="D145" s="1" t="n">
        <v>2</v>
      </c>
      <c r="E145" s="1" t="inlineStr">
        <is>
          <t>CHO</t>
        </is>
      </c>
      <c r="F145" s="1" t="n">
        <v>2.4558</v>
      </c>
      <c r="G145" s="1" t="n">
        <v>0.003195</v>
      </c>
    </row>
    <row r="146">
      <c r="A146" s="2" t="inlineStr">
        <is>
          <t>A4</t>
        </is>
      </c>
      <c r="B146" s="2" t="n">
        <v>4</v>
      </c>
      <c r="C146" s="2">
        <f>_xlfn.XLOOKUP(B146,Results!$B$23:$B$119,Results!$D$23:$D$119)</f>
        <v/>
      </c>
      <c r="D146" s="2" t="n">
        <v>3</v>
      </c>
      <c r="E146" s="2" t="inlineStr">
        <is>
          <t>CHO</t>
        </is>
      </c>
      <c r="F146" s="2" t="n">
        <v>2.4619</v>
      </c>
      <c r="G146" s="2" t="n">
        <v>0.000849</v>
      </c>
    </row>
    <row r="147">
      <c r="A147" s="1" t="inlineStr">
        <is>
          <t>A4</t>
        </is>
      </c>
      <c r="B147" s="1" t="n">
        <v>4</v>
      </c>
      <c r="C147" s="2">
        <f>_xlfn.XLOOKUP(B147,Results!$B$23:$B$119,Results!$D$23:$D$119)</f>
        <v/>
      </c>
      <c r="D147" s="1" t="n">
        <v>4</v>
      </c>
      <c r="E147" s="1" t="inlineStr">
        <is>
          <t>CHO</t>
        </is>
      </c>
      <c r="F147" s="1" t="n">
        <v>2.4703</v>
      </c>
      <c r="G147" s="1" t="n">
        <v>0.000854</v>
      </c>
    </row>
    <row r="148">
      <c r="A148" s="2" t="inlineStr">
        <is>
          <t>A4</t>
        </is>
      </c>
      <c r="B148" s="2" t="n">
        <v>4</v>
      </c>
      <c r="C148" s="2">
        <f>_xlfn.XLOOKUP(B148,Results!$B$23:$B$119,Results!$D$23:$D$119)</f>
        <v/>
      </c>
      <c r="D148" s="2" t="n">
        <v>5</v>
      </c>
      <c r="E148" s="2" t="inlineStr">
        <is>
          <t>CHO</t>
        </is>
      </c>
      <c r="F148" s="2" t="n">
        <v>2.4824</v>
      </c>
      <c r="G148" s="2" t="n">
        <v>0.004488</v>
      </c>
    </row>
    <row r="149">
      <c r="A149" s="1" t="inlineStr">
        <is>
          <t>A4</t>
        </is>
      </c>
      <c r="B149" s="1" t="n">
        <v>4</v>
      </c>
      <c r="C149" s="2">
        <f>_xlfn.XLOOKUP(B149,Results!$B$23:$B$119,Results!$D$23:$D$119)</f>
        <v/>
      </c>
      <c r="D149" s="1" t="n">
        <v>6</v>
      </c>
      <c r="E149" s="1" t="inlineStr">
        <is>
          <t>CHO</t>
        </is>
      </c>
      <c r="F149" s="1" t="n">
        <v>2.4901</v>
      </c>
      <c r="G149" s="1" t="n">
        <v>0.003734</v>
      </c>
    </row>
    <row r="150">
      <c r="A150" s="2" t="inlineStr">
        <is>
          <t>A4</t>
        </is>
      </c>
      <c r="B150" s="2" t="n">
        <v>4</v>
      </c>
      <c r="C150" s="2">
        <f>_xlfn.XLOOKUP(B150,Results!$B$23:$B$119,Results!$D$23:$D$119)</f>
        <v/>
      </c>
      <c r="D150" s="2" t="n">
        <v>7</v>
      </c>
      <c r="E150" s="2" t="inlineStr">
        <is>
          <t>CHO</t>
        </is>
      </c>
      <c r="F150" s="2" t="n">
        <v>2.4978</v>
      </c>
      <c r="G150" s="2" t="n">
        <v>0.002965</v>
      </c>
    </row>
    <row r="151">
      <c r="A151" s="1" t="inlineStr">
        <is>
          <t>A4</t>
        </is>
      </c>
      <c r="B151" s="1" t="n">
        <v>4</v>
      </c>
      <c r="C151" s="2">
        <f>_xlfn.XLOOKUP(B151,Results!$B$23:$B$119,Results!$D$23:$D$119)</f>
        <v/>
      </c>
      <c r="D151" s="1" t="n">
        <v>8</v>
      </c>
      <c r="E151" s="1" t="inlineStr">
        <is>
          <t>CHO</t>
        </is>
      </c>
      <c r="F151" s="1" t="n">
        <v>2.5021</v>
      </c>
      <c r="G151" s="1" t="n">
        <v>-0.001093</v>
      </c>
    </row>
    <row r="152">
      <c r="A152" s="2" t="inlineStr">
        <is>
          <t>A4</t>
        </is>
      </c>
      <c r="B152" s="2" t="n">
        <v>4</v>
      </c>
      <c r="C152" s="2">
        <f>_xlfn.XLOOKUP(B152,Results!$B$23:$B$119,Results!$D$23:$D$119)</f>
        <v/>
      </c>
      <c r="D152" s="2" t="n">
        <v>9</v>
      </c>
      <c r="E152" s="2" t="inlineStr">
        <is>
          <t>CHO</t>
        </is>
      </c>
      <c r="F152" s="2" t="n">
        <v>2.5097</v>
      </c>
      <c r="G152" s="2" t="n">
        <v>-0.001986</v>
      </c>
    </row>
    <row r="153">
      <c r="A153" s="1" t="inlineStr">
        <is>
          <t>A4</t>
        </is>
      </c>
      <c r="B153" s="1" t="n">
        <v>4</v>
      </c>
      <c r="C153" s="2">
        <f>_xlfn.XLOOKUP(B153,Results!$B$23:$B$119,Results!$D$23:$D$119)</f>
        <v/>
      </c>
      <c r="D153" s="1" t="n">
        <v>10</v>
      </c>
      <c r="E153" s="1" t="inlineStr">
        <is>
          <t>CHO</t>
        </is>
      </c>
      <c r="F153" s="1" t="n">
        <v>2.5187</v>
      </c>
      <c r="G153" s="1" t="n">
        <v>-0.001438</v>
      </c>
    </row>
    <row r="154">
      <c r="A154" s="2" t="inlineStr">
        <is>
          <t>A4</t>
        </is>
      </c>
      <c r="B154" s="2" t="n">
        <v>4</v>
      </c>
      <c r="C154" s="2">
        <f>_xlfn.XLOOKUP(B154,Results!$B$23:$B$119,Results!$D$23:$D$119)</f>
        <v/>
      </c>
      <c r="D154" s="2" t="n">
        <v>11</v>
      </c>
      <c r="E154" s="2" t="inlineStr">
        <is>
          <t>CHO</t>
        </is>
      </c>
      <c r="F154" s="2" t="n">
        <v>2.5264</v>
      </c>
      <c r="G154" s="2" t="n">
        <v>-0.002149</v>
      </c>
    </row>
    <row r="155">
      <c r="A155" s="1" t="inlineStr">
        <is>
          <t>A4</t>
        </is>
      </c>
      <c r="B155" s="1" t="n">
        <v>4</v>
      </c>
      <c r="C155" s="2">
        <f>_xlfn.XLOOKUP(B155,Results!$B$23:$B$119,Results!$D$23:$D$119)</f>
        <v/>
      </c>
      <c r="D155" s="1" t="n">
        <v>12</v>
      </c>
      <c r="E155" s="1" t="inlineStr">
        <is>
          <t>CHO</t>
        </is>
      </c>
      <c r="F155" s="1" t="n">
        <v>2.5371</v>
      </c>
      <c r="G155" s="1" t="n">
        <v>8.1e-05</v>
      </c>
    </row>
    <row r="156">
      <c r="A156" s="2" t="inlineStr">
        <is>
          <t>A4</t>
        </is>
      </c>
      <c r="B156" s="2" t="n">
        <v>4</v>
      </c>
      <c r="C156" s="2">
        <f>_xlfn.XLOOKUP(B156,Results!$B$23:$B$119,Results!$D$23:$D$119)</f>
        <v/>
      </c>
      <c r="D156" s="2" t="n">
        <v>13</v>
      </c>
      <c r="E156" s="2" t="inlineStr">
        <is>
          <t>CHO</t>
        </is>
      </c>
      <c r="F156" s="2" t="n">
        <v>2.5446</v>
      </c>
      <c r="G156" s="2" t="n">
        <v>-0.000819</v>
      </c>
    </row>
    <row r="157">
      <c r="A157" s="1" t="inlineStr">
        <is>
          <t>A4</t>
        </is>
      </c>
      <c r="B157" s="1" t="n">
        <v>4</v>
      </c>
      <c r="C157" s="2">
        <f>_xlfn.XLOOKUP(B157,Results!$B$23:$B$119,Results!$D$23:$D$119)</f>
        <v/>
      </c>
      <c r="D157" s="1" t="n">
        <v>14</v>
      </c>
      <c r="E157" s="1" t="inlineStr">
        <is>
          <t>CHO</t>
        </is>
      </c>
      <c r="F157" s="1" t="n">
        <v>2.5521</v>
      </c>
      <c r="G157" s="1" t="n">
        <v>-0.00178</v>
      </c>
    </row>
    <row r="158">
      <c r="A158" s="2" t="inlineStr">
        <is>
          <t>A4</t>
        </is>
      </c>
      <c r="B158" s="2" t="n">
        <v>4</v>
      </c>
      <c r="C158" s="2">
        <f>_xlfn.XLOOKUP(B158,Results!$B$23:$B$119,Results!$D$23:$D$119)</f>
        <v/>
      </c>
      <c r="D158" s="2" t="n">
        <v>15</v>
      </c>
      <c r="E158" s="2" t="inlineStr">
        <is>
          <t>CHO</t>
        </is>
      </c>
      <c r="F158" s="2" t="n">
        <v>2.5562</v>
      </c>
      <c r="G158" s="2" t="n">
        <v>-0.006126</v>
      </c>
    </row>
    <row r="159">
      <c r="A159" s="1" t="inlineStr">
        <is>
          <t>A4</t>
        </is>
      </c>
      <c r="B159" s="1" t="n">
        <v>4</v>
      </c>
      <c r="C159" s="2">
        <f>_xlfn.XLOOKUP(B159,Results!$B$23:$B$119,Results!$D$23:$D$119)</f>
        <v/>
      </c>
      <c r="D159" s="1" t="n">
        <v>16</v>
      </c>
      <c r="E159" s="1" t="inlineStr">
        <is>
          <t>CHO</t>
        </is>
      </c>
      <c r="F159" s="1" t="n">
        <v>2.5661</v>
      </c>
      <c r="G159" s="1" t="n">
        <v>-0.004602</v>
      </c>
    </row>
    <row r="160">
      <c r="A160" s="2" t="inlineStr">
        <is>
          <t>A4</t>
        </is>
      </c>
      <c r="B160" s="2" t="n">
        <v>4</v>
      </c>
      <c r="C160" s="2">
        <f>_xlfn.XLOOKUP(B160,Results!$B$23:$B$119,Results!$D$23:$D$119)</f>
        <v/>
      </c>
      <c r="D160" s="2" t="n">
        <v>17</v>
      </c>
      <c r="E160" s="2" t="inlineStr">
        <is>
          <t>CHO</t>
        </is>
      </c>
      <c r="F160" s="2" t="n">
        <v>2.5801</v>
      </c>
      <c r="G160" s="2" t="n">
        <v>0.000901</v>
      </c>
    </row>
    <row r="161">
      <c r="A161" s="1" t="inlineStr">
        <is>
          <t>A4</t>
        </is>
      </c>
      <c r="B161" s="1" t="n">
        <v>4</v>
      </c>
      <c r="C161" s="2">
        <f>_xlfn.XLOOKUP(B161,Results!$B$23:$B$119,Results!$D$23:$D$119)</f>
        <v/>
      </c>
      <c r="D161" s="1" t="n">
        <v>18</v>
      </c>
      <c r="E161" s="1" t="inlineStr">
        <is>
          <t>CHO</t>
        </is>
      </c>
      <c r="F161" s="1" t="n">
        <v>2.5866</v>
      </c>
      <c r="G161" s="1" t="n">
        <v>-0.001018</v>
      </c>
    </row>
    <row r="162">
      <c r="A162" s="2" t="inlineStr">
        <is>
          <t>A4</t>
        </is>
      </c>
      <c r="B162" s="2" t="n">
        <v>4</v>
      </c>
      <c r="C162" s="2">
        <f>_xlfn.XLOOKUP(B162,Results!$B$23:$B$119,Results!$D$23:$D$119)</f>
        <v/>
      </c>
      <c r="D162" s="2" t="n">
        <v>19</v>
      </c>
      <c r="E162" s="2" t="inlineStr">
        <is>
          <t>CHO</t>
        </is>
      </c>
      <c r="F162" s="2" t="n">
        <v>2.5964</v>
      </c>
      <c r="G162" s="2" t="n">
        <v>0.000396</v>
      </c>
    </row>
    <row r="163">
      <c r="A163" s="1" t="inlineStr">
        <is>
          <t>A4</t>
        </is>
      </c>
      <c r="B163" s="1" t="n">
        <v>4</v>
      </c>
      <c r="C163" s="2">
        <f>_xlfn.XLOOKUP(B163,Results!$B$23:$B$119,Results!$D$23:$D$119)</f>
        <v/>
      </c>
      <c r="D163" s="1" t="n">
        <v>20</v>
      </c>
      <c r="E163" s="1" t="inlineStr">
        <is>
          <t>CHO</t>
        </is>
      </c>
      <c r="F163" s="1" t="n">
        <v>2.6044</v>
      </c>
      <c r="G163" s="1" t="n">
        <v>-2.4e-05</v>
      </c>
    </row>
    <row r="164">
      <c r="A164" s="2" t="inlineStr">
        <is>
          <t>A4</t>
        </is>
      </c>
      <c r="B164" s="2" t="n">
        <v>4</v>
      </c>
      <c r="C164" s="2">
        <f>_xlfn.XLOOKUP(B164,Results!$B$23:$B$119,Results!$D$23:$D$119)</f>
        <v/>
      </c>
      <c r="D164" s="2" t="n">
        <v>21</v>
      </c>
      <c r="E164" s="2" t="inlineStr">
        <is>
          <t>CHO</t>
        </is>
      </c>
      <c r="F164" s="2" t="n">
        <v>2.6093</v>
      </c>
      <c r="G164" s="2" t="n">
        <v>-0.00358</v>
      </c>
    </row>
    <row r="165">
      <c r="A165" s="1" t="inlineStr">
        <is>
          <t>A4</t>
        </is>
      </c>
      <c r="B165" s="1" t="n">
        <v>4</v>
      </c>
      <c r="C165" s="2">
        <f>_xlfn.XLOOKUP(B165,Results!$B$23:$B$119,Results!$D$23:$D$119)</f>
        <v/>
      </c>
      <c r="D165" s="1" t="n">
        <v>22</v>
      </c>
      <c r="E165" s="1" t="inlineStr">
        <is>
          <t>CHO</t>
        </is>
      </c>
      <c r="F165" s="1" t="n">
        <v>2.6233</v>
      </c>
      <c r="G165" s="1" t="n">
        <v>0.001928</v>
      </c>
    </row>
    <row r="166">
      <c r="A166" s="2" t="inlineStr">
        <is>
          <t>A4</t>
        </is>
      </c>
      <c r="B166" s="2" t="n">
        <v>4</v>
      </c>
      <c r="C166" s="2">
        <f>_xlfn.XLOOKUP(B166,Results!$B$23:$B$119,Results!$D$23:$D$119)</f>
        <v/>
      </c>
      <c r="D166" s="2" t="n">
        <v>23</v>
      </c>
      <c r="E166" s="2" t="inlineStr">
        <is>
          <t>CHO</t>
        </is>
      </c>
      <c r="F166" s="2" t="n">
        <v>2.6298</v>
      </c>
      <c r="G166" s="2" t="n">
        <v>4e-05</v>
      </c>
    </row>
    <row r="167">
      <c r="A167" s="1" t="inlineStr">
        <is>
          <t>A4</t>
        </is>
      </c>
      <c r="B167" s="1" t="n">
        <v>4</v>
      </c>
      <c r="C167" s="2">
        <f>_xlfn.XLOOKUP(B167,Results!$B$23:$B$119,Results!$D$23:$D$119)</f>
        <v/>
      </c>
      <c r="D167" s="1" t="n">
        <v>24</v>
      </c>
      <c r="E167" s="1" t="inlineStr">
        <is>
          <t>CHO</t>
        </is>
      </c>
      <c r="F167" s="1" t="n">
        <v>2.64</v>
      </c>
      <c r="G167" s="1" t="n">
        <v>0.001755</v>
      </c>
    </row>
    <row r="168">
      <c r="A168" s="2" t="inlineStr">
        <is>
          <t>A4</t>
        </is>
      </c>
      <c r="B168" s="2" t="n">
        <v>4</v>
      </c>
      <c r="C168" s="2">
        <f>_xlfn.XLOOKUP(B168,Results!$B$23:$B$119,Results!$D$23:$D$119)</f>
        <v/>
      </c>
      <c r="D168" s="2" t="n">
        <v>25</v>
      </c>
      <c r="E168" s="2" t="inlineStr">
        <is>
          <t>CHO</t>
        </is>
      </c>
      <c r="F168" s="2" t="n">
        <v>2.645</v>
      </c>
      <c r="G168" s="2" t="n">
        <v>-0.001635</v>
      </c>
    </row>
    <row r="169">
      <c r="A169" s="1" t="inlineStr">
        <is>
          <t>A4</t>
        </is>
      </c>
      <c r="B169" s="1" t="n">
        <v>4</v>
      </c>
      <c r="C169" s="2">
        <f>_xlfn.XLOOKUP(B169,Results!$B$23:$B$119,Results!$D$23:$D$119)</f>
        <v/>
      </c>
      <c r="D169" s="1" t="n">
        <v>26</v>
      </c>
      <c r="E169" s="1" t="inlineStr">
        <is>
          <t>CHO</t>
        </is>
      </c>
      <c r="F169" s="1" t="n">
        <v>2.6584</v>
      </c>
      <c r="G169" s="1" t="n">
        <v>0.003265</v>
      </c>
    </row>
    <row r="170">
      <c r="A170" s="2" t="inlineStr">
        <is>
          <t>A4</t>
        </is>
      </c>
      <c r="B170" s="2" t="n">
        <v>4</v>
      </c>
      <c r="C170" s="2">
        <f>_xlfn.XLOOKUP(B170,Results!$B$23:$B$119,Results!$D$23:$D$119)</f>
        <v/>
      </c>
      <c r="D170" s="2" t="n">
        <v>27</v>
      </c>
      <c r="E170" s="2" t="inlineStr">
        <is>
          <t>CHO</t>
        </is>
      </c>
      <c r="F170" s="2" t="n">
        <v>2.6685</v>
      </c>
      <c r="G170" s="2" t="n">
        <v>0.004995</v>
      </c>
    </row>
    <row r="171">
      <c r="A171" s="1" t="inlineStr">
        <is>
          <t>A4</t>
        </is>
      </c>
      <c r="B171" s="1" t="n">
        <v>4</v>
      </c>
      <c r="C171" s="2">
        <f>_xlfn.XLOOKUP(B171,Results!$B$23:$B$119,Results!$D$23:$D$119)</f>
        <v/>
      </c>
      <c r="D171" s="1" t="n">
        <v>28</v>
      </c>
      <c r="E171" s="1" t="inlineStr">
        <is>
          <t>CHO</t>
        </is>
      </c>
      <c r="F171" s="1" t="n">
        <v>2.6852</v>
      </c>
      <c r="G171" s="1" t="n">
        <v>0.013276</v>
      </c>
    </row>
    <row r="172">
      <c r="A172" s="2" t="inlineStr">
        <is>
          <t>A4</t>
        </is>
      </c>
      <c r="B172" s="2" t="n">
        <v>4</v>
      </c>
      <c r="C172" s="2">
        <f>_xlfn.XLOOKUP(B172,Results!$B$23:$B$119,Results!$D$23:$D$119)</f>
        <v/>
      </c>
      <c r="D172" s="2" t="n">
        <v>29</v>
      </c>
      <c r="E172" s="2" t="inlineStr">
        <is>
          <t>CHO</t>
        </is>
      </c>
      <c r="F172" s="2" t="n">
        <v>2.7016</v>
      </c>
      <c r="G172" s="2" t="n">
        <v>0.021227</v>
      </c>
    </row>
    <row r="173">
      <c r="A173" s="1" t="inlineStr">
        <is>
          <t>A4</t>
        </is>
      </c>
      <c r="B173" s="1" t="n">
        <v>4</v>
      </c>
      <c r="C173" s="2">
        <f>_xlfn.XLOOKUP(B173,Results!$B$23:$B$119,Results!$D$23:$D$119)</f>
        <v/>
      </c>
      <c r="D173" s="1" t="n">
        <v>30</v>
      </c>
      <c r="E173" s="1" t="inlineStr">
        <is>
          <t>CHO</t>
        </is>
      </c>
      <c r="F173" s="1" t="n">
        <v>2.7361</v>
      </c>
      <c r="G173" s="1" t="n">
        <v>0.047264</v>
      </c>
    </row>
    <row r="174">
      <c r="A174" s="2" t="inlineStr">
        <is>
          <t>A4</t>
        </is>
      </c>
      <c r="B174" s="2" t="n">
        <v>4</v>
      </c>
      <c r="C174" s="2">
        <f>_xlfn.XLOOKUP(B174,Results!$B$23:$B$119,Results!$D$23:$D$119)</f>
        <v/>
      </c>
      <c r="D174" s="2" t="n">
        <v>31</v>
      </c>
      <c r="E174" s="2" t="inlineStr">
        <is>
          <t>CHO</t>
        </is>
      </c>
      <c r="F174" s="2" t="n">
        <v>2.7967</v>
      </c>
      <c r="G174" s="2" t="n">
        <v>0.099464</v>
      </c>
    </row>
    <row r="175">
      <c r="A175" s="1" t="inlineStr">
        <is>
          <t>A4</t>
        </is>
      </c>
      <c r="B175" s="1" t="n">
        <v>4</v>
      </c>
      <c r="C175" s="2">
        <f>_xlfn.XLOOKUP(B175,Results!$B$23:$B$119,Results!$D$23:$D$119)</f>
        <v/>
      </c>
      <c r="D175" s="1" t="n">
        <v>32</v>
      </c>
      <c r="E175" s="1" t="inlineStr">
        <is>
          <t>CHO</t>
        </is>
      </c>
      <c r="F175" s="1" t="n">
        <v>2.8658</v>
      </c>
      <c r="G175" s="1" t="n">
        <v>0.160141</v>
      </c>
    </row>
    <row r="176">
      <c r="A176" s="2" t="inlineStr">
        <is>
          <t>A4</t>
        </is>
      </c>
      <c r="B176" s="2" t="n">
        <v>4</v>
      </c>
      <c r="C176" s="2">
        <f>_xlfn.XLOOKUP(B176,Results!$B$23:$B$119,Results!$D$23:$D$119)</f>
        <v/>
      </c>
      <c r="D176" s="2" t="n">
        <v>33</v>
      </c>
      <c r="E176" s="2" t="inlineStr">
        <is>
          <t>CHO</t>
        </is>
      </c>
      <c r="F176" s="2" t="n">
        <v>3.0153</v>
      </c>
      <c r="G176" s="2" t="n">
        <v>0.301199</v>
      </c>
    </row>
    <row r="177">
      <c r="A177" s="1" t="inlineStr">
        <is>
          <t>A4</t>
        </is>
      </c>
      <c r="B177" s="1" t="n">
        <v>4</v>
      </c>
      <c r="C177" s="2">
        <f>_xlfn.XLOOKUP(B177,Results!$B$23:$B$119,Results!$D$23:$D$119)</f>
        <v/>
      </c>
      <c r="D177" s="1" t="n">
        <v>34</v>
      </c>
      <c r="E177" s="1" t="inlineStr">
        <is>
          <t>CHO</t>
        </is>
      </c>
      <c r="F177" s="1" t="n">
        <v>3.251</v>
      </c>
      <c r="G177" s="1" t="n">
        <v>0.528462</v>
      </c>
    </row>
    <row r="178">
      <c r="A178" s="2" t="inlineStr">
        <is>
          <t>A4</t>
        </is>
      </c>
      <c r="B178" s="2" t="n">
        <v>4</v>
      </c>
      <c r="C178" s="2">
        <f>_xlfn.XLOOKUP(B178,Results!$B$23:$B$119,Results!$D$23:$D$119)</f>
        <v/>
      </c>
      <c r="D178" s="2" t="n">
        <v>35</v>
      </c>
      <c r="E178" s="2" t="inlineStr">
        <is>
          <t>CHO</t>
        </is>
      </c>
      <c r="F178" s="2" t="n">
        <v>3.5919</v>
      </c>
      <c r="G178" s="2" t="n">
        <v>0.860913</v>
      </c>
    </row>
    <row r="179">
      <c r="A179" s="1" t="inlineStr">
        <is>
          <t>A4</t>
        </is>
      </c>
      <c r="B179" s="1" t="n">
        <v>4</v>
      </c>
      <c r="C179" s="2">
        <f>_xlfn.XLOOKUP(B179,Results!$B$23:$B$119,Results!$D$23:$D$119)</f>
        <v/>
      </c>
      <c r="D179" s="1" t="n">
        <v>36</v>
      </c>
      <c r="E179" s="1" t="inlineStr">
        <is>
          <t>CHO</t>
        </is>
      </c>
      <c r="F179" s="1" t="n">
        <v>4.0098</v>
      </c>
      <c r="G179" s="1" t="n">
        <v>1.270395</v>
      </c>
    </row>
    <row r="180">
      <c r="A180" s="2" t="inlineStr">
        <is>
          <t>A4</t>
        </is>
      </c>
      <c r="B180" s="2" t="n">
        <v>4</v>
      </c>
      <c r="C180" s="2">
        <f>_xlfn.XLOOKUP(B180,Results!$B$23:$B$119,Results!$D$23:$D$119)</f>
        <v/>
      </c>
      <c r="D180" s="2" t="n">
        <v>37</v>
      </c>
      <c r="E180" s="2" t="inlineStr">
        <is>
          <t>CHO</t>
        </is>
      </c>
      <c r="F180" s="2" t="n">
        <v>4.4621</v>
      </c>
      <c r="G180" s="2" t="n">
        <v>1.714217</v>
      </c>
    </row>
    <row r="181">
      <c r="A181" s="1" t="inlineStr">
        <is>
          <t>A4</t>
        </is>
      </c>
      <c r="B181" s="1" t="n">
        <v>4</v>
      </c>
      <c r="C181" s="2">
        <f>_xlfn.XLOOKUP(B181,Results!$B$23:$B$119,Results!$D$23:$D$119)</f>
        <v/>
      </c>
      <c r="D181" s="1" t="n">
        <v>38</v>
      </c>
      <c r="E181" s="1" t="inlineStr">
        <is>
          <t>CHO</t>
        </is>
      </c>
      <c r="F181" s="1" t="n">
        <v>4.9021</v>
      </c>
      <c r="G181" s="1" t="n">
        <v>2.145808</v>
      </c>
    </row>
    <row r="182">
      <c r="A182" s="2" t="inlineStr">
        <is>
          <t>A4</t>
        </is>
      </c>
      <c r="B182" s="2" t="n">
        <v>4</v>
      </c>
      <c r="C182" s="2">
        <f>_xlfn.XLOOKUP(B182,Results!$B$23:$B$119,Results!$D$23:$D$119)</f>
        <v/>
      </c>
      <c r="D182" s="2" t="n">
        <v>39</v>
      </c>
      <c r="E182" s="2" t="inlineStr">
        <is>
          <t>CHO</t>
        </is>
      </c>
      <c r="F182" s="2" t="n">
        <v>5.3205</v>
      </c>
      <c r="G182" s="2" t="n">
        <v>2.555702</v>
      </c>
    </row>
    <row r="183">
      <c r="A183" s="1" t="inlineStr">
        <is>
          <t>A4</t>
        </is>
      </c>
      <c r="B183" s="1" t="n">
        <v>4</v>
      </c>
      <c r="C183" s="2">
        <f>_xlfn.XLOOKUP(B183,Results!$B$23:$B$119,Results!$D$23:$D$119)</f>
        <v/>
      </c>
      <c r="D183" s="1" t="n">
        <v>40</v>
      </c>
      <c r="E183" s="1" t="inlineStr">
        <is>
          <t>CHO</t>
        </is>
      </c>
      <c r="F183" s="1" t="n">
        <v>5.6258</v>
      </c>
      <c r="G183" s="1" t="n">
        <v>2.852594</v>
      </c>
    </row>
    <row r="184">
      <c r="A184" s="2" t="inlineStr">
        <is>
          <t>A5</t>
        </is>
      </c>
      <c r="B184" s="2" t="n">
        <v>5</v>
      </c>
      <c r="C184" s="2">
        <f>_xlfn.XLOOKUP(B184,Results!$B$23:$B$119,Results!$D$23:$D$119)</f>
        <v/>
      </c>
      <c r="D184" s="2" t="n">
        <v>1</v>
      </c>
      <c r="E184" s="2" t="inlineStr">
        <is>
          <t>CHO</t>
        </is>
      </c>
      <c r="F184" s="2" t="n">
        <v>2.4073</v>
      </c>
      <c r="G184" s="2" t="n">
        <v>0.012785</v>
      </c>
    </row>
    <row r="185">
      <c r="A185" s="1" t="inlineStr">
        <is>
          <t>A5</t>
        </is>
      </c>
      <c r="B185" s="1" t="n">
        <v>5</v>
      </c>
      <c r="C185" s="2">
        <f>_xlfn.XLOOKUP(B185,Results!$B$23:$B$119,Results!$D$23:$D$119)</f>
        <v/>
      </c>
      <c r="D185" s="1" t="n">
        <v>2</v>
      </c>
      <c r="E185" s="1" t="inlineStr">
        <is>
          <t>CHO</t>
        </is>
      </c>
      <c r="F185" s="1" t="n">
        <v>2.4085</v>
      </c>
      <c r="G185" s="1" t="n">
        <v>0.004921</v>
      </c>
    </row>
    <row r="186">
      <c r="A186" s="2" t="inlineStr">
        <is>
          <t>A5</t>
        </is>
      </c>
      <c r="B186" s="2" t="n">
        <v>5</v>
      </c>
      <c r="C186" s="2">
        <f>_xlfn.XLOOKUP(B186,Results!$B$23:$B$119,Results!$D$23:$D$119)</f>
        <v/>
      </c>
      <c r="D186" s="2" t="n">
        <v>3</v>
      </c>
      <c r="E186" s="2" t="inlineStr">
        <is>
          <t>CHO</t>
        </is>
      </c>
      <c r="F186" s="2" t="n">
        <v>2.414</v>
      </c>
      <c r="G186" s="2" t="n">
        <v>0.001322</v>
      </c>
    </row>
    <row r="187">
      <c r="A187" s="1" t="inlineStr">
        <is>
          <t>A5</t>
        </is>
      </c>
      <c r="B187" s="1" t="n">
        <v>5</v>
      </c>
      <c r="C187" s="2">
        <f>_xlfn.XLOOKUP(B187,Results!$B$23:$B$119,Results!$D$23:$D$119)</f>
        <v/>
      </c>
      <c r="D187" s="1" t="n">
        <v>4</v>
      </c>
      <c r="E187" s="1" t="inlineStr">
        <is>
          <t>CHO</t>
        </is>
      </c>
      <c r="F187" s="1" t="n">
        <v>2.4269</v>
      </c>
      <c r="G187" s="1" t="n">
        <v>0.00512</v>
      </c>
    </row>
    <row r="188">
      <c r="A188" s="2" t="inlineStr">
        <is>
          <t>A5</t>
        </is>
      </c>
      <c r="B188" s="2" t="n">
        <v>5</v>
      </c>
      <c r="C188" s="2">
        <f>_xlfn.XLOOKUP(B188,Results!$B$23:$B$119,Results!$D$23:$D$119)</f>
        <v/>
      </c>
      <c r="D188" s="2" t="n">
        <v>5</v>
      </c>
      <c r="E188" s="2" t="inlineStr">
        <is>
          <t>CHO</t>
        </is>
      </c>
      <c r="F188" s="2" t="n">
        <v>2.4357</v>
      </c>
      <c r="G188" s="2" t="n">
        <v>0.004761</v>
      </c>
    </row>
    <row r="189">
      <c r="A189" s="1" t="inlineStr">
        <is>
          <t>A5</t>
        </is>
      </c>
      <c r="B189" s="1" t="n">
        <v>5</v>
      </c>
      <c r="C189" s="2">
        <f>_xlfn.XLOOKUP(B189,Results!$B$23:$B$119,Results!$D$23:$D$119)</f>
        <v/>
      </c>
      <c r="D189" s="1" t="n">
        <v>6</v>
      </c>
      <c r="E189" s="1" t="inlineStr">
        <is>
          <t>CHO</t>
        </is>
      </c>
      <c r="F189" s="1" t="n">
        <v>2.4437</v>
      </c>
      <c r="G189" s="1" t="n">
        <v>0.003627</v>
      </c>
    </row>
    <row r="190">
      <c r="A190" s="2" t="inlineStr">
        <is>
          <t>A5</t>
        </is>
      </c>
      <c r="B190" s="2" t="n">
        <v>5</v>
      </c>
      <c r="C190" s="2">
        <f>_xlfn.XLOOKUP(B190,Results!$B$23:$B$119,Results!$D$23:$D$119)</f>
        <v/>
      </c>
      <c r="D190" s="2" t="n">
        <v>7</v>
      </c>
      <c r="E190" s="2" t="inlineStr">
        <is>
          <t>CHO</t>
        </is>
      </c>
      <c r="F190" s="2" t="n">
        <v>2.454</v>
      </c>
      <c r="G190" s="2" t="n">
        <v>0.004804</v>
      </c>
    </row>
    <row r="191">
      <c r="A191" s="1" t="inlineStr">
        <is>
          <t>A5</t>
        </is>
      </c>
      <c r="B191" s="1" t="n">
        <v>5</v>
      </c>
      <c r="C191" s="2">
        <f>_xlfn.XLOOKUP(B191,Results!$B$23:$B$119,Results!$D$23:$D$119)</f>
        <v/>
      </c>
      <c r="D191" s="1" t="n">
        <v>8</v>
      </c>
      <c r="E191" s="1" t="inlineStr">
        <is>
          <t>CHO</t>
        </is>
      </c>
      <c r="F191" s="1" t="n">
        <v>2.4624</v>
      </c>
      <c r="G191" s="1" t="n">
        <v>0.004087</v>
      </c>
    </row>
    <row r="192">
      <c r="A192" s="2" t="inlineStr">
        <is>
          <t>A5</t>
        </is>
      </c>
      <c r="B192" s="2" t="n">
        <v>5</v>
      </c>
      <c r="C192" s="2">
        <f>_xlfn.XLOOKUP(B192,Results!$B$23:$B$119,Results!$D$23:$D$119)</f>
        <v/>
      </c>
      <c r="D192" s="2" t="n">
        <v>9</v>
      </c>
      <c r="E192" s="2" t="inlineStr">
        <is>
          <t>CHO</t>
        </is>
      </c>
      <c r="F192" s="2" t="n">
        <v>2.4681</v>
      </c>
      <c r="G192" s="2" t="n">
        <v>0.00068</v>
      </c>
    </row>
    <row r="193">
      <c r="A193" s="1" t="inlineStr">
        <is>
          <t>A5</t>
        </is>
      </c>
      <c r="B193" s="1" t="n">
        <v>5</v>
      </c>
      <c r="C193" s="2">
        <f>_xlfn.XLOOKUP(B193,Results!$B$23:$B$119,Results!$D$23:$D$119)</f>
        <v/>
      </c>
      <c r="D193" s="1" t="n">
        <v>10</v>
      </c>
      <c r="E193" s="1" t="inlineStr">
        <is>
          <t>CHO</t>
        </is>
      </c>
      <c r="F193" s="1" t="n">
        <v>2.4763</v>
      </c>
      <c r="G193" s="1" t="n">
        <v>-0.000232</v>
      </c>
    </row>
    <row r="194">
      <c r="A194" s="2" t="inlineStr">
        <is>
          <t>A5</t>
        </is>
      </c>
      <c r="B194" s="2" t="n">
        <v>5</v>
      </c>
      <c r="C194" s="2">
        <f>_xlfn.XLOOKUP(B194,Results!$B$23:$B$119,Results!$D$23:$D$119)</f>
        <v/>
      </c>
      <c r="D194" s="2" t="n">
        <v>11</v>
      </c>
      <c r="E194" s="2" t="inlineStr">
        <is>
          <t>CHO</t>
        </is>
      </c>
      <c r="F194" s="2" t="n">
        <v>2.4822</v>
      </c>
      <c r="G194" s="2" t="n">
        <v>-0.003421</v>
      </c>
    </row>
    <row r="195">
      <c r="A195" s="1" t="inlineStr">
        <is>
          <t>A5</t>
        </is>
      </c>
      <c r="B195" s="1" t="n">
        <v>5</v>
      </c>
      <c r="C195" s="2">
        <f>_xlfn.XLOOKUP(B195,Results!$B$23:$B$119,Results!$D$23:$D$119)</f>
        <v/>
      </c>
      <c r="D195" s="1" t="n">
        <v>12</v>
      </c>
      <c r="E195" s="1" t="inlineStr">
        <is>
          <t>CHO</t>
        </is>
      </c>
      <c r="F195" s="1" t="n">
        <v>2.4882</v>
      </c>
      <c r="G195" s="1" t="n">
        <v>-0.006568</v>
      </c>
    </row>
    <row r="196">
      <c r="A196" s="2" t="inlineStr">
        <is>
          <t>A5</t>
        </is>
      </c>
      <c r="B196" s="2" t="n">
        <v>5</v>
      </c>
      <c r="C196" s="2">
        <f>_xlfn.XLOOKUP(B196,Results!$B$23:$B$119,Results!$D$23:$D$119)</f>
        <v/>
      </c>
      <c r="D196" s="2" t="n">
        <v>13</v>
      </c>
      <c r="E196" s="2" t="inlineStr">
        <is>
          <t>CHO</t>
        </is>
      </c>
      <c r="F196" s="2" t="n">
        <v>2.5013</v>
      </c>
      <c r="G196" s="2" t="n">
        <v>-0.002609</v>
      </c>
    </row>
    <row r="197">
      <c r="A197" s="1" t="inlineStr">
        <is>
          <t>A5</t>
        </is>
      </c>
      <c r="B197" s="1" t="n">
        <v>5</v>
      </c>
      <c r="C197" s="2">
        <f>_xlfn.XLOOKUP(B197,Results!$B$23:$B$119,Results!$D$23:$D$119)</f>
        <v/>
      </c>
      <c r="D197" s="1" t="n">
        <v>14</v>
      </c>
      <c r="E197" s="1" t="inlineStr">
        <is>
          <t>CHO</t>
        </is>
      </c>
      <c r="F197" s="1" t="n">
        <v>2.5115</v>
      </c>
      <c r="G197" s="1" t="n">
        <v>-0.001533</v>
      </c>
    </row>
    <row r="198">
      <c r="A198" s="2" t="inlineStr">
        <is>
          <t>A5</t>
        </is>
      </c>
      <c r="B198" s="2" t="n">
        <v>5</v>
      </c>
      <c r="C198" s="2">
        <f>_xlfn.XLOOKUP(B198,Results!$B$23:$B$119,Results!$D$23:$D$119)</f>
        <v/>
      </c>
      <c r="D198" s="2" t="n">
        <v>15</v>
      </c>
      <c r="E198" s="2" t="inlineStr">
        <is>
          <t>CHO</t>
        </is>
      </c>
      <c r="F198" s="2" t="n">
        <v>2.5203</v>
      </c>
      <c r="G198" s="2" t="n">
        <v>-0.001868</v>
      </c>
    </row>
    <row r="199">
      <c r="A199" s="1" t="inlineStr">
        <is>
          <t>A5</t>
        </is>
      </c>
      <c r="B199" s="1" t="n">
        <v>5</v>
      </c>
      <c r="C199" s="2">
        <f>_xlfn.XLOOKUP(B199,Results!$B$23:$B$119,Results!$D$23:$D$119)</f>
        <v/>
      </c>
      <c r="D199" s="1" t="n">
        <v>16</v>
      </c>
      <c r="E199" s="1" t="inlineStr">
        <is>
          <t>CHO</t>
        </is>
      </c>
      <c r="F199" s="1" t="n">
        <v>2.5258</v>
      </c>
      <c r="G199" s="1" t="n">
        <v>-0.005488</v>
      </c>
    </row>
    <row r="200">
      <c r="A200" s="2" t="inlineStr">
        <is>
          <t>A5</t>
        </is>
      </c>
      <c r="B200" s="2" t="n">
        <v>5</v>
      </c>
      <c r="C200" s="2">
        <f>_xlfn.XLOOKUP(B200,Results!$B$23:$B$119,Results!$D$23:$D$119)</f>
        <v/>
      </c>
      <c r="D200" s="2" t="n">
        <v>17</v>
      </c>
      <c r="E200" s="2" t="inlineStr">
        <is>
          <t>CHO</t>
        </is>
      </c>
      <c r="F200" s="2" t="n">
        <v>2.5298</v>
      </c>
      <c r="G200" s="2" t="n">
        <v>-0.010614</v>
      </c>
    </row>
    <row r="201">
      <c r="A201" s="1" t="inlineStr">
        <is>
          <t>A5</t>
        </is>
      </c>
      <c r="B201" s="1" t="n">
        <v>5</v>
      </c>
      <c r="C201" s="2">
        <f>_xlfn.XLOOKUP(B201,Results!$B$23:$B$119,Results!$D$23:$D$119)</f>
        <v/>
      </c>
      <c r="D201" s="1" t="n">
        <v>18</v>
      </c>
      <c r="E201" s="1" t="inlineStr">
        <is>
          <t>CHO</t>
        </is>
      </c>
      <c r="F201" s="1" t="n">
        <v>2.5424</v>
      </c>
      <c r="G201" s="1" t="n">
        <v>-0.007056</v>
      </c>
    </row>
    <row r="202">
      <c r="A202" s="2" t="inlineStr">
        <is>
          <t>A5</t>
        </is>
      </c>
      <c r="B202" s="2" t="n">
        <v>5</v>
      </c>
      <c r="C202" s="2">
        <f>_xlfn.XLOOKUP(B202,Results!$B$23:$B$119,Results!$D$23:$D$119)</f>
        <v/>
      </c>
      <c r="D202" s="2" t="n">
        <v>19</v>
      </c>
      <c r="E202" s="2" t="inlineStr">
        <is>
          <t>CHO</t>
        </is>
      </c>
      <c r="F202" s="2" t="n">
        <v>2.5557</v>
      </c>
      <c r="G202" s="2" t="n">
        <v>-0.002876</v>
      </c>
    </row>
    <row r="203">
      <c r="A203" s="1" t="inlineStr">
        <is>
          <t>A5</t>
        </is>
      </c>
      <c r="B203" s="1" t="n">
        <v>5</v>
      </c>
      <c r="C203" s="2">
        <f>_xlfn.XLOOKUP(B203,Results!$B$23:$B$119,Results!$D$23:$D$119)</f>
        <v/>
      </c>
      <c r="D203" s="1" t="n">
        <v>20</v>
      </c>
      <c r="E203" s="1" t="inlineStr">
        <is>
          <t>CHO</t>
        </is>
      </c>
      <c r="F203" s="1" t="n">
        <v>2.5671</v>
      </c>
      <c r="G203" s="1" t="n">
        <v>-0.000601</v>
      </c>
    </row>
    <row r="204">
      <c r="A204" s="2" t="inlineStr">
        <is>
          <t>A5</t>
        </is>
      </c>
      <c r="B204" s="2" t="n">
        <v>5</v>
      </c>
      <c r="C204" s="2">
        <f>_xlfn.XLOOKUP(B204,Results!$B$23:$B$119,Results!$D$23:$D$119)</f>
        <v/>
      </c>
      <c r="D204" s="2" t="n">
        <v>21</v>
      </c>
      <c r="E204" s="2" t="inlineStr">
        <is>
          <t>CHO</t>
        </is>
      </c>
      <c r="F204" s="2" t="n">
        <v>2.5771</v>
      </c>
      <c r="G204" s="2" t="n">
        <v>0.000289</v>
      </c>
    </row>
    <row r="205">
      <c r="A205" s="1" t="inlineStr">
        <is>
          <t>A5</t>
        </is>
      </c>
      <c r="B205" s="1" t="n">
        <v>5</v>
      </c>
      <c r="C205" s="2">
        <f>_xlfn.XLOOKUP(B205,Results!$B$23:$B$119,Results!$D$23:$D$119)</f>
        <v/>
      </c>
      <c r="D205" s="1" t="n">
        <v>22</v>
      </c>
      <c r="E205" s="1" t="inlineStr">
        <is>
          <t>CHO</t>
        </is>
      </c>
      <c r="F205" s="1" t="n">
        <v>2.5863</v>
      </c>
      <c r="G205" s="1" t="n">
        <v>0.000304</v>
      </c>
    </row>
    <row r="206">
      <c r="A206" s="2" t="inlineStr">
        <is>
          <t>A5</t>
        </is>
      </c>
      <c r="B206" s="2" t="n">
        <v>5</v>
      </c>
      <c r="C206" s="2">
        <f>_xlfn.XLOOKUP(B206,Results!$B$23:$B$119,Results!$D$23:$D$119)</f>
        <v/>
      </c>
      <c r="D206" s="2" t="n">
        <v>23</v>
      </c>
      <c r="E206" s="2" t="inlineStr">
        <is>
          <t>CHO</t>
        </is>
      </c>
      <c r="F206" s="2" t="n">
        <v>2.5955</v>
      </c>
      <c r="G206" s="2" t="n">
        <v>0.000381</v>
      </c>
    </row>
    <row r="207">
      <c r="A207" s="1" t="inlineStr">
        <is>
          <t>A5</t>
        </is>
      </c>
      <c r="B207" s="1" t="n">
        <v>5</v>
      </c>
      <c r="C207" s="2">
        <f>_xlfn.XLOOKUP(B207,Results!$B$23:$B$119,Results!$D$23:$D$119)</f>
        <v/>
      </c>
      <c r="D207" s="1" t="n">
        <v>24</v>
      </c>
      <c r="E207" s="1" t="inlineStr">
        <is>
          <t>CHO</t>
        </is>
      </c>
      <c r="F207" s="1" t="n">
        <v>2.6027</v>
      </c>
      <c r="G207" s="1" t="n">
        <v>-0.001494</v>
      </c>
    </row>
    <row r="208">
      <c r="A208" s="2" t="inlineStr">
        <is>
          <t>A5</t>
        </is>
      </c>
      <c r="B208" s="2" t="n">
        <v>5</v>
      </c>
      <c r="C208" s="2">
        <f>_xlfn.XLOOKUP(B208,Results!$B$23:$B$119,Results!$D$23:$D$119)</f>
        <v/>
      </c>
      <c r="D208" s="2" t="n">
        <v>25</v>
      </c>
      <c r="E208" s="2" t="inlineStr">
        <is>
          <t>CHO</t>
        </is>
      </c>
      <c r="F208" s="2" t="n">
        <v>2.6102</v>
      </c>
      <c r="G208" s="2" t="n">
        <v>-0.003085</v>
      </c>
    </row>
    <row r="209">
      <c r="A209" s="1" t="inlineStr">
        <is>
          <t>A5</t>
        </is>
      </c>
      <c r="B209" s="1" t="n">
        <v>5</v>
      </c>
      <c r="C209" s="2">
        <f>_xlfn.XLOOKUP(B209,Results!$B$23:$B$119,Results!$D$23:$D$119)</f>
        <v/>
      </c>
      <c r="D209" s="1" t="n">
        <v>26</v>
      </c>
      <c r="E209" s="1" t="inlineStr">
        <is>
          <t>CHO</t>
        </is>
      </c>
      <c r="F209" s="1" t="n">
        <v>2.6202</v>
      </c>
      <c r="G209" s="1" t="n">
        <v>-0.002251</v>
      </c>
    </row>
    <row r="210">
      <c r="A210" s="2" t="inlineStr">
        <is>
          <t>A5</t>
        </is>
      </c>
      <c r="B210" s="2" t="n">
        <v>5</v>
      </c>
      <c r="C210" s="2">
        <f>_xlfn.XLOOKUP(B210,Results!$B$23:$B$119,Results!$D$23:$D$119)</f>
        <v/>
      </c>
      <c r="D210" s="2" t="n">
        <v>27</v>
      </c>
      <c r="E210" s="2" t="inlineStr">
        <is>
          <t>CHO</t>
        </is>
      </c>
      <c r="F210" s="2" t="n">
        <v>2.6409</v>
      </c>
      <c r="G210" s="2" t="n">
        <v>0.009390000000000001</v>
      </c>
    </row>
    <row r="211">
      <c r="A211" s="1" t="inlineStr">
        <is>
          <t>A5</t>
        </is>
      </c>
      <c r="B211" s="1" t="n">
        <v>5</v>
      </c>
      <c r="C211" s="2">
        <f>_xlfn.XLOOKUP(B211,Results!$B$23:$B$119,Results!$D$23:$D$119)</f>
        <v/>
      </c>
      <c r="D211" s="1" t="n">
        <v>28</v>
      </c>
      <c r="E211" s="1" t="inlineStr">
        <is>
          <t>CHO</t>
        </is>
      </c>
      <c r="F211" s="1" t="n">
        <v>2.6556</v>
      </c>
      <c r="G211" s="1" t="n">
        <v>0.014933</v>
      </c>
    </row>
    <row r="212">
      <c r="A212" s="2" t="inlineStr">
        <is>
          <t>A5</t>
        </is>
      </c>
      <c r="B212" s="2" t="n">
        <v>5</v>
      </c>
      <c r="C212" s="2">
        <f>_xlfn.XLOOKUP(B212,Results!$B$23:$B$119,Results!$D$23:$D$119)</f>
        <v/>
      </c>
      <c r="D212" s="2" t="n">
        <v>29</v>
      </c>
      <c r="E212" s="2" t="inlineStr">
        <is>
          <t>CHO</t>
        </is>
      </c>
      <c r="F212" s="2" t="n">
        <v>2.6639</v>
      </c>
      <c r="G212" s="2" t="n">
        <v>0.014059</v>
      </c>
    </row>
    <row r="213">
      <c r="A213" s="1" t="inlineStr">
        <is>
          <t>A5</t>
        </is>
      </c>
      <c r="B213" s="1" t="n">
        <v>5</v>
      </c>
      <c r="C213" s="2">
        <f>_xlfn.XLOOKUP(B213,Results!$B$23:$B$119,Results!$D$23:$D$119)</f>
        <v/>
      </c>
      <c r="D213" s="1" t="n">
        <v>30</v>
      </c>
      <c r="E213" s="1" t="inlineStr">
        <is>
          <t>CHO</t>
        </is>
      </c>
      <c r="F213" s="1" t="n">
        <v>2.6949</v>
      </c>
      <c r="G213" s="1" t="n">
        <v>0.035947</v>
      </c>
    </row>
    <row r="214">
      <c r="A214" s="2" t="inlineStr">
        <is>
          <t>A5</t>
        </is>
      </c>
      <c r="B214" s="2" t="n">
        <v>5</v>
      </c>
      <c r="C214" s="2">
        <f>_xlfn.XLOOKUP(B214,Results!$B$23:$B$119,Results!$D$23:$D$119)</f>
        <v/>
      </c>
      <c r="D214" s="2" t="n">
        <v>31</v>
      </c>
      <c r="E214" s="2" t="inlineStr">
        <is>
          <t>CHO</t>
        </is>
      </c>
      <c r="F214" s="2" t="n">
        <v>2.7487</v>
      </c>
      <c r="G214" s="2" t="n">
        <v>0.080683</v>
      </c>
    </row>
    <row r="215">
      <c r="A215" s="1" t="inlineStr">
        <is>
          <t>A5</t>
        </is>
      </c>
      <c r="B215" s="1" t="n">
        <v>5</v>
      </c>
      <c r="C215" s="2">
        <f>_xlfn.XLOOKUP(B215,Results!$B$23:$B$119,Results!$D$23:$D$119)</f>
        <v/>
      </c>
      <c r="D215" s="1" t="n">
        <v>32</v>
      </c>
      <c r="E215" s="1" t="inlineStr">
        <is>
          <t>CHO</t>
        </is>
      </c>
      <c r="F215" s="1" t="n">
        <v>2.8389</v>
      </c>
      <c r="G215" s="1" t="n">
        <v>0.161793</v>
      </c>
    </row>
    <row r="216">
      <c r="A216" s="2" t="inlineStr">
        <is>
          <t>A5</t>
        </is>
      </c>
      <c r="B216" s="2" t="n">
        <v>5</v>
      </c>
      <c r="C216" s="2">
        <f>_xlfn.XLOOKUP(B216,Results!$B$23:$B$119,Results!$D$23:$D$119)</f>
        <v/>
      </c>
      <c r="D216" s="2" t="n">
        <v>33</v>
      </c>
      <c r="E216" s="2" t="inlineStr">
        <is>
          <t>CHO</t>
        </is>
      </c>
      <c r="F216" s="2" t="n">
        <v>2.9923</v>
      </c>
      <c r="G216" s="2" t="n">
        <v>0.306027</v>
      </c>
    </row>
    <row r="217">
      <c r="A217" s="1" t="inlineStr">
        <is>
          <t>A5</t>
        </is>
      </c>
      <c r="B217" s="1" t="n">
        <v>5</v>
      </c>
      <c r="C217" s="2">
        <f>_xlfn.XLOOKUP(B217,Results!$B$23:$B$119,Results!$D$23:$D$119)</f>
        <v/>
      </c>
      <c r="D217" s="1" t="n">
        <v>34</v>
      </c>
      <c r="E217" s="1" t="inlineStr">
        <is>
          <t>CHO</t>
        </is>
      </c>
      <c r="F217" s="1" t="n">
        <v>3.241</v>
      </c>
      <c r="G217" s="1" t="n">
        <v>0.545656</v>
      </c>
    </row>
    <row r="218">
      <c r="A218" s="2" t="inlineStr">
        <is>
          <t>A5</t>
        </is>
      </c>
      <c r="B218" s="2" t="n">
        <v>5</v>
      </c>
      <c r="C218" s="2">
        <f>_xlfn.XLOOKUP(B218,Results!$B$23:$B$119,Results!$D$23:$D$119)</f>
        <v/>
      </c>
      <c r="D218" s="2" t="n">
        <v>35</v>
      </c>
      <c r="E218" s="2" t="inlineStr">
        <is>
          <t>CHO</t>
        </is>
      </c>
      <c r="F218" s="2" t="n">
        <v>3.5922</v>
      </c>
      <c r="G218" s="2" t="n">
        <v>0.887646</v>
      </c>
    </row>
    <row r="219">
      <c r="A219" s="1" t="inlineStr">
        <is>
          <t>A5</t>
        </is>
      </c>
      <c r="B219" s="1" t="n">
        <v>5</v>
      </c>
      <c r="C219" s="2">
        <f>_xlfn.XLOOKUP(B219,Results!$B$23:$B$119,Results!$D$23:$D$119)</f>
        <v/>
      </c>
      <c r="D219" s="1" t="n">
        <v>36</v>
      </c>
      <c r="E219" s="1" t="inlineStr">
        <is>
          <t>CHO</t>
        </is>
      </c>
      <c r="F219" s="1" t="n">
        <v>4.0322</v>
      </c>
      <c r="G219" s="1" t="n">
        <v>1.318586</v>
      </c>
    </row>
    <row r="220">
      <c r="A220" s="2" t="inlineStr">
        <is>
          <t>A5</t>
        </is>
      </c>
      <c r="B220" s="2" t="n">
        <v>5</v>
      </c>
      <c r="C220" s="2">
        <f>_xlfn.XLOOKUP(B220,Results!$B$23:$B$119,Results!$D$23:$D$119)</f>
        <v/>
      </c>
      <c r="D220" s="2" t="n">
        <v>37</v>
      </c>
      <c r="E220" s="2" t="inlineStr">
        <is>
          <t>CHO</t>
        </is>
      </c>
      <c r="F220" s="2" t="n">
        <v>4.5438</v>
      </c>
      <c r="G220" s="2" t="n">
        <v>1.821101</v>
      </c>
    </row>
    <row r="221">
      <c r="A221" s="1" t="inlineStr">
        <is>
          <t>A5</t>
        </is>
      </c>
      <c r="B221" s="1" t="n">
        <v>5</v>
      </c>
      <c r="C221" s="2">
        <f>_xlfn.XLOOKUP(B221,Results!$B$23:$B$119,Results!$D$23:$D$119)</f>
        <v/>
      </c>
      <c r="D221" s="1" t="n">
        <v>38</v>
      </c>
      <c r="E221" s="1" t="inlineStr">
        <is>
          <t>CHO</t>
        </is>
      </c>
      <c r="F221" s="1" t="n">
        <v>5.0402</v>
      </c>
      <c r="G221" s="1" t="n">
        <v>2.308378</v>
      </c>
    </row>
    <row r="222">
      <c r="A222" s="2" t="inlineStr">
        <is>
          <t>A5</t>
        </is>
      </c>
      <c r="B222" s="2" t="n">
        <v>5</v>
      </c>
      <c r="C222" s="2">
        <f>_xlfn.XLOOKUP(B222,Results!$B$23:$B$119,Results!$D$23:$D$119)</f>
        <v/>
      </c>
      <c r="D222" s="2" t="n">
        <v>39</v>
      </c>
      <c r="E222" s="2" t="inlineStr">
        <is>
          <t>CHO</t>
        </is>
      </c>
      <c r="F222" s="2" t="n">
        <v>5.4745</v>
      </c>
      <c r="G222" s="2" t="n">
        <v>2.733516</v>
      </c>
    </row>
    <row r="223">
      <c r="A223" s="1" t="inlineStr">
        <is>
          <t>A5</t>
        </is>
      </c>
      <c r="B223" s="1" t="n">
        <v>5</v>
      </c>
      <c r="C223" s="2">
        <f>_xlfn.XLOOKUP(B223,Results!$B$23:$B$119,Results!$D$23:$D$119)</f>
        <v/>
      </c>
      <c r="D223" s="1" t="n">
        <v>40</v>
      </c>
      <c r="E223" s="1" t="inlineStr">
        <is>
          <t>CHO</t>
        </is>
      </c>
      <c r="F223" s="1" t="n">
        <v>5.8247</v>
      </c>
      <c r="G223" s="1" t="n">
        <v>3.074608</v>
      </c>
    </row>
    <row r="224">
      <c r="A224" s="2" t="inlineStr">
        <is>
          <t>A6</t>
        </is>
      </c>
      <c r="B224" s="2" t="n">
        <v>6</v>
      </c>
      <c r="C224" s="2">
        <f>_xlfn.XLOOKUP(B224,Results!$B$23:$B$119,Results!$D$23:$D$119)</f>
        <v/>
      </c>
      <c r="D224" s="2" t="n">
        <v>1</v>
      </c>
      <c r="E224" s="2" t="inlineStr">
        <is>
          <t>CHO</t>
        </is>
      </c>
      <c r="F224" s="2" t="n">
        <v>2.4632</v>
      </c>
      <c r="G224" s="2" t="n">
        <v>0.008429000000000001</v>
      </c>
    </row>
    <row r="225">
      <c r="A225" s="1" t="inlineStr">
        <is>
          <t>A6</t>
        </is>
      </c>
      <c r="B225" s="1" t="n">
        <v>6</v>
      </c>
      <c r="C225" s="2">
        <f>_xlfn.XLOOKUP(B225,Results!$B$23:$B$119,Results!$D$23:$D$119)</f>
        <v/>
      </c>
      <c r="D225" s="1" t="n">
        <v>2</v>
      </c>
      <c r="E225" s="1" t="inlineStr">
        <is>
          <t>CHO</t>
        </is>
      </c>
      <c r="F225" s="1" t="n">
        <v>2.4697</v>
      </c>
      <c r="G225" s="1" t="n">
        <v>0.006018</v>
      </c>
    </row>
    <row r="226">
      <c r="A226" s="2" t="inlineStr">
        <is>
          <t>A6</t>
        </is>
      </c>
      <c r="B226" s="2" t="n">
        <v>6</v>
      </c>
      <c r="C226" s="2">
        <f>_xlfn.XLOOKUP(B226,Results!$B$23:$B$119,Results!$D$23:$D$119)</f>
        <v/>
      </c>
      <c r="D226" s="2" t="n">
        <v>3</v>
      </c>
      <c r="E226" s="2" t="inlineStr">
        <is>
          <t>CHO</t>
        </is>
      </c>
      <c r="F226" s="2" t="n">
        <v>2.4765</v>
      </c>
      <c r="G226" s="2" t="n">
        <v>0.003927</v>
      </c>
    </row>
    <row r="227">
      <c r="A227" s="1" t="inlineStr">
        <is>
          <t>A6</t>
        </is>
      </c>
      <c r="B227" s="1" t="n">
        <v>6</v>
      </c>
      <c r="C227" s="2">
        <f>_xlfn.XLOOKUP(B227,Results!$B$23:$B$119,Results!$D$23:$D$119)</f>
        <v/>
      </c>
      <c r="D227" s="1" t="n">
        <v>4</v>
      </c>
      <c r="E227" s="1" t="inlineStr">
        <is>
          <t>CHO</t>
        </is>
      </c>
      <c r="F227" s="1" t="n">
        <v>2.4833</v>
      </c>
      <c r="G227" s="1" t="n">
        <v>0.001779</v>
      </c>
    </row>
    <row r="228">
      <c r="A228" s="2" t="inlineStr">
        <is>
          <t>A6</t>
        </is>
      </c>
      <c r="B228" s="2" t="n">
        <v>6</v>
      </c>
      <c r="C228" s="2">
        <f>_xlfn.XLOOKUP(B228,Results!$B$23:$B$119,Results!$D$23:$D$119)</f>
        <v/>
      </c>
      <c r="D228" s="2" t="n">
        <v>5</v>
      </c>
      <c r="E228" s="2" t="inlineStr">
        <is>
          <t>CHO</t>
        </is>
      </c>
      <c r="F228" s="2" t="n">
        <v>2.4903</v>
      </c>
      <c r="G228" s="2" t="n">
        <v>-0.000138</v>
      </c>
    </row>
    <row r="229">
      <c r="A229" s="1" t="inlineStr">
        <is>
          <t>A6</t>
        </is>
      </c>
      <c r="B229" s="1" t="n">
        <v>6</v>
      </c>
      <c r="C229" s="2">
        <f>_xlfn.XLOOKUP(B229,Results!$B$23:$B$119,Results!$D$23:$D$119)</f>
        <v/>
      </c>
      <c r="D229" s="1" t="n">
        <v>6</v>
      </c>
      <c r="E229" s="1" t="inlineStr">
        <is>
          <t>CHO</t>
        </is>
      </c>
      <c r="F229" s="1" t="n">
        <v>2.4968</v>
      </c>
      <c r="G229" s="1" t="n">
        <v>-0.002539</v>
      </c>
    </row>
    <row r="230">
      <c r="A230" s="2" t="inlineStr">
        <is>
          <t>A6</t>
        </is>
      </c>
      <c r="B230" s="2" t="n">
        <v>6</v>
      </c>
      <c r="C230" s="2">
        <f>_xlfn.XLOOKUP(B230,Results!$B$23:$B$119,Results!$D$23:$D$119)</f>
        <v/>
      </c>
      <c r="D230" s="2" t="n">
        <v>7</v>
      </c>
      <c r="E230" s="2" t="inlineStr">
        <is>
          <t>CHO</t>
        </is>
      </c>
      <c r="F230" s="2" t="n">
        <v>2.5038</v>
      </c>
      <c r="G230" s="2" t="n">
        <v>-0.00444</v>
      </c>
    </row>
    <row r="231">
      <c r="A231" s="1" t="inlineStr">
        <is>
          <t>A6</t>
        </is>
      </c>
      <c r="B231" s="1" t="n">
        <v>6</v>
      </c>
      <c r="C231" s="2">
        <f>_xlfn.XLOOKUP(B231,Results!$B$23:$B$119,Results!$D$23:$D$119)</f>
        <v/>
      </c>
      <c r="D231" s="1" t="n">
        <v>8</v>
      </c>
      <c r="E231" s="1" t="inlineStr">
        <is>
          <t>CHO</t>
        </is>
      </c>
      <c r="F231" s="1" t="n">
        <v>2.5178</v>
      </c>
      <c r="G231" s="1" t="n">
        <v>0.0007069999999999999</v>
      </c>
    </row>
    <row r="232">
      <c r="A232" s="2" t="inlineStr">
        <is>
          <t>A6</t>
        </is>
      </c>
      <c r="B232" s="2" t="n">
        <v>6</v>
      </c>
      <c r="C232" s="2">
        <f>_xlfn.XLOOKUP(B232,Results!$B$23:$B$119,Results!$D$23:$D$119)</f>
        <v/>
      </c>
      <c r="D232" s="2" t="n">
        <v>9</v>
      </c>
      <c r="E232" s="2" t="inlineStr">
        <is>
          <t>CHO</t>
        </is>
      </c>
      <c r="F232" s="2" t="n">
        <v>2.5287</v>
      </c>
      <c r="G232" s="2" t="n">
        <v>0.002618</v>
      </c>
    </row>
    <row r="233">
      <c r="A233" s="1" t="inlineStr">
        <is>
          <t>A6</t>
        </is>
      </c>
      <c r="B233" s="1" t="n">
        <v>6</v>
      </c>
      <c r="C233" s="2">
        <f>_xlfn.XLOOKUP(B233,Results!$B$23:$B$119,Results!$D$23:$D$119)</f>
        <v/>
      </c>
      <c r="D233" s="1" t="n">
        <v>10</v>
      </c>
      <c r="E233" s="1" t="inlineStr">
        <is>
          <t>CHO</t>
        </is>
      </c>
      <c r="F233" s="1" t="n">
        <v>2.5339</v>
      </c>
      <c r="G233" s="1" t="n">
        <v>-0.001025</v>
      </c>
    </row>
    <row r="234">
      <c r="A234" s="2" t="inlineStr">
        <is>
          <t>A6</t>
        </is>
      </c>
      <c r="B234" s="2" t="n">
        <v>6</v>
      </c>
      <c r="C234" s="2">
        <f>_xlfn.XLOOKUP(B234,Results!$B$23:$B$119,Results!$D$23:$D$119)</f>
        <v/>
      </c>
      <c r="D234" s="2" t="n">
        <v>11</v>
      </c>
      <c r="E234" s="2" t="inlineStr">
        <is>
          <t>CHO</t>
        </is>
      </c>
      <c r="F234" s="2" t="n">
        <v>2.5438</v>
      </c>
      <c r="G234" s="2" t="n">
        <v>-6.3e-05</v>
      </c>
    </row>
    <row r="235">
      <c r="A235" s="1" t="inlineStr">
        <is>
          <t>A6</t>
        </is>
      </c>
      <c r="B235" s="1" t="n">
        <v>6</v>
      </c>
      <c r="C235" s="2">
        <f>_xlfn.XLOOKUP(B235,Results!$B$23:$B$119,Results!$D$23:$D$119)</f>
        <v/>
      </c>
      <c r="D235" s="1" t="n">
        <v>12</v>
      </c>
      <c r="E235" s="1" t="inlineStr">
        <is>
          <t>CHO</t>
        </is>
      </c>
      <c r="F235" s="1" t="n">
        <v>2.5552</v>
      </c>
      <c r="G235" s="1" t="n">
        <v>0.002386</v>
      </c>
    </row>
    <row r="236">
      <c r="A236" s="2" t="inlineStr">
        <is>
          <t>A6</t>
        </is>
      </c>
      <c r="B236" s="2" t="n">
        <v>6</v>
      </c>
      <c r="C236" s="2">
        <f>_xlfn.XLOOKUP(B236,Results!$B$23:$B$119,Results!$D$23:$D$119)</f>
        <v/>
      </c>
      <c r="D236" s="2" t="n">
        <v>13</v>
      </c>
      <c r="E236" s="2" t="inlineStr">
        <is>
          <t>CHO</t>
        </is>
      </c>
      <c r="F236" s="2" t="n">
        <v>2.5651</v>
      </c>
      <c r="G236" s="2" t="n">
        <v>0.003365</v>
      </c>
    </row>
    <row r="237">
      <c r="A237" s="1" t="inlineStr">
        <is>
          <t>A6</t>
        </is>
      </c>
      <c r="B237" s="1" t="n">
        <v>6</v>
      </c>
      <c r="C237" s="2">
        <f>_xlfn.XLOOKUP(B237,Results!$B$23:$B$119,Results!$D$23:$D$119)</f>
        <v/>
      </c>
      <c r="D237" s="1" t="n">
        <v>14</v>
      </c>
      <c r="E237" s="1" t="inlineStr">
        <is>
          <t>CHO</t>
        </is>
      </c>
      <c r="F237" s="1" t="n">
        <v>2.5733</v>
      </c>
      <c r="G237" s="1" t="n">
        <v>0.002729</v>
      </c>
    </row>
    <row r="238">
      <c r="A238" s="2" t="inlineStr">
        <is>
          <t>A6</t>
        </is>
      </c>
      <c r="B238" s="2" t="n">
        <v>6</v>
      </c>
      <c r="C238" s="2">
        <f>_xlfn.XLOOKUP(B238,Results!$B$23:$B$119,Results!$D$23:$D$119)</f>
        <v/>
      </c>
      <c r="D238" s="2" t="n">
        <v>15</v>
      </c>
      <c r="E238" s="2" t="inlineStr">
        <is>
          <t>CHO</t>
        </is>
      </c>
      <c r="F238" s="2" t="n">
        <v>2.5768</v>
      </c>
      <c r="G238" s="2" t="n">
        <v>-0.002754</v>
      </c>
    </row>
    <row r="239">
      <c r="A239" s="1" t="inlineStr">
        <is>
          <t>A6</t>
        </is>
      </c>
      <c r="B239" s="1" t="n">
        <v>6</v>
      </c>
      <c r="C239" s="2">
        <f>_xlfn.XLOOKUP(B239,Results!$B$23:$B$119,Results!$D$23:$D$119)</f>
        <v/>
      </c>
      <c r="D239" s="1" t="n">
        <v>16</v>
      </c>
      <c r="E239" s="1" t="inlineStr">
        <is>
          <t>CHO</t>
        </is>
      </c>
      <c r="F239" s="1" t="n">
        <v>2.5826</v>
      </c>
      <c r="G239" s="1" t="n">
        <v>-0.005802</v>
      </c>
    </row>
    <row r="240">
      <c r="A240" s="2" t="inlineStr">
        <is>
          <t>A6</t>
        </is>
      </c>
      <c r="B240" s="2" t="n">
        <v>6</v>
      </c>
      <c r="C240" s="2">
        <f>_xlfn.XLOOKUP(B240,Results!$B$23:$B$119,Results!$D$23:$D$119)</f>
        <v/>
      </c>
      <c r="D240" s="2" t="n">
        <v>17</v>
      </c>
      <c r="E240" s="2" t="inlineStr">
        <is>
          <t>CHO</t>
        </is>
      </c>
      <c r="F240" s="2" t="n">
        <v>2.5909</v>
      </c>
      <c r="G240" s="2" t="n">
        <v>-0.006462</v>
      </c>
    </row>
    <row r="241">
      <c r="A241" s="1" t="inlineStr">
        <is>
          <t>A6</t>
        </is>
      </c>
      <c r="B241" s="1" t="n">
        <v>6</v>
      </c>
      <c r="C241" s="2">
        <f>_xlfn.XLOOKUP(B241,Results!$B$23:$B$119,Results!$D$23:$D$119)</f>
        <v/>
      </c>
      <c r="D241" s="1" t="n">
        <v>18</v>
      </c>
      <c r="E241" s="1" t="inlineStr">
        <is>
          <t>CHO</t>
        </is>
      </c>
      <c r="F241" s="1" t="n">
        <v>2.603</v>
      </c>
      <c r="G241" s="1" t="n">
        <v>-0.003219</v>
      </c>
    </row>
    <row r="242">
      <c r="A242" s="2" t="inlineStr">
        <is>
          <t>A6</t>
        </is>
      </c>
      <c r="B242" s="2" t="n">
        <v>6</v>
      </c>
      <c r="C242" s="2">
        <f>_xlfn.XLOOKUP(B242,Results!$B$23:$B$119,Results!$D$23:$D$119)</f>
        <v/>
      </c>
      <c r="D242" s="2" t="n">
        <v>19</v>
      </c>
      <c r="E242" s="2" t="inlineStr">
        <is>
          <t>CHO</t>
        </is>
      </c>
      <c r="F242" s="2" t="n">
        <v>2.6117</v>
      </c>
      <c r="G242" s="2" t="n">
        <v>-0.003506</v>
      </c>
    </row>
    <row r="243">
      <c r="A243" s="1" t="inlineStr">
        <is>
          <t>A6</t>
        </is>
      </c>
      <c r="B243" s="1" t="n">
        <v>6</v>
      </c>
      <c r="C243" s="2">
        <f>_xlfn.XLOOKUP(B243,Results!$B$23:$B$119,Results!$D$23:$D$119)</f>
        <v/>
      </c>
      <c r="D243" s="1" t="n">
        <v>20</v>
      </c>
      <c r="E243" s="1" t="inlineStr">
        <is>
          <t>CHO</t>
        </is>
      </c>
      <c r="F243" s="1" t="n">
        <v>2.6238</v>
      </c>
      <c r="G243" s="1" t="n">
        <v>-0.000249</v>
      </c>
    </row>
    <row r="244">
      <c r="A244" s="2" t="inlineStr">
        <is>
          <t>A6</t>
        </is>
      </c>
      <c r="B244" s="2" t="n">
        <v>6</v>
      </c>
      <c r="C244" s="2">
        <f>_xlfn.XLOOKUP(B244,Results!$B$23:$B$119,Results!$D$23:$D$119)</f>
        <v/>
      </c>
      <c r="D244" s="2" t="n">
        <v>21</v>
      </c>
      <c r="E244" s="2" t="inlineStr">
        <is>
          <t>CHO</t>
        </is>
      </c>
      <c r="F244" s="2" t="n">
        <v>2.6388</v>
      </c>
      <c r="G244" s="2" t="n">
        <v>0.005773</v>
      </c>
    </row>
    <row r="245">
      <c r="A245" s="1" t="inlineStr">
        <is>
          <t>A6</t>
        </is>
      </c>
      <c r="B245" s="1" t="n">
        <v>6</v>
      </c>
      <c r="C245" s="2">
        <f>_xlfn.XLOOKUP(B245,Results!$B$23:$B$119,Results!$D$23:$D$119)</f>
        <v/>
      </c>
      <c r="D245" s="1" t="n">
        <v>22</v>
      </c>
      <c r="E245" s="1" t="inlineStr">
        <is>
          <t>CHO</t>
        </is>
      </c>
      <c r="F245" s="1" t="n">
        <v>2.6445</v>
      </c>
      <c r="G245" s="1" t="n">
        <v>0.002548</v>
      </c>
    </row>
    <row r="246">
      <c r="A246" s="2" t="inlineStr">
        <is>
          <t>A6</t>
        </is>
      </c>
      <c r="B246" s="2" t="n">
        <v>6</v>
      </c>
      <c r="C246" s="2">
        <f>_xlfn.XLOOKUP(B246,Results!$B$23:$B$119,Results!$D$23:$D$119)</f>
        <v/>
      </c>
      <c r="D246" s="2" t="n">
        <v>23</v>
      </c>
      <c r="E246" s="2" t="inlineStr">
        <is>
          <t>CHO</t>
        </is>
      </c>
      <c r="F246" s="2" t="n">
        <v>2.6559</v>
      </c>
      <c r="G246" s="2" t="n">
        <v>0.005049</v>
      </c>
    </row>
    <row r="247">
      <c r="A247" s="1" t="inlineStr">
        <is>
          <t>A6</t>
        </is>
      </c>
      <c r="B247" s="1" t="n">
        <v>6</v>
      </c>
      <c r="C247" s="2">
        <f>_xlfn.XLOOKUP(B247,Results!$B$23:$B$119,Results!$D$23:$D$119)</f>
        <v/>
      </c>
      <c r="D247" s="1" t="n">
        <v>24</v>
      </c>
      <c r="E247" s="1" t="inlineStr">
        <is>
          <t>CHO</t>
        </is>
      </c>
      <c r="F247" s="1" t="n">
        <v>2.662</v>
      </c>
      <c r="G247" s="1" t="n">
        <v>0.002266</v>
      </c>
    </row>
    <row r="248">
      <c r="A248" s="2" t="inlineStr">
        <is>
          <t>A6</t>
        </is>
      </c>
      <c r="B248" s="2" t="n">
        <v>6</v>
      </c>
      <c r="C248" s="2">
        <f>_xlfn.XLOOKUP(B248,Results!$B$23:$B$119,Results!$D$23:$D$119)</f>
        <v/>
      </c>
      <c r="D248" s="2" t="n">
        <v>25</v>
      </c>
      <c r="E248" s="2" t="inlineStr">
        <is>
          <t>CHO</t>
        </is>
      </c>
      <c r="F248" s="2" t="n">
        <v>2.6669</v>
      </c>
      <c r="G248" s="2" t="n">
        <v>-0.001704</v>
      </c>
    </row>
    <row r="249">
      <c r="A249" s="1" t="inlineStr">
        <is>
          <t>A6</t>
        </is>
      </c>
      <c r="B249" s="1" t="n">
        <v>6</v>
      </c>
      <c r="C249" s="2">
        <f>_xlfn.XLOOKUP(B249,Results!$B$23:$B$119,Results!$D$23:$D$119)</f>
        <v/>
      </c>
      <c r="D249" s="1" t="n">
        <v>26</v>
      </c>
      <c r="E249" s="1" t="inlineStr">
        <is>
          <t>CHO</t>
        </is>
      </c>
      <c r="F249" s="1" t="n">
        <v>2.6763</v>
      </c>
      <c r="G249" s="1" t="n">
        <v>-0.001248</v>
      </c>
    </row>
    <row r="250">
      <c r="A250" s="2" t="inlineStr">
        <is>
          <t>A6</t>
        </is>
      </c>
      <c r="B250" s="2" t="n">
        <v>6</v>
      </c>
      <c r="C250" s="2">
        <f>_xlfn.XLOOKUP(B250,Results!$B$23:$B$119,Results!$D$23:$D$119)</f>
        <v/>
      </c>
      <c r="D250" s="2" t="n">
        <v>27</v>
      </c>
      <c r="E250" s="2" t="inlineStr">
        <is>
          <t>CHO</t>
        </is>
      </c>
      <c r="F250" s="2" t="n">
        <v>2.6901</v>
      </c>
      <c r="G250" s="2" t="n">
        <v>0.003651</v>
      </c>
    </row>
    <row r="251">
      <c r="A251" s="1" t="inlineStr">
        <is>
          <t>A6</t>
        </is>
      </c>
      <c r="B251" s="1" t="n">
        <v>6</v>
      </c>
      <c r="C251" s="2">
        <f>_xlfn.XLOOKUP(B251,Results!$B$23:$B$119,Results!$D$23:$D$119)</f>
        <v/>
      </c>
      <c r="D251" s="1" t="n">
        <v>28</v>
      </c>
      <c r="E251" s="1" t="inlineStr">
        <is>
          <t>CHO</t>
        </is>
      </c>
      <c r="F251" s="1" t="n">
        <v>2.7096</v>
      </c>
      <c r="G251" s="1" t="n">
        <v>0.014256</v>
      </c>
    </row>
    <row r="252">
      <c r="A252" s="2" t="inlineStr">
        <is>
          <t>A6</t>
        </is>
      </c>
      <c r="B252" s="2" t="n">
        <v>6</v>
      </c>
      <c r="C252" s="2">
        <f>_xlfn.XLOOKUP(B252,Results!$B$23:$B$119,Results!$D$23:$D$119)</f>
        <v/>
      </c>
      <c r="D252" s="2" t="n">
        <v>29</v>
      </c>
      <c r="E252" s="2" t="inlineStr">
        <is>
          <t>CHO</t>
        </is>
      </c>
      <c r="F252" s="2" t="n">
        <v>2.7266</v>
      </c>
      <c r="G252" s="2" t="n">
        <v>0.022279</v>
      </c>
    </row>
    <row r="253">
      <c r="A253" s="1" t="inlineStr">
        <is>
          <t>A6</t>
        </is>
      </c>
      <c r="B253" s="1" t="n">
        <v>6</v>
      </c>
      <c r="C253" s="2">
        <f>_xlfn.XLOOKUP(B253,Results!$B$23:$B$119,Results!$D$23:$D$119)</f>
        <v/>
      </c>
      <c r="D253" s="1" t="n">
        <v>30</v>
      </c>
      <c r="E253" s="1" t="inlineStr">
        <is>
          <t>CHO</t>
        </is>
      </c>
      <c r="F253" s="1" t="n">
        <v>2.7489</v>
      </c>
      <c r="G253" s="1" t="n">
        <v>0.035695</v>
      </c>
    </row>
    <row r="254">
      <c r="A254" s="2" t="inlineStr">
        <is>
          <t>A6</t>
        </is>
      </c>
      <c r="B254" s="2" t="n">
        <v>6</v>
      </c>
      <c r="C254" s="2">
        <f>_xlfn.XLOOKUP(B254,Results!$B$23:$B$119,Results!$D$23:$D$119)</f>
        <v/>
      </c>
      <c r="D254" s="2" t="n">
        <v>31</v>
      </c>
      <c r="E254" s="2" t="inlineStr">
        <is>
          <t>CHO</t>
        </is>
      </c>
      <c r="F254" s="2" t="n">
        <v>2.7933</v>
      </c>
      <c r="G254" s="2" t="n">
        <v>0.07115299999999999</v>
      </c>
    </row>
    <row r="255">
      <c r="A255" s="1" t="inlineStr">
        <is>
          <t>A6</t>
        </is>
      </c>
      <c r="B255" s="1" t="n">
        <v>6</v>
      </c>
      <c r="C255" s="2">
        <f>_xlfn.XLOOKUP(B255,Results!$B$23:$B$119,Results!$D$23:$D$119)</f>
        <v/>
      </c>
      <c r="D255" s="1" t="n">
        <v>32</v>
      </c>
      <c r="E255" s="1" t="inlineStr">
        <is>
          <t>CHO</t>
        </is>
      </c>
      <c r="F255" s="1" t="n">
        <v>2.858</v>
      </c>
      <c r="G255" s="1" t="n">
        <v>0.126982</v>
      </c>
    </row>
    <row r="256">
      <c r="A256" s="2" t="inlineStr">
        <is>
          <t>A6</t>
        </is>
      </c>
      <c r="B256" s="2" t="n">
        <v>6</v>
      </c>
      <c r="C256" s="2">
        <f>_xlfn.XLOOKUP(B256,Results!$B$23:$B$119,Results!$D$23:$D$119)</f>
        <v/>
      </c>
      <c r="D256" s="2" t="n">
        <v>33</v>
      </c>
      <c r="E256" s="2" t="inlineStr">
        <is>
          <t>CHO</t>
        </is>
      </c>
      <c r="F256" s="2" t="n">
        <v>2.9678</v>
      </c>
      <c r="G256" s="2" t="n">
        <v>0.227897</v>
      </c>
    </row>
    <row r="257">
      <c r="A257" s="1" t="inlineStr">
        <is>
          <t>A6</t>
        </is>
      </c>
      <c r="B257" s="1" t="n">
        <v>6</v>
      </c>
      <c r="C257" s="2">
        <f>_xlfn.XLOOKUP(B257,Results!$B$23:$B$119,Results!$D$23:$D$119)</f>
        <v/>
      </c>
      <c r="D257" s="1" t="n">
        <v>34</v>
      </c>
      <c r="E257" s="1" t="inlineStr">
        <is>
          <t>CHO</t>
        </is>
      </c>
      <c r="F257" s="1" t="n">
        <v>3.1634</v>
      </c>
      <c r="G257" s="1" t="n">
        <v>0.414562</v>
      </c>
    </row>
    <row r="258">
      <c r="A258" s="2" t="inlineStr">
        <is>
          <t>A6</t>
        </is>
      </c>
      <c r="B258" s="2" t="n">
        <v>6</v>
      </c>
      <c r="C258" s="2">
        <f>_xlfn.XLOOKUP(B258,Results!$B$23:$B$119,Results!$D$23:$D$119)</f>
        <v/>
      </c>
      <c r="D258" s="2" t="n">
        <v>35</v>
      </c>
      <c r="E258" s="2" t="inlineStr">
        <is>
          <t>CHO</t>
        </is>
      </c>
      <c r="F258" s="2" t="n">
        <v>3.4552</v>
      </c>
      <c r="G258" s="2" t="n">
        <v>0.6974399999999999</v>
      </c>
    </row>
    <row r="259">
      <c r="A259" s="1" t="inlineStr">
        <is>
          <t>A6</t>
        </is>
      </c>
      <c r="B259" s="1" t="n">
        <v>6</v>
      </c>
      <c r="C259" s="2">
        <f>_xlfn.XLOOKUP(B259,Results!$B$23:$B$119,Results!$D$23:$D$119)</f>
        <v/>
      </c>
      <c r="D259" s="1" t="n">
        <v>36</v>
      </c>
      <c r="E259" s="1" t="inlineStr">
        <is>
          <t>CHO</t>
        </is>
      </c>
      <c r="F259" s="1" t="n">
        <v>3.8135</v>
      </c>
      <c r="G259" s="1" t="n">
        <v>1.046777</v>
      </c>
    </row>
    <row r="260">
      <c r="A260" s="2" t="inlineStr">
        <is>
          <t>A6</t>
        </is>
      </c>
      <c r="B260" s="2" t="n">
        <v>6</v>
      </c>
      <c r="C260" s="2">
        <f>_xlfn.XLOOKUP(B260,Results!$B$23:$B$119,Results!$D$23:$D$119)</f>
        <v/>
      </c>
      <c r="D260" s="2" t="n">
        <v>37</v>
      </c>
      <c r="E260" s="2" t="inlineStr">
        <is>
          <t>CHO</t>
        </is>
      </c>
      <c r="F260" s="2" t="n">
        <v>4.2072</v>
      </c>
      <c r="G260" s="2" t="n">
        <v>1.431628</v>
      </c>
    </row>
    <row r="261">
      <c r="A261" s="1" t="inlineStr">
        <is>
          <t>A6</t>
        </is>
      </c>
      <c r="B261" s="1" t="n">
        <v>6</v>
      </c>
      <c r="C261" s="2">
        <f>_xlfn.XLOOKUP(B261,Results!$B$23:$B$119,Results!$D$23:$D$119)</f>
        <v/>
      </c>
      <c r="D261" s="1" t="n">
        <v>38</v>
      </c>
      <c r="E261" s="1" t="inlineStr">
        <is>
          <t>CHO</t>
        </is>
      </c>
      <c r="F261" s="1" t="n">
        <v>4.602</v>
      </c>
      <c r="G261" s="1" t="n">
        <v>1.817522</v>
      </c>
    </row>
    <row r="262">
      <c r="A262" s="2" t="inlineStr">
        <is>
          <t>A6</t>
        </is>
      </c>
      <c r="B262" s="2" t="n">
        <v>6</v>
      </c>
      <c r="C262" s="2">
        <f>_xlfn.XLOOKUP(B262,Results!$B$23:$B$119,Results!$D$23:$D$119)</f>
        <v/>
      </c>
      <c r="D262" s="2" t="n">
        <v>39</v>
      </c>
      <c r="E262" s="2" t="inlineStr">
        <is>
          <t>CHO</t>
        </is>
      </c>
      <c r="F262" s="2" t="n">
        <v>4.9472</v>
      </c>
      <c r="G262" s="2" t="n">
        <v>2.153747</v>
      </c>
    </row>
    <row r="263">
      <c r="A263" s="1" t="inlineStr">
        <is>
          <t>A6</t>
        </is>
      </c>
      <c r="B263" s="1" t="n">
        <v>6</v>
      </c>
      <c r="C263" s="2">
        <f>_xlfn.XLOOKUP(B263,Results!$B$23:$B$119,Results!$D$23:$D$119)</f>
        <v/>
      </c>
      <c r="D263" s="1" t="n">
        <v>40</v>
      </c>
      <c r="E263" s="1" t="inlineStr">
        <is>
          <t>CHO</t>
        </is>
      </c>
      <c r="F263" s="1" t="n">
        <v>5.2108</v>
      </c>
      <c r="G263" s="1" t="n">
        <v>2.408473</v>
      </c>
    </row>
    <row r="264">
      <c r="A264" s="2" t="inlineStr">
        <is>
          <t>A7</t>
        </is>
      </c>
      <c r="B264" s="2" t="n">
        <v>7</v>
      </c>
      <c r="C264" s="2">
        <f>_xlfn.XLOOKUP(B264,Results!$B$23:$B$119,Results!$D$23:$D$119)</f>
        <v/>
      </c>
      <c r="D264" s="2" t="n">
        <v>1</v>
      </c>
      <c r="E264" s="2" t="inlineStr">
        <is>
          <t>CHO</t>
        </is>
      </c>
      <c r="F264" s="2" t="n">
        <v>2.4676</v>
      </c>
      <c r="G264" s="2" t="n">
        <v>0.00674</v>
      </c>
    </row>
    <row r="265">
      <c r="A265" s="1" t="inlineStr">
        <is>
          <t>A7</t>
        </is>
      </c>
      <c r="B265" s="1" t="n">
        <v>7</v>
      </c>
      <c r="C265" s="2">
        <f>_xlfn.XLOOKUP(B265,Results!$B$23:$B$119,Results!$D$23:$D$119)</f>
        <v/>
      </c>
      <c r="D265" s="1" t="n">
        <v>2</v>
      </c>
      <c r="E265" s="1" t="inlineStr">
        <is>
          <t>CHO</t>
        </is>
      </c>
      <c r="F265" s="1" t="n">
        <v>2.471</v>
      </c>
      <c r="G265" s="1" t="n">
        <v>0.001472</v>
      </c>
    </row>
    <row r="266">
      <c r="A266" s="2" t="inlineStr">
        <is>
          <t>A7</t>
        </is>
      </c>
      <c r="B266" s="2" t="n">
        <v>7</v>
      </c>
      <c r="C266" s="2">
        <f>_xlfn.XLOOKUP(B266,Results!$B$23:$B$119,Results!$D$23:$D$119)</f>
        <v/>
      </c>
      <c r="D266" s="2" t="n">
        <v>3</v>
      </c>
      <c r="E266" s="2" t="inlineStr">
        <is>
          <t>CHO</t>
        </is>
      </c>
      <c r="F266" s="2" t="n">
        <v>2.4787</v>
      </c>
      <c r="G266" s="2" t="n">
        <v>0.000433</v>
      </c>
    </row>
    <row r="267">
      <c r="A267" s="1" t="inlineStr">
        <is>
          <t>A7</t>
        </is>
      </c>
      <c r="B267" s="1" t="n">
        <v>7</v>
      </c>
      <c r="C267" s="2">
        <f>_xlfn.XLOOKUP(B267,Results!$B$23:$B$119,Results!$D$23:$D$119)</f>
        <v/>
      </c>
      <c r="D267" s="1" t="n">
        <v>4</v>
      </c>
      <c r="E267" s="1" t="inlineStr">
        <is>
          <t>CHO</t>
        </is>
      </c>
      <c r="F267" s="1" t="n">
        <v>2.4867</v>
      </c>
      <c r="G267" s="1" t="n">
        <v>-0.000279</v>
      </c>
    </row>
    <row r="268">
      <c r="A268" s="2" t="inlineStr">
        <is>
          <t>A7</t>
        </is>
      </c>
      <c r="B268" s="2" t="n">
        <v>7</v>
      </c>
      <c r="C268" s="2">
        <f>_xlfn.XLOOKUP(B268,Results!$B$23:$B$119,Results!$D$23:$D$119)</f>
        <v/>
      </c>
      <c r="D268" s="2" t="n">
        <v>5</v>
      </c>
      <c r="E268" s="2" t="inlineStr">
        <is>
          <t>CHO</t>
        </is>
      </c>
      <c r="F268" s="2" t="n">
        <v>2.4964</v>
      </c>
      <c r="G268" s="2" t="n">
        <v>0.000806</v>
      </c>
    </row>
    <row r="269">
      <c r="A269" s="1" t="inlineStr">
        <is>
          <t>A7</t>
        </is>
      </c>
      <c r="B269" s="1" t="n">
        <v>7</v>
      </c>
      <c r="C269" s="2">
        <f>_xlfn.XLOOKUP(B269,Results!$B$23:$B$119,Results!$D$23:$D$119)</f>
        <v/>
      </c>
      <c r="D269" s="1" t="n">
        <v>6</v>
      </c>
      <c r="E269" s="1" t="inlineStr">
        <is>
          <t>CHO</t>
        </is>
      </c>
      <c r="F269" s="1" t="n">
        <v>2.5028</v>
      </c>
      <c r="G269" s="1" t="n">
        <v>-0.001491</v>
      </c>
    </row>
    <row r="270">
      <c r="A270" s="2" t="inlineStr">
        <is>
          <t>A7</t>
        </is>
      </c>
      <c r="B270" s="2" t="n">
        <v>7</v>
      </c>
      <c r="C270" s="2">
        <f>_xlfn.XLOOKUP(B270,Results!$B$23:$B$119,Results!$D$23:$D$119)</f>
        <v/>
      </c>
      <c r="D270" s="2" t="n">
        <v>7</v>
      </c>
      <c r="E270" s="2" t="inlineStr">
        <is>
          <t>CHO</t>
        </is>
      </c>
      <c r="F270" s="2" t="n">
        <v>2.5139</v>
      </c>
      <c r="G270" s="2" t="n">
        <v>0.000861</v>
      </c>
    </row>
    <row r="271">
      <c r="A271" s="1" t="inlineStr">
        <is>
          <t>A7</t>
        </is>
      </c>
      <c r="B271" s="1" t="n">
        <v>7</v>
      </c>
      <c r="C271" s="2">
        <f>_xlfn.XLOOKUP(B271,Results!$B$23:$B$119,Results!$D$23:$D$119)</f>
        <v/>
      </c>
      <c r="D271" s="1" t="n">
        <v>8</v>
      </c>
      <c r="E271" s="1" t="inlineStr">
        <is>
          <t>CHO</t>
        </is>
      </c>
      <c r="F271" s="1" t="n">
        <v>2.5215</v>
      </c>
      <c r="G271" s="1" t="n">
        <v>-0.000283</v>
      </c>
    </row>
    <row r="272">
      <c r="A272" s="2" t="inlineStr">
        <is>
          <t>A7</t>
        </is>
      </c>
      <c r="B272" s="2" t="n">
        <v>7</v>
      </c>
      <c r="C272" s="2">
        <f>_xlfn.XLOOKUP(B272,Results!$B$23:$B$119,Results!$D$23:$D$119)</f>
        <v/>
      </c>
      <c r="D272" s="2" t="n">
        <v>9</v>
      </c>
      <c r="E272" s="2" t="inlineStr">
        <is>
          <t>CHO</t>
        </is>
      </c>
      <c r="F272" s="2" t="n">
        <v>2.529</v>
      </c>
      <c r="G272" s="2" t="n">
        <v>-0.001438</v>
      </c>
    </row>
    <row r="273">
      <c r="A273" s="1" t="inlineStr">
        <is>
          <t>A7</t>
        </is>
      </c>
      <c r="B273" s="1" t="n">
        <v>7</v>
      </c>
      <c r="C273" s="2">
        <f>_xlfn.XLOOKUP(B273,Results!$B$23:$B$119,Results!$D$23:$D$119)</f>
        <v/>
      </c>
      <c r="D273" s="1" t="n">
        <v>10</v>
      </c>
      <c r="E273" s="1" t="inlineStr">
        <is>
          <t>CHO</t>
        </is>
      </c>
      <c r="F273" s="1" t="n">
        <v>2.5405</v>
      </c>
      <c r="G273" s="1" t="n">
        <v>0.001391</v>
      </c>
    </row>
    <row r="274">
      <c r="A274" s="2" t="inlineStr">
        <is>
          <t>A7</t>
        </is>
      </c>
      <c r="B274" s="2" t="n">
        <v>7</v>
      </c>
      <c r="C274" s="2">
        <f>_xlfn.XLOOKUP(B274,Results!$B$23:$B$119,Results!$D$23:$D$119)</f>
        <v/>
      </c>
      <c r="D274" s="2" t="n">
        <v>11</v>
      </c>
      <c r="E274" s="2" t="inlineStr">
        <is>
          <t>CHO</t>
        </is>
      </c>
      <c r="F274" s="2" t="n">
        <v>2.5573</v>
      </c>
      <c r="G274" s="2" t="n">
        <v>0.009415</v>
      </c>
    </row>
    <row r="275">
      <c r="A275" s="1" t="inlineStr">
        <is>
          <t>A7</t>
        </is>
      </c>
      <c r="B275" s="1" t="n">
        <v>7</v>
      </c>
      <c r="C275" s="2">
        <f>_xlfn.XLOOKUP(B275,Results!$B$23:$B$119,Results!$D$23:$D$119)</f>
        <v/>
      </c>
      <c r="D275" s="1" t="n">
        <v>12</v>
      </c>
      <c r="E275" s="1" t="inlineStr">
        <is>
          <t>CHO</t>
        </is>
      </c>
      <c r="F275" s="1" t="n">
        <v>2.5695</v>
      </c>
      <c r="G275" s="1" t="n">
        <v>0.012917</v>
      </c>
    </row>
    <row r="276">
      <c r="A276" s="2" t="inlineStr">
        <is>
          <t>A7</t>
        </is>
      </c>
      <c r="B276" s="2" t="n">
        <v>7</v>
      </c>
      <c r="C276" s="2">
        <f>_xlfn.XLOOKUP(B276,Results!$B$23:$B$119,Results!$D$23:$D$119)</f>
        <v/>
      </c>
      <c r="D276" s="2" t="n">
        <v>13</v>
      </c>
      <c r="E276" s="2" t="inlineStr">
        <is>
          <t>CHO</t>
        </is>
      </c>
      <c r="F276" s="2" t="n">
        <v>2.5933</v>
      </c>
      <c r="G276" s="2" t="n">
        <v>0.028092</v>
      </c>
    </row>
    <row r="277">
      <c r="A277" s="1" t="inlineStr">
        <is>
          <t>A7</t>
        </is>
      </c>
      <c r="B277" s="1" t="n">
        <v>7</v>
      </c>
      <c r="C277" s="2">
        <f>_xlfn.XLOOKUP(B277,Results!$B$23:$B$119,Results!$D$23:$D$119)</f>
        <v/>
      </c>
      <c r="D277" s="1" t="n">
        <v>14</v>
      </c>
      <c r="E277" s="1" t="inlineStr">
        <is>
          <t>CHO</t>
        </is>
      </c>
      <c r="F277" s="1" t="n">
        <v>2.6282</v>
      </c>
      <c r="G277" s="1" t="n">
        <v>0.054272</v>
      </c>
    </row>
    <row r="278">
      <c r="A278" s="2" t="inlineStr">
        <is>
          <t>A7</t>
        </is>
      </c>
      <c r="B278" s="2" t="n">
        <v>7</v>
      </c>
      <c r="C278" s="2">
        <f>_xlfn.XLOOKUP(B278,Results!$B$23:$B$119,Results!$D$23:$D$119)</f>
        <v/>
      </c>
      <c r="D278" s="2" t="n">
        <v>15</v>
      </c>
      <c r="E278" s="2" t="inlineStr">
        <is>
          <t>CHO</t>
        </is>
      </c>
      <c r="F278" s="2" t="n">
        <v>2.6961</v>
      </c>
      <c r="G278" s="2" t="n">
        <v>0.11349</v>
      </c>
    </row>
    <row r="279">
      <c r="A279" s="1" t="inlineStr">
        <is>
          <t>A7</t>
        </is>
      </c>
      <c r="B279" s="1" t="n">
        <v>7</v>
      </c>
      <c r="C279" s="2">
        <f>_xlfn.XLOOKUP(B279,Results!$B$23:$B$119,Results!$D$23:$D$119)</f>
        <v/>
      </c>
      <c r="D279" s="1" t="n">
        <v>16</v>
      </c>
      <c r="E279" s="1" t="inlineStr">
        <is>
          <t>CHO</t>
        </is>
      </c>
      <c r="F279" s="1" t="n">
        <v>2.8068</v>
      </c>
      <c r="G279" s="1" t="n">
        <v>0.215464</v>
      </c>
    </row>
    <row r="280">
      <c r="A280" s="2" t="inlineStr">
        <is>
          <t>A7</t>
        </is>
      </c>
      <c r="B280" s="2" t="n">
        <v>7</v>
      </c>
      <c r="C280" s="2">
        <f>_xlfn.XLOOKUP(B280,Results!$B$23:$B$119,Results!$D$23:$D$119)</f>
        <v/>
      </c>
      <c r="D280" s="2" t="n">
        <v>17</v>
      </c>
      <c r="E280" s="2" t="inlineStr">
        <is>
          <t>CHO</t>
        </is>
      </c>
      <c r="F280" s="2" t="n">
        <v>2.9919</v>
      </c>
      <c r="G280" s="2" t="n">
        <v>0.391885</v>
      </c>
    </row>
    <row r="281">
      <c r="A281" s="1" t="inlineStr">
        <is>
          <t>A7</t>
        </is>
      </c>
      <c r="B281" s="1" t="n">
        <v>7</v>
      </c>
      <c r="C281" s="2">
        <f>_xlfn.XLOOKUP(B281,Results!$B$23:$B$119,Results!$D$23:$D$119)</f>
        <v/>
      </c>
      <c r="D281" s="1" t="n">
        <v>18</v>
      </c>
      <c r="E281" s="1" t="inlineStr">
        <is>
          <t>CHO</t>
        </is>
      </c>
      <c r="F281" s="1" t="n">
        <v>3.2712</v>
      </c>
      <c r="G281" s="1" t="n">
        <v>0.66246</v>
      </c>
    </row>
    <row r="282">
      <c r="A282" s="2" t="inlineStr">
        <is>
          <t>A7</t>
        </is>
      </c>
      <c r="B282" s="2" t="n">
        <v>7</v>
      </c>
      <c r="C282" s="2">
        <f>_xlfn.XLOOKUP(B282,Results!$B$23:$B$119,Results!$D$23:$D$119)</f>
        <v/>
      </c>
      <c r="D282" s="2" t="n">
        <v>19</v>
      </c>
      <c r="E282" s="2" t="inlineStr">
        <is>
          <t>CHO</t>
        </is>
      </c>
      <c r="F282" s="2" t="n">
        <v>3.6461</v>
      </c>
      <c r="G282" s="2" t="n">
        <v>1.028702</v>
      </c>
    </row>
    <row r="283">
      <c r="A283" s="1" t="inlineStr">
        <is>
          <t>A7</t>
        </is>
      </c>
      <c r="B283" s="1" t="n">
        <v>7</v>
      </c>
      <c r="C283" s="2">
        <f>_xlfn.XLOOKUP(B283,Results!$B$23:$B$119,Results!$D$23:$D$119)</f>
        <v/>
      </c>
      <c r="D283" s="1" t="n">
        <v>20</v>
      </c>
      <c r="E283" s="1" t="inlineStr">
        <is>
          <t>CHO</t>
        </is>
      </c>
      <c r="F283" s="1" t="n">
        <v>4.0844</v>
      </c>
      <c r="G283" s="1" t="n">
        <v>1.458295</v>
      </c>
    </row>
    <row r="284">
      <c r="A284" s="2" t="inlineStr">
        <is>
          <t>A7</t>
        </is>
      </c>
      <c r="B284" s="2" t="n">
        <v>7</v>
      </c>
      <c r="C284" s="2">
        <f>_xlfn.XLOOKUP(B284,Results!$B$23:$B$119,Results!$D$23:$D$119)</f>
        <v/>
      </c>
      <c r="D284" s="2" t="n">
        <v>21</v>
      </c>
      <c r="E284" s="2" t="inlineStr">
        <is>
          <t>CHO</t>
        </is>
      </c>
      <c r="F284" s="2" t="n">
        <v>4.5386</v>
      </c>
      <c r="G284" s="2" t="n">
        <v>1.903778</v>
      </c>
    </row>
    <row r="285">
      <c r="A285" s="1" t="inlineStr">
        <is>
          <t>A7</t>
        </is>
      </c>
      <c r="B285" s="1" t="n">
        <v>7</v>
      </c>
      <c r="C285" s="2">
        <f>_xlfn.XLOOKUP(B285,Results!$B$23:$B$119,Results!$D$23:$D$119)</f>
        <v/>
      </c>
      <c r="D285" s="1" t="n">
        <v>22</v>
      </c>
      <c r="E285" s="1" t="inlineStr">
        <is>
          <t>CHO</t>
        </is>
      </c>
      <c r="F285" s="1" t="n">
        <v>4.9692</v>
      </c>
      <c r="G285" s="1" t="n">
        <v>2.325686</v>
      </c>
    </row>
    <row r="286">
      <c r="A286" s="2" t="inlineStr">
        <is>
          <t>A7</t>
        </is>
      </c>
      <c r="B286" s="2" t="n">
        <v>7</v>
      </c>
      <c r="C286" s="2">
        <f>_xlfn.XLOOKUP(B286,Results!$B$23:$B$119,Results!$D$23:$D$119)</f>
        <v/>
      </c>
      <c r="D286" s="2" t="n">
        <v>23</v>
      </c>
      <c r="E286" s="2" t="inlineStr">
        <is>
          <t>CHO</t>
        </is>
      </c>
      <c r="F286" s="2" t="n">
        <v>5.3707</v>
      </c>
      <c r="G286" s="2" t="n">
        <v>2.718472</v>
      </c>
    </row>
    <row r="287">
      <c r="A287" s="1" t="inlineStr">
        <is>
          <t>A7</t>
        </is>
      </c>
      <c r="B287" s="1" t="n">
        <v>7</v>
      </c>
      <c r="C287" s="2">
        <f>_xlfn.XLOOKUP(B287,Results!$B$23:$B$119,Results!$D$23:$D$119)</f>
        <v/>
      </c>
      <c r="D287" s="1" t="n">
        <v>24</v>
      </c>
      <c r="E287" s="1" t="inlineStr">
        <is>
          <t>CHO</t>
        </is>
      </c>
      <c r="F287" s="1" t="n">
        <v>5.7359</v>
      </c>
      <c r="G287" s="1" t="n">
        <v>3.074993</v>
      </c>
    </row>
    <row r="288">
      <c r="A288" s="2" t="inlineStr">
        <is>
          <t>A7</t>
        </is>
      </c>
      <c r="B288" s="2" t="n">
        <v>7</v>
      </c>
      <c r="C288" s="2">
        <f>_xlfn.XLOOKUP(B288,Results!$B$23:$B$119,Results!$D$23:$D$119)</f>
        <v/>
      </c>
      <c r="D288" s="2" t="n">
        <v>25</v>
      </c>
      <c r="E288" s="2" t="inlineStr">
        <is>
          <t>CHO</t>
        </is>
      </c>
      <c r="F288" s="2" t="n">
        <v>6.0597</v>
      </c>
      <c r="G288" s="2" t="n">
        <v>3.39008</v>
      </c>
    </row>
    <row r="289">
      <c r="A289" s="1" t="inlineStr">
        <is>
          <t>A7</t>
        </is>
      </c>
      <c r="B289" s="1" t="n">
        <v>7</v>
      </c>
      <c r="C289" s="2">
        <f>_xlfn.XLOOKUP(B289,Results!$B$23:$B$119,Results!$D$23:$D$119)</f>
        <v/>
      </c>
      <c r="D289" s="1" t="n">
        <v>26</v>
      </c>
      <c r="E289" s="1" t="inlineStr">
        <is>
          <t>CHO</t>
        </is>
      </c>
      <c r="F289" s="1" t="n">
        <v>6.3233</v>
      </c>
      <c r="G289" s="1" t="n">
        <v>3.644971</v>
      </c>
    </row>
    <row r="290">
      <c r="A290" s="2" t="inlineStr">
        <is>
          <t>A7</t>
        </is>
      </c>
      <c r="B290" s="2" t="n">
        <v>7</v>
      </c>
      <c r="C290" s="2">
        <f>_xlfn.XLOOKUP(B290,Results!$B$23:$B$119,Results!$D$23:$D$119)</f>
        <v/>
      </c>
      <c r="D290" s="2" t="n">
        <v>27</v>
      </c>
      <c r="E290" s="2" t="inlineStr">
        <is>
          <t>CHO</t>
        </is>
      </c>
      <c r="F290" s="2" t="n">
        <v>6.5635</v>
      </c>
      <c r="G290" s="2" t="n">
        <v>3.876485</v>
      </c>
    </row>
    <row r="291">
      <c r="A291" s="1" t="inlineStr">
        <is>
          <t>A7</t>
        </is>
      </c>
      <c r="B291" s="1" t="n">
        <v>7</v>
      </c>
      <c r="C291" s="2">
        <f>_xlfn.XLOOKUP(B291,Results!$B$23:$B$119,Results!$D$23:$D$119)</f>
        <v/>
      </c>
      <c r="D291" s="1" t="n">
        <v>28</v>
      </c>
      <c r="E291" s="1" t="inlineStr">
        <is>
          <t>CHO</t>
        </is>
      </c>
      <c r="F291" s="1" t="n">
        <v>6.7702</v>
      </c>
      <c r="G291" s="1" t="n">
        <v>4.074437</v>
      </c>
    </row>
    <row r="292">
      <c r="A292" s="2" t="inlineStr">
        <is>
          <t>A7</t>
        </is>
      </c>
      <c r="B292" s="2" t="n">
        <v>7</v>
      </c>
      <c r="C292" s="2">
        <f>_xlfn.XLOOKUP(B292,Results!$B$23:$B$119,Results!$D$23:$D$119)</f>
        <v/>
      </c>
      <c r="D292" s="2" t="n">
        <v>29</v>
      </c>
      <c r="E292" s="2" t="inlineStr">
        <is>
          <t>CHO</t>
        </is>
      </c>
      <c r="F292" s="2" t="n">
        <v>6.9527</v>
      </c>
      <c r="G292" s="2" t="n">
        <v>4.24829</v>
      </c>
    </row>
    <row r="293">
      <c r="A293" s="1" t="inlineStr">
        <is>
          <t>A7</t>
        </is>
      </c>
      <c r="B293" s="1" t="n">
        <v>7</v>
      </c>
      <c r="C293" s="2">
        <f>_xlfn.XLOOKUP(B293,Results!$B$23:$B$119,Results!$D$23:$D$119)</f>
        <v/>
      </c>
      <c r="D293" s="1" t="n">
        <v>30</v>
      </c>
      <c r="E293" s="1" t="inlineStr">
        <is>
          <t>CHO</t>
        </is>
      </c>
      <c r="F293" s="1" t="n">
        <v>7.1176</v>
      </c>
      <c r="G293" s="1" t="n">
        <v>4.404527</v>
      </c>
    </row>
    <row r="294">
      <c r="A294" s="2" t="inlineStr">
        <is>
          <t>A7</t>
        </is>
      </c>
      <c r="B294" s="2" t="n">
        <v>7</v>
      </c>
      <c r="C294" s="2">
        <f>_xlfn.XLOOKUP(B294,Results!$B$23:$B$119,Results!$D$23:$D$119)</f>
        <v/>
      </c>
      <c r="D294" s="2" t="n">
        <v>31</v>
      </c>
      <c r="E294" s="2" t="inlineStr">
        <is>
          <t>CHO</t>
        </is>
      </c>
      <c r="F294" s="2" t="n">
        <v>7.2659</v>
      </c>
      <c r="G294" s="2" t="n">
        <v>4.544097</v>
      </c>
    </row>
    <row r="295">
      <c r="A295" s="1" t="inlineStr">
        <is>
          <t>A7</t>
        </is>
      </c>
      <c r="B295" s="1" t="n">
        <v>7</v>
      </c>
      <c r="C295" s="2">
        <f>_xlfn.XLOOKUP(B295,Results!$B$23:$B$119,Results!$D$23:$D$119)</f>
        <v/>
      </c>
      <c r="D295" s="1" t="n">
        <v>32</v>
      </c>
      <c r="E295" s="1" t="inlineStr">
        <is>
          <t>CHO</t>
        </is>
      </c>
      <c r="F295" s="1" t="n">
        <v>7.3699</v>
      </c>
      <c r="G295" s="1" t="n">
        <v>4.639385</v>
      </c>
    </row>
    <row r="296">
      <c r="A296" s="2" t="inlineStr">
        <is>
          <t>A7</t>
        </is>
      </c>
      <c r="B296" s="2" t="n">
        <v>7</v>
      </c>
      <c r="C296" s="2">
        <f>_xlfn.XLOOKUP(B296,Results!$B$23:$B$119,Results!$D$23:$D$119)</f>
        <v/>
      </c>
      <c r="D296" s="2" t="n">
        <v>33</v>
      </c>
      <c r="E296" s="2" t="inlineStr">
        <is>
          <t>CHO</t>
        </is>
      </c>
      <c r="F296" s="2" t="n">
        <v>7.4803</v>
      </c>
      <c r="G296" s="2" t="n">
        <v>4.741055</v>
      </c>
    </row>
    <row r="297">
      <c r="A297" s="1" t="inlineStr">
        <is>
          <t>A7</t>
        </is>
      </c>
      <c r="B297" s="1" t="n">
        <v>7</v>
      </c>
      <c r="C297" s="2">
        <f>_xlfn.XLOOKUP(B297,Results!$B$23:$B$119,Results!$D$23:$D$119)</f>
        <v/>
      </c>
      <c r="D297" s="1" t="n">
        <v>34</v>
      </c>
      <c r="E297" s="1" t="inlineStr">
        <is>
          <t>CHO</t>
        </is>
      </c>
      <c r="F297" s="1" t="n">
        <v>7.563</v>
      </c>
      <c r="G297" s="1" t="n">
        <v>4.815047</v>
      </c>
    </row>
    <row r="298">
      <c r="A298" s="2" t="inlineStr">
        <is>
          <t>A7</t>
        </is>
      </c>
      <c r="B298" s="2" t="n">
        <v>7</v>
      </c>
      <c r="C298" s="2">
        <f>_xlfn.XLOOKUP(B298,Results!$B$23:$B$119,Results!$D$23:$D$119)</f>
        <v/>
      </c>
      <c r="D298" s="2" t="n">
        <v>35</v>
      </c>
      <c r="E298" s="2" t="inlineStr">
        <is>
          <t>CHO</t>
        </is>
      </c>
      <c r="F298" s="2" t="n">
        <v>7.6425</v>
      </c>
      <c r="G298" s="2" t="n">
        <v>4.885907</v>
      </c>
    </row>
    <row r="299">
      <c r="A299" s="1" t="inlineStr">
        <is>
          <t>A7</t>
        </is>
      </c>
      <c r="B299" s="1" t="n">
        <v>7</v>
      </c>
      <c r="C299" s="2">
        <f>_xlfn.XLOOKUP(B299,Results!$B$23:$B$119,Results!$D$23:$D$119)</f>
        <v/>
      </c>
      <c r="D299" s="1" t="n">
        <v>36</v>
      </c>
      <c r="E299" s="1" t="inlineStr">
        <is>
          <t>CHO</t>
        </is>
      </c>
      <c r="F299" s="1" t="n">
        <v>7.7204</v>
      </c>
      <c r="G299" s="1" t="n">
        <v>4.955063</v>
      </c>
    </row>
    <row r="300">
      <c r="A300" s="2" t="inlineStr">
        <is>
          <t>A7</t>
        </is>
      </c>
      <c r="B300" s="2" t="n">
        <v>7</v>
      </c>
      <c r="C300" s="2">
        <f>_xlfn.XLOOKUP(B300,Results!$B$23:$B$119,Results!$D$23:$D$119)</f>
        <v/>
      </c>
      <c r="D300" s="2" t="n">
        <v>37</v>
      </c>
      <c r="E300" s="2" t="inlineStr">
        <is>
          <t>CHO</t>
        </is>
      </c>
      <c r="F300" s="2" t="n">
        <v>7.7921</v>
      </c>
      <c r="G300" s="2" t="n">
        <v>5.018133</v>
      </c>
    </row>
    <row r="301">
      <c r="A301" s="1" t="inlineStr">
        <is>
          <t>A7</t>
        </is>
      </c>
      <c r="B301" s="1" t="n">
        <v>7</v>
      </c>
      <c r="C301" s="2">
        <f>_xlfn.XLOOKUP(B301,Results!$B$23:$B$119,Results!$D$23:$D$119)</f>
        <v/>
      </c>
      <c r="D301" s="1" t="n">
        <v>38</v>
      </c>
      <c r="E301" s="1" t="inlineStr">
        <is>
          <t>CHO</t>
        </is>
      </c>
      <c r="F301" s="1" t="n">
        <v>7.8762</v>
      </c>
      <c r="G301" s="1" t="n">
        <v>5.093507</v>
      </c>
    </row>
    <row r="302">
      <c r="A302" s="2" t="inlineStr">
        <is>
          <t>A7</t>
        </is>
      </c>
      <c r="B302" s="2" t="n">
        <v>7</v>
      </c>
      <c r="C302" s="2">
        <f>_xlfn.XLOOKUP(B302,Results!$B$23:$B$119,Results!$D$23:$D$119)</f>
        <v/>
      </c>
      <c r="D302" s="2" t="n">
        <v>39</v>
      </c>
      <c r="E302" s="2" t="inlineStr">
        <is>
          <t>CHO</t>
        </is>
      </c>
      <c r="F302" s="2" t="n">
        <v>7.9096</v>
      </c>
      <c r="G302" s="2" t="n">
        <v>5.118217</v>
      </c>
    </row>
    <row r="303">
      <c r="A303" s="1" t="inlineStr">
        <is>
          <t>A7</t>
        </is>
      </c>
      <c r="B303" s="1" t="n">
        <v>7</v>
      </c>
      <c r="C303" s="2">
        <f>_xlfn.XLOOKUP(B303,Results!$B$23:$B$119,Results!$D$23:$D$119)</f>
        <v/>
      </c>
      <c r="D303" s="1" t="n">
        <v>40</v>
      </c>
      <c r="E303" s="1" t="inlineStr">
        <is>
          <t>CHO</t>
        </is>
      </c>
      <c r="F303" s="1" t="n">
        <v>7.9591</v>
      </c>
      <c r="G303" s="1" t="n">
        <v>5.158987</v>
      </c>
    </row>
    <row r="304">
      <c r="A304" s="2" t="inlineStr">
        <is>
          <t>A8</t>
        </is>
      </c>
      <c r="B304" s="2" t="n">
        <v>8</v>
      </c>
      <c r="C304" s="2">
        <f>_xlfn.XLOOKUP(B304,Results!$B$23:$B$119,Results!$D$23:$D$119)</f>
        <v/>
      </c>
      <c r="D304" s="2" t="n">
        <v>1</v>
      </c>
      <c r="E304" s="2" t="inlineStr">
        <is>
          <t>CHO</t>
        </is>
      </c>
      <c r="F304" s="2" t="n">
        <v>2.4536</v>
      </c>
      <c r="G304" s="2" t="n">
        <v>0.003347</v>
      </c>
    </row>
    <row r="305">
      <c r="A305" s="1" t="inlineStr">
        <is>
          <t>A8</t>
        </is>
      </c>
      <c r="B305" s="1" t="n">
        <v>8</v>
      </c>
      <c r="C305" s="2">
        <f>_xlfn.XLOOKUP(B305,Results!$B$23:$B$119,Results!$D$23:$D$119)</f>
        <v/>
      </c>
      <c r="D305" s="1" t="n">
        <v>2</v>
      </c>
      <c r="E305" s="1" t="inlineStr">
        <is>
          <t>CHO</t>
        </is>
      </c>
      <c r="F305" s="1" t="n">
        <v>2.4588</v>
      </c>
      <c r="G305" s="1" t="n">
        <v>-0.000141</v>
      </c>
    </row>
    <row r="306">
      <c r="A306" s="2" t="inlineStr">
        <is>
          <t>A8</t>
        </is>
      </c>
      <c r="B306" s="2" t="n">
        <v>8</v>
      </c>
      <c r="C306" s="2">
        <f>_xlfn.XLOOKUP(B306,Results!$B$23:$B$119,Results!$D$23:$D$119)</f>
        <v/>
      </c>
      <c r="D306" s="2" t="n">
        <v>3</v>
      </c>
      <c r="E306" s="2" t="inlineStr">
        <is>
          <t>CHO</t>
        </is>
      </c>
      <c r="F306" s="2" t="n">
        <v>2.4658</v>
      </c>
      <c r="G306" s="2" t="n">
        <v>-0.001834</v>
      </c>
    </row>
    <row r="307">
      <c r="A307" s="1" t="inlineStr">
        <is>
          <t>A8</t>
        </is>
      </c>
      <c r="B307" s="1" t="n">
        <v>8</v>
      </c>
      <c r="C307" s="2">
        <f>_xlfn.XLOOKUP(B307,Results!$B$23:$B$119,Results!$D$23:$D$119)</f>
        <v/>
      </c>
      <c r="D307" s="1" t="n">
        <v>4</v>
      </c>
      <c r="E307" s="1" t="inlineStr">
        <is>
          <t>CHO</t>
        </is>
      </c>
      <c r="F307" s="1" t="n">
        <v>2.4756</v>
      </c>
      <c r="G307" s="1" t="n">
        <v>-0.000777</v>
      </c>
    </row>
    <row r="308">
      <c r="A308" s="2" t="inlineStr">
        <is>
          <t>A8</t>
        </is>
      </c>
      <c r="B308" s="2" t="n">
        <v>8</v>
      </c>
      <c r="C308" s="2">
        <f>_xlfn.XLOOKUP(B308,Results!$B$23:$B$119,Results!$D$23:$D$119)</f>
        <v/>
      </c>
      <c r="D308" s="2" t="n">
        <v>5</v>
      </c>
      <c r="E308" s="2" t="inlineStr">
        <is>
          <t>CHO</t>
        </is>
      </c>
      <c r="F308" s="2" t="n">
        <v>2.4863</v>
      </c>
      <c r="G308" s="2" t="n">
        <v>0.001289</v>
      </c>
    </row>
    <row r="309">
      <c r="A309" s="1" t="inlineStr">
        <is>
          <t>A8</t>
        </is>
      </c>
      <c r="B309" s="1" t="n">
        <v>8</v>
      </c>
      <c r="C309" s="2">
        <f>_xlfn.XLOOKUP(B309,Results!$B$23:$B$119,Results!$D$23:$D$119)</f>
        <v/>
      </c>
      <c r="D309" s="1" t="n">
        <v>6</v>
      </c>
      <c r="E309" s="1" t="inlineStr">
        <is>
          <t>CHO</t>
        </is>
      </c>
      <c r="F309" s="1" t="n">
        <v>2.4933</v>
      </c>
      <c r="G309" s="1" t="n">
        <v>-0.000409</v>
      </c>
    </row>
    <row r="310">
      <c r="A310" s="2" t="inlineStr">
        <is>
          <t>A8</t>
        </is>
      </c>
      <c r="B310" s="2" t="n">
        <v>8</v>
      </c>
      <c r="C310" s="2">
        <f>_xlfn.XLOOKUP(B310,Results!$B$23:$B$119,Results!$D$23:$D$119)</f>
        <v/>
      </c>
      <c r="D310" s="2" t="n">
        <v>7</v>
      </c>
      <c r="E310" s="2" t="inlineStr">
        <is>
          <t>CHO</t>
        </is>
      </c>
      <c r="F310" s="2" t="n">
        <v>2.5062</v>
      </c>
      <c r="G310" s="2" t="n">
        <v>0.003724</v>
      </c>
    </row>
    <row r="311">
      <c r="A311" s="1" t="inlineStr">
        <is>
          <t>A8</t>
        </is>
      </c>
      <c r="B311" s="1" t="n">
        <v>8</v>
      </c>
      <c r="C311" s="2">
        <f>_xlfn.XLOOKUP(B311,Results!$B$23:$B$119,Results!$D$23:$D$119)</f>
        <v/>
      </c>
      <c r="D311" s="1" t="n">
        <v>8</v>
      </c>
      <c r="E311" s="1" t="inlineStr">
        <is>
          <t>CHO</t>
        </is>
      </c>
      <c r="F311" s="1" t="n">
        <v>2.5125</v>
      </c>
      <c r="G311" s="1" t="n">
        <v>0.001363</v>
      </c>
    </row>
    <row r="312">
      <c r="A312" s="2" t="inlineStr">
        <is>
          <t>A8</t>
        </is>
      </c>
      <c r="B312" s="2" t="n">
        <v>8</v>
      </c>
      <c r="C312" s="2">
        <f>_xlfn.XLOOKUP(B312,Results!$B$23:$B$119,Results!$D$23:$D$119)</f>
        <v/>
      </c>
      <c r="D312" s="2" t="n">
        <v>9</v>
      </c>
      <c r="E312" s="2" t="inlineStr">
        <is>
          <t>CHO</t>
        </is>
      </c>
      <c r="F312" s="2" t="n">
        <v>2.5179</v>
      </c>
      <c r="G312" s="2" t="n">
        <v>-0.001903</v>
      </c>
    </row>
    <row r="313">
      <c r="A313" s="1" t="inlineStr">
        <is>
          <t>A8</t>
        </is>
      </c>
      <c r="B313" s="1" t="n">
        <v>8</v>
      </c>
      <c r="C313" s="2">
        <f>_xlfn.XLOOKUP(B313,Results!$B$23:$B$119,Results!$D$23:$D$119)</f>
        <v/>
      </c>
      <c r="D313" s="1" t="n">
        <v>10</v>
      </c>
      <c r="E313" s="1" t="inlineStr">
        <is>
          <t>CHO</t>
        </is>
      </c>
      <c r="F313" s="1" t="n">
        <v>2.5278</v>
      </c>
      <c r="G313" s="1" t="n">
        <v>-0.000753</v>
      </c>
    </row>
    <row r="314">
      <c r="A314" s="2" t="inlineStr">
        <is>
          <t>A8</t>
        </is>
      </c>
      <c r="B314" s="2" t="n">
        <v>8</v>
      </c>
      <c r="C314" s="2">
        <f>_xlfn.XLOOKUP(B314,Results!$B$23:$B$119,Results!$D$23:$D$119)</f>
        <v/>
      </c>
      <c r="D314" s="2" t="n">
        <v>11</v>
      </c>
      <c r="E314" s="2" t="inlineStr">
        <is>
          <t>CHO</t>
        </is>
      </c>
      <c r="F314" s="2" t="n">
        <v>2.5365</v>
      </c>
      <c r="G314" s="2" t="n">
        <v>-0.000699</v>
      </c>
    </row>
    <row r="315">
      <c r="A315" s="1" t="inlineStr">
        <is>
          <t>A8</t>
        </is>
      </c>
      <c r="B315" s="1" t="n">
        <v>8</v>
      </c>
      <c r="C315" s="2">
        <f>_xlfn.XLOOKUP(B315,Results!$B$23:$B$119,Results!$D$23:$D$119)</f>
        <v/>
      </c>
      <c r="D315" s="1" t="n">
        <v>12</v>
      </c>
      <c r="E315" s="1" t="inlineStr">
        <is>
          <t>CHO</t>
        </is>
      </c>
      <c r="F315" s="1" t="n">
        <v>2.5538</v>
      </c>
      <c r="G315" s="1" t="n">
        <v>0.007913999999999999</v>
      </c>
    </row>
    <row r="316">
      <c r="A316" s="2" t="inlineStr">
        <is>
          <t>A8</t>
        </is>
      </c>
      <c r="B316" s="2" t="n">
        <v>8</v>
      </c>
      <c r="C316" s="2">
        <f>_xlfn.XLOOKUP(B316,Results!$B$23:$B$119,Results!$D$23:$D$119)</f>
        <v/>
      </c>
      <c r="D316" s="2" t="n">
        <v>13</v>
      </c>
      <c r="E316" s="2" t="inlineStr">
        <is>
          <t>CHO</t>
        </is>
      </c>
      <c r="F316" s="2" t="n">
        <v>2.5762</v>
      </c>
      <c r="G316" s="2" t="n">
        <v>0.021542</v>
      </c>
    </row>
    <row r="317">
      <c r="A317" s="1" t="inlineStr">
        <is>
          <t>A8</t>
        </is>
      </c>
      <c r="B317" s="1" t="n">
        <v>8</v>
      </c>
      <c r="C317" s="2">
        <f>_xlfn.XLOOKUP(B317,Results!$B$23:$B$119,Results!$D$23:$D$119)</f>
        <v/>
      </c>
      <c r="D317" s="1" t="n">
        <v>14</v>
      </c>
      <c r="E317" s="1" t="inlineStr">
        <is>
          <t>CHO</t>
        </is>
      </c>
      <c r="F317" s="1" t="n">
        <v>2.6129</v>
      </c>
      <c r="G317" s="1" t="n">
        <v>0.049588</v>
      </c>
    </row>
    <row r="318">
      <c r="A318" s="2" t="inlineStr">
        <is>
          <t>A8</t>
        </is>
      </c>
      <c r="B318" s="2" t="n">
        <v>8</v>
      </c>
      <c r="C318" s="2">
        <f>_xlfn.XLOOKUP(B318,Results!$B$23:$B$119,Results!$D$23:$D$119)</f>
        <v/>
      </c>
      <c r="D318" s="2" t="n">
        <v>15</v>
      </c>
      <c r="E318" s="2" t="inlineStr">
        <is>
          <t>CHO</t>
        </is>
      </c>
      <c r="F318" s="2" t="n">
        <v>2.6717</v>
      </c>
      <c r="G318" s="2" t="n">
        <v>0.099701</v>
      </c>
    </row>
    <row r="319">
      <c r="A319" s="1" t="inlineStr">
        <is>
          <t>A8</t>
        </is>
      </c>
      <c r="B319" s="1" t="n">
        <v>8</v>
      </c>
      <c r="C319" s="2">
        <f>_xlfn.XLOOKUP(B319,Results!$B$23:$B$119,Results!$D$23:$D$119)</f>
        <v/>
      </c>
      <c r="D319" s="1" t="n">
        <v>16</v>
      </c>
      <c r="E319" s="1" t="inlineStr">
        <is>
          <t>CHO</t>
        </is>
      </c>
      <c r="F319" s="1" t="n">
        <v>2.787</v>
      </c>
      <c r="G319" s="1" t="n">
        <v>0.206302</v>
      </c>
    </row>
    <row r="320">
      <c r="A320" s="2" t="inlineStr">
        <is>
          <t>A8</t>
        </is>
      </c>
      <c r="B320" s="2" t="n">
        <v>8</v>
      </c>
      <c r="C320" s="2">
        <f>_xlfn.XLOOKUP(B320,Results!$B$23:$B$119,Results!$D$23:$D$119)</f>
        <v/>
      </c>
      <c r="D320" s="2" t="n">
        <v>17</v>
      </c>
      <c r="E320" s="2" t="inlineStr">
        <is>
          <t>CHO</t>
        </is>
      </c>
      <c r="F320" s="2" t="n">
        <v>2.9742</v>
      </c>
      <c r="G320" s="2" t="n">
        <v>0.384815</v>
      </c>
    </row>
    <row r="321">
      <c r="A321" s="1" t="inlineStr">
        <is>
          <t>A8</t>
        </is>
      </c>
      <c r="B321" s="1" t="n">
        <v>8</v>
      </c>
      <c r="C321" s="2">
        <f>_xlfn.XLOOKUP(B321,Results!$B$23:$B$119,Results!$D$23:$D$119)</f>
        <v/>
      </c>
      <c r="D321" s="1" t="n">
        <v>18</v>
      </c>
      <c r="E321" s="1" t="inlineStr">
        <is>
          <t>CHO</t>
        </is>
      </c>
      <c r="F321" s="1" t="n">
        <v>3.2562</v>
      </c>
      <c r="G321" s="1" t="n">
        <v>0.658138</v>
      </c>
    </row>
    <row r="322">
      <c r="A322" s="2" t="inlineStr">
        <is>
          <t>A8</t>
        </is>
      </c>
      <c r="B322" s="2" t="n">
        <v>8</v>
      </c>
      <c r="C322" s="2">
        <f>_xlfn.XLOOKUP(B322,Results!$B$23:$B$119,Results!$D$23:$D$119)</f>
        <v/>
      </c>
      <c r="D322" s="2" t="n">
        <v>19</v>
      </c>
      <c r="E322" s="2" t="inlineStr">
        <is>
          <t>CHO</t>
        </is>
      </c>
      <c r="F322" s="2" t="n">
        <v>3.6291</v>
      </c>
      <c r="G322" s="2" t="n">
        <v>1.022305</v>
      </c>
    </row>
    <row r="323">
      <c r="A323" s="1" t="inlineStr">
        <is>
          <t>A8</t>
        </is>
      </c>
      <c r="B323" s="1" t="n">
        <v>8</v>
      </c>
      <c r="C323" s="2">
        <f>_xlfn.XLOOKUP(B323,Results!$B$23:$B$119,Results!$D$23:$D$119)</f>
        <v/>
      </c>
      <c r="D323" s="1" t="n">
        <v>20</v>
      </c>
      <c r="E323" s="1" t="inlineStr">
        <is>
          <t>CHO</t>
        </is>
      </c>
      <c r="F323" s="1" t="n">
        <v>4.056</v>
      </c>
      <c r="G323" s="1" t="n">
        <v>1.440508</v>
      </c>
    </row>
    <row r="324">
      <c r="A324" s="2" t="inlineStr">
        <is>
          <t>A8</t>
        </is>
      </c>
      <c r="B324" s="2" t="n">
        <v>8</v>
      </c>
      <c r="C324" s="2">
        <f>_xlfn.XLOOKUP(B324,Results!$B$23:$B$119,Results!$D$23:$D$119)</f>
        <v/>
      </c>
      <c r="D324" s="2" t="n">
        <v>21</v>
      </c>
      <c r="E324" s="2" t="inlineStr">
        <is>
          <t>CHO</t>
        </is>
      </c>
      <c r="F324" s="2" t="n">
        <v>4.509</v>
      </c>
      <c r="G324" s="2" t="n">
        <v>1.884782</v>
      </c>
    </row>
    <row r="325">
      <c r="A325" s="1" t="inlineStr">
        <is>
          <t>A8</t>
        </is>
      </c>
      <c r="B325" s="1" t="n">
        <v>8</v>
      </c>
      <c r="C325" s="2">
        <f>_xlfn.XLOOKUP(B325,Results!$B$23:$B$119,Results!$D$23:$D$119)</f>
        <v/>
      </c>
      <c r="D325" s="1" t="n">
        <v>22</v>
      </c>
      <c r="E325" s="1" t="inlineStr">
        <is>
          <t>CHO</t>
        </is>
      </c>
      <c r="F325" s="1" t="n">
        <v>4.9368</v>
      </c>
      <c r="G325" s="1" t="n">
        <v>2.303898</v>
      </c>
    </row>
    <row r="326">
      <c r="A326" s="2" t="inlineStr">
        <is>
          <t>A8</t>
        </is>
      </c>
      <c r="B326" s="2" t="n">
        <v>8</v>
      </c>
      <c r="C326" s="2">
        <f>_xlfn.XLOOKUP(B326,Results!$B$23:$B$119,Results!$D$23:$D$119)</f>
        <v/>
      </c>
      <c r="D326" s="2" t="n">
        <v>23</v>
      </c>
      <c r="E326" s="2" t="inlineStr">
        <is>
          <t>CHO</t>
        </is>
      </c>
      <c r="F326" s="2" t="n">
        <v>5.3356</v>
      </c>
      <c r="G326" s="2" t="n">
        <v>2.693974</v>
      </c>
    </row>
    <row r="327">
      <c r="A327" s="1" t="inlineStr">
        <is>
          <t>A8</t>
        </is>
      </c>
      <c r="B327" s="1" t="n">
        <v>8</v>
      </c>
      <c r="C327" s="2">
        <f>_xlfn.XLOOKUP(B327,Results!$B$23:$B$119,Results!$D$23:$D$119)</f>
        <v/>
      </c>
      <c r="D327" s="1" t="n">
        <v>24</v>
      </c>
      <c r="E327" s="1" t="inlineStr">
        <is>
          <t>CHO</t>
        </is>
      </c>
      <c r="F327" s="1" t="n">
        <v>5.693</v>
      </c>
      <c r="G327" s="1" t="n">
        <v>3.04273</v>
      </c>
    </row>
    <row r="328">
      <c r="A328" s="2" t="inlineStr">
        <is>
          <t>A8</t>
        </is>
      </c>
      <c r="B328" s="2" t="n">
        <v>8</v>
      </c>
      <c r="C328" s="2">
        <f>_xlfn.XLOOKUP(B328,Results!$B$23:$B$119,Results!$D$23:$D$119)</f>
        <v/>
      </c>
      <c r="D328" s="2" t="n">
        <v>25</v>
      </c>
      <c r="E328" s="2" t="inlineStr">
        <is>
          <t>CHO</t>
        </is>
      </c>
      <c r="F328" s="2" t="n">
        <v>6.016</v>
      </c>
      <c r="G328" s="2" t="n">
        <v>3.357045</v>
      </c>
    </row>
    <row r="329">
      <c r="A329" s="1" t="inlineStr">
        <is>
          <t>A8</t>
        </is>
      </c>
      <c r="B329" s="1" t="n">
        <v>8</v>
      </c>
      <c r="C329" s="2">
        <f>_xlfn.XLOOKUP(B329,Results!$B$23:$B$119,Results!$D$23:$D$119)</f>
        <v/>
      </c>
      <c r="D329" s="1" t="n">
        <v>26</v>
      </c>
      <c r="E329" s="1" t="inlineStr">
        <is>
          <t>CHO</t>
        </is>
      </c>
      <c r="F329" s="1" t="n">
        <v>6.2886</v>
      </c>
      <c r="G329" s="1" t="n">
        <v>3.620914</v>
      </c>
    </row>
    <row r="330">
      <c r="A330" s="2" t="inlineStr">
        <is>
          <t>A8</t>
        </is>
      </c>
      <c r="B330" s="2" t="n">
        <v>8</v>
      </c>
      <c r="C330" s="2">
        <f>_xlfn.XLOOKUP(B330,Results!$B$23:$B$119,Results!$D$23:$D$119)</f>
        <v/>
      </c>
      <c r="D330" s="2" t="n">
        <v>27</v>
      </c>
      <c r="E330" s="2" t="inlineStr">
        <is>
          <t>CHO</t>
        </is>
      </c>
      <c r="F330" s="2" t="n">
        <v>6.5222</v>
      </c>
      <c r="G330" s="2" t="n">
        <v>3.845832</v>
      </c>
    </row>
    <row r="331">
      <c r="A331" s="1" t="inlineStr">
        <is>
          <t>A8</t>
        </is>
      </c>
      <c r="B331" s="1" t="n">
        <v>8</v>
      </c>
      <c r="C331" s="2">
        <f>_xlfn.XLOOKUP(B331,Results!$B$23:$B$119,Results!$D$23:$D$119)</f>
        <v/>
      </c>
      <c r="D331" s="1" t="n">
        <v>28</v>
      </c>
      <c r="E331" s="1" t="inlineStr">
        <is>
          <t>CHO</t>
        </is>
      </c>
      <c r="F331" s="1" t="n">
        <v>6.7281</v>
      </c>
      <c r="G331" s="1" t="n">
        <v>4.043071</v>
      </c>
    </row>
    <row r="332">
      <c r="A332" s="2" t="inlineStr">
        <is>
          <t>A8</t>
        </is>
      </c>
      <c r="B332" s="2" t="n">
        <v>8</v>
      </c>
      <c r="C332" s="2">
        <f>_xlfn.XLOOKUP(B332,Results!$B$23:$B$119,Results!$D$23:$D$119)</f>
        <v/>
      </c>
      <c r="D332" s="2" t="n">
        <v>29</v>
      </c>
      <c r="E332" s="2" t="inlineStr">
        <is>
          <t>CHO</t>
        </is>
      </c>
      <c r="F332" s="2" t="n">
        <v>6.9165</v>
      </c>
      <c r="G332" s="2" t="n">
        <v>4.222758</v>
      </c>
    </row>
    <row r="333">
      <c r="A333" s="1" t="inlineStr">
        <is>
          <t>A8</t>
        </is>
      </c>
      <c r="B333" s="1" t="n">
        <v>8</v>
      </c>
      <c r="C333" s="2">
        <f>_xlfn.XLOOKUP(B333,Results!$B$23:$B$119,Results!$D$23:$D$119)</f>
        <v/>
      </c>
      <c r="D333" s="1" t="n">
        <v>30</v>
      </c>
      <c r="E333" s="1" t="inlineStr">
        <is>
          <t>CHO</t>
        </is>
      </c>
      <c r="F333" s="1" t="n">
        <v>7.0823</v>
      </c>
      <c r="G333" s="1" t="n">
        <v>4.379848</v>
      </c>
    </row>
    <row r="334">
      <c r="A334" s="2" t="inlineStr">
        <is>
          <t>A8</t>
        </is>
      </c>
      <c r="B334" s="2" t="n">
        <v>8</v>
      </c>
      <c r="C334" s="2">
        <f>_xlfn.XLOOKUP(B334,Results!$B$23:$B$119,Results!$D$23:$D$119)</f>
        <v/>
      </c>
      <c r="D334" s="2" t="n">
        <v>31</v>
      </c>
      <c r="E334" s="2" t="inlineStr">
        <is>
          <t>CHO</t>
        </is>
      </c>
      <c r="F334" s="2" t="n">
        <v>7.2193</v>
      </c>
      <c r="G334" s="2" t="n">
        <v>4.508177</v>
      </c>
    </row>
    <row r="335">
      <c r="A335" s="1" t="inlineStr">
        <is>
          <t>A8</t>
        </is>
      </c>
      <c r="B335" s="1" t="n">
        <v>8</v>
      </c>
      <c r="C335" s="2">
        <f>_xlfn.XLOOKUP(B335,Results!$B$23:$B$119,Results!$D$23:$D$119)</f>
        <v/>
      </c>
      <c r="D335" s="1" t="n">
        <v>32</v>
      </c>
      <c r="E335" s="1" t="inlineStr">
        <is>
          <t>CHO</t>
        </is>
      </c>
      <c r="F335" s="1" t="n">
        <v>7.3419</v>
      </c>
      <c r="G335" s="1" t="n">
        <v>4.621996</v>
      </c>
    </row>
    <row r="336">
      <c r="A336" s="2" t="inlineStr">
        <is>
          <t>A8</t>
        </is>
      </c>
      <c r="B336" s="2" t="n">
        <v>8</v>
      </c>
      <c r="C336" s="2">
        <f>_xlfn.XLOOKUP(B336,Results!$B$23:$B$119,Results!$D$23:$D$119)</f>
        <v/>
      </c>
      <c r="D336" s="2" t="n">
        <v>33</v>
      </c>
      <c r="E336" s="2" t="inlineStr">
        <is>
          <t>CHO</t>
        </is>
      </c>
      <c r="F336" s="2" t="n">
        <v>7.4141</v>
      </c>
      <c r="G336" s="2" t="n">
        <v>4.685509</v>
      </c>
    </row>
    <row r="337">
      <c r="A337" s="1" t="inlineStr">
        <is>
          <t>A8</t>
        </is>
      </c>
      <c r="B337" s="1" t="n">
        <v>8</v>
      </c>
      <c r="C337" s="2">
        <f>_xlfn.XLOOKUP(B337,Results!$B$23:$B$119,Results!$D$23:$D$119)</f>
        <v/>
      </c>
      <c r="D337" s="1" t="n">
        <v>34</v>
      </c>
      <c r="E337" s="1" t="inlineStr">
        <is>
          <t>CHO</t>
        </is>
      </c>
      <c r="F337" s="1" t="n">
        <v>7.5009</v>
      </c>
      <c r="G337" s="1" t="n">
        <v>4.763613</v>
      </c>
    </row>
    <row r="338">
      <c r="A338" s="2" t="inlineStr">
        <is>
          <t>A8</t>
        </is>
      </c>
      <c r="B338" s="2" t="n">
        <v>8</v>
      </c>
      <c r="C338" s="2">
        <f>_xlfn.XLOOKUP(B338,Results!$B$23:$B$119,Results!$D$23:$D$119)</f>
        <v/>
      </c>
      <c r="D338" s="2" t="n">
        <v>35</v>
      </c>
      <c r="E338" s="2" t="inlineStr">
        <is>
          <t>CHO</t>
        </is>
      </c>
      <c r="F338" s="2" t="n">
        <v>7.5944</v>
      </c>
      <c r="G338" s="2" t="n">
        <v>4.848463</v>
      </c>
    </row>
    <row r="339">
      <c r="A339" s="1" t="inlineStr">
        <is>
          <t>A8</t>
        </is>
      </c>
      <c r="B339" s="1" t="n">
        <v>8</v>
      </c>
      <c r="C339" s="2">
        <f>_xlfn.XLOOKUP(B339,Results!$B$23:$B$119,Results!$D$23:$D$119)</f>
        <v/>
      </c>
      <c r="D339" s="1" t="n">
        <v>36</v>
      </c>
      <c r="E339" s="1" t="inlineStr">
        <is>
          <t>CHO</t>
        </is>
      </c>
      <c r="F339" s="1" t="n">
        <v>7.6827</v>
      </c>
      <c r="G339" s="1" t="n">
        <v>4.928075</v>
      </c>
    </row>
    <row r="340">
      <c r="A340" s="2" t="inlineStr">
        <is>
          <t>A8</t>
        </is>
      </c>
      <c r="B340" s="2" t="n">
        <v>8</v>
      </c>
      <c r="C340" s="2">
        <f>_xlfn.XLOOKUP(B340,Results!$B$23:$B$119,Results!$D$23:$D$119)</f>
        <v/>
      </c>
      <c r="D340" s="2" t="n">
        <v>37</v>
      </c>
      <c r="E340" s="2" t="inlineStr">
        <is>
          <t>CHO</t>
        </is>
      </c>
      <c r="F340" s="2" t="n">
        <v>7.7324</v>
      </c>
      <c r="G340" s="2" t="n">
        <v>4.969029</v>
      </c>
    </row>
    <row r="341">
      <c r="A341" s="1" t="inlineStr">
        <is>
          <t>A8</t>
        </is>
      </c>
      <c r="B341" s="1" t="n">
        <v>8</v>
      </c>
      <c r="C341" s="2">
        <f>_xlfn.XLOOKUP(B341,Results!$B$23:$B$119,Results!$D$23:$D$119)</f>
        <v/>
      </c>
      <c r="D341" s="1" t="n">
        <v>38</v>
      </c>
      <c r="E341" s="1" t="inlineStr">
        <is>
          <t>CHO</t>
        </is>
      </c>
      <c r="F341" s="1" t="n">
        <v>7.798</v>
      </c>
      <c r="G341" s="1" t="n">
        <v>5.025944</v>
      </c>
    </row>
    <row r="342">
      <c r="A342" s="2" t="inlineStr">
        <is>
          <t>A8</t>
        </is>
      </c>
      <c r="B342" s="2" t="n">
        <v>8</v>
      </c>
      <c r="C342" s="2">
        <f>_xlfn.XLOOKUP(B342,Results!$B$23:$B$119,Results!$D$23:$D$119)</f>
        <v/>
      </c>
      <c r="D342" s="2" t="n">
        <v>39</v>
      </c>
      <c r="E342" s="2" t="inlineStr">
        <is>
          <t>CHO</t>
        </is>
      </c>
      <c r="F342" s="2" t="n">
        <v>7.8675</v>
      </c>
      <c r="G342" s="2" t="n">
        <v>5.08676</v>
      </c>
    </row>
    <row r="343">
      <c r="A343" s="1" t="inlineStr">
        <is>
          <t>A8</t>
        </is>
      </c>
      <c r="B343" s="1" t="n">
        <v>8</v>
      </c>
      <c r="C343" s="2">
        <f>_xlfn.XLOOKUP(B343,Results!$B$23:$B$119,Results!$D$23:$D$119)</f>
        <v/>
      </c>
      <c r="D343" s="1" t="n">
        <v>40</v>
      </c>
      <c r="E343" s="1" t="inlineStr">
        <is>
          <t>CHO</t>
        </is>
      </c>
      <c r="F343" s="1" t="n">
        <v>7.9127</v>
      </c>
      <c r="G343" s="1" t="n">
        <v>5.123217</v>
      </c>
    </row>
    <row r="344">
      <c r="A344" s="2" t="inlineStr">
        <is>
          <t>A9</t>
        </is>
      </c>
      <c r="B344" s="2" t="n">
        <v>9</v>
      </c>
      <c r="C344" s="2">
        <f>_xlfn.XLOOKUP(B344,Results!$B$23:$B$119,Results!$D$23:$D$119)</f>
        <v/>
      </c>
      <c r="D344" s="2" t="n">
        <v>1</v>
      </c>
      <c r="E344" s="2" t="inlineStr">
        <is>
          <t>CHO</t>
        </is>
      </c>
      <c r="F344" s="2" t="n">
        <v>2.4284</v>
      </c>
      <c r="G344" s="2" t="n">
        <v>0.008524</v>
      </c>
    </row>
    <row r="345">
      <c r="A345" s="1" t="inlineStr">
        <is>
          <t>A9</t>
        </is>
      </c>
      <c r="B345" s="1" t="n">
        <v>9</v>
      </c>
      <c r="C345" s="2">
        <f>_xlfn.XLOOKUP(B345,Results!$B$23:$B$119,Results!$D$23:$D$119)</f>
        <v/>
      </c>
      <c r="D345" s="1" t="n">
        <v>2</v>
      </c>
      <c r="E345" s="1" t="inlineStr">
        <is>
          <t>CHO</t>
        </is>
      </c>
      <c r="F345" s="1" t="n">
        <v>2.4284</v>
      </c>
      <c r="G345" s="1" t="n">
        <v>0.00122</v>
      </c>
    </row>
    <row r="346">
      <c r="A346" s="2" t="inlineStr">
        <is>
          <t>A9</t>
        </is>
      </c>
      <c r="B346" s="2" t="n">
        <v>9</v>
      </c>
      <c r="C346" s="2">
        <f>_xlfn.XLOOKUP(B346,Results!$B$23:$B$119,Results!$D$23:$D$119)</f>
        <v/>
      </c>
      <c r="D346" s="2" t="n">
        <v>3</v>
      </c>
      <c r="E346" s="2" t="inlineStr">
        <is>
          <t>CHO</t>
        </is>
      </c>
      <c r="F346" s="2" t="n">
        <v>2.4339</v>
      </c>
      <c r="G346" s="2" t="n">
        <v>-0.000546</v>
      </c>
    </row>
    <row r="347">
      <c r="A347" s="1" t="inlineStr">
        <is>
          <t>A9</t>
        </is>
      </c>
      <c r="B347" s="1" t="n">
        <v>9</v>
      </c>
      <c r="C347" s="2">
        <f>_xlfn.XLOOKUP(B347,Results!$B$23:$B$119,Results!$D$23:$D$119)</f>
        <v/>
      </c>
      <c r="D347" s="1" t="n">
        <v>4</v>
      </c>
      <c r="E347" s="1" t="inlineStr">
        <is>
          <t>CHO</t>
        </is>
      </c>
      <c r="F347" s="1" t="n">
        <v>2.4415</v>
      </c>
      <c r="G347" s="1" t="n">
        <v>-0.000295</v>
      </c>
    </row>
    <row r="348">
      <c r="A348" s="2" t="inlineStr">
        <is>
          <t>A9</t>
        </is>
      </c>
      <c r="B348" s="2" t="n">
        <v>9</v>
      </c>
      <c r="C348" s="2">
        <f>_xlfn.XLOOKUP(B348,Results!$B$23:$B$119,Results!$D$23:$D$119)</f>
        <v/>
      </c>
      <c r="D348" s="2" t="n">
        <v>5</v>
      </c>
      <c r="E348" s="2" t="inlineStr">
        <is>
          <t>CHO</t>
        </is>
      </c>
      <c r="F348" s="2" t="n">
        <v>2.4494</v>
      </c>
      <c r="G348" s="2" t="n">
        <v>0.000336</v>
      </c>
    </row>
    <row r="349">
      <c r="A349" s="1" t="inlineStr">
        <is>
          <t>A9</t>
        </is>
      </c>
      <c r="B349" s="1" t="n">
        <v>9</v>
      </c>
      <c r="C349" s="2">
        <f>_xlfn.XLOOKUP(B349,Results!$B$23:$B$119,Results!$D$23:$D$119)</f>
        <v/>
      </c>
      <c r="D349" s="1" t="n">
        <v>6</v>
      </c>
      <c r="E349" s="1" t="inlineStr">
        <is>
          <t>CHO</t>
        </is>
      </c>
      <c r="F349" s="1" t="n">
        <v>2.4572</v>
      </c>
      <c r="G349" s="1" t="n">
        <v>0.000735</v>
      </c>
    </row>
    <row r="350">
      <c r="A350" s="2" t="inlineStr">
        <is>
          <t>A9</t>
        </is>
      </c>
      <c r="B350" s="2" t="n">
        <v>9</v>
      </c>
      <c r="C350" s="2">
        <f>_xlfn.XLOOKUP(B350,Results!$B$23:$B$119,Results!$D$23:$D$119)</f>
        <v/>
      </c>
      <c r="D350" s="2" t="n">
        <v>7</v>
      </c>
      <c r="E350" s="2" t="inlineStr">
        <is>
          <t>CHO</t>
        </is>
      </c>
      <c r="F350" s="2" t="n">
        <v>2.4639</v>
      </c>
      <c r="G350" s="2" t="n">
        <v>0.000134</v>
      </c>
    </row>
    <row r="351">
      <c r="A351" s="1" t="inlineStr">
        <is>
          <t>A9</t>
        </is>
      </c>
      <c r="B351" s="1" t="n">
        <v>9</v>
      </c>
      <c r="C351" s="2">
        <f>_xlfn.XLOOKUP(B351,Results!$B$23:$B$119,Results!$D$23:$D$119)</f>
        <v/>
      </c>
      <c r="D351" s="1" t="n">
        <v>8</v>
      </c>
      <c r="E351" s="1" t="inlineStr">
        <is>
          <t>CHO</t>
        </is>
      </c>
      <c r="F351" s="1" t="n">
        <v>2.472</v>
      </c>
      <c r="G351" s="1" t="n">
        <v>0.000934</v>
      </c>
    </row>
    <row r="352">
      <c r="A352" s="2" t="inlineStr">
        <is>
          <t>A9</t>
        </is>
      </c>
      <c r="B352" s="2" t="n">
        <v>9</v>
      </c>
      <c r="C352" s="2">
        <f>_xlfn.XLOOKUP(B352,Results!$B$23:$B$119,Results!$D$23:$D$119)</f>
        <v/>
      </c>
      <c r="D352" s="2" t="n">
        <v>9</v>
      </c>
      <c r="E352" s="2" t="inlineStr">
        <is>
          <t>CHO</t>
        </is>
      </c>
      <c r="F352" s="2" t="n">
        <v>2.4771</v>
      </c>
      <c r="G352" s="2" t="n">
        <v>-0.001298</v>
      </c>
    </row>
    <row r="353">
      <c r="A353" s="1" t="inlineStr">
        <is>
          <t>A9</t>
        </is>
      </c>
      <c r="B353" s="1" t="n">
        <v>9</v>
      </c>
      <c r="C353" s="2">
        <f>_xlfn.XLOOKUP(B353,Results!$B$23:$B$119,Results!$D$23:$D$119)</f>
        <v/>
      </c>
      <c r="D353" s="1" t="n">
        <v>10</v>
      </c>
      <c r="E353" s="1" t="inlineStr">
        <is>
          <t>CHO</t>
        </is>
      </c>
      <c r="F353" s="1" t="n">
        <v>2.4873</v>
      </c>
      <c r="G353" s="1" t="n">
        <v>0.001599</v>
      </c>
    </row>
    <row r="354">
      <c r="A354" s="2" t="inlineStr">
        <is>
          <t>A9</t>
        </is>
      </c>
      <c r="B354" s="2" t="n">
        <v>9</v>
      </c>
      <c r="C354" s="2">
        <f>_xlfn.XLOOKUP(B354,Results!$B$23:$B$119,Results!$D$23:$D$119)</f>
        <v/>
      </c>
      <c r="D354" s="2" t="n">
        <v>11</v>
      </c>
      <c r="E354" s="2" t="inlineStr">
        <is>
          <t>CHO</t>
        </is>
      </c>
      <c r="F354" s="2" t="n">
        <v>2.5043</v>
      </c>
      <c r="G354" s="2" t="n">
        <v>0.011284</v>
      </c>
    </row>
    <row r="355">
      <c r="A355" s="1" t="inlineStr">
        <is>
          <t>A9</t>
        </is>
      </c>
      <c r="B355" s="1" t="n">
        <v>9</v>
      </c>
      <c r="C355" s="2">
        <f>_xlfn.XLOOKUP(B355,Results!$B$23:$B$119,Results!$D$23:$D$119)</f>
        <v/>
      </c>
      <c r="D355" s="1" t="n">
        <v>12</v>
      </c>
      <c r="E355" s="1" t="inlineStr">
        <is>
          <t>CHO</t>
        </is>
      </c>
      <c r="F355" s="1" t="n">
        <v>2.5141</v>
      </c>
      <c r="G355" s="1" t="n">
        <v>0.013845</v>
      </c>
    </row>
    <row r="356">
      <c r="A356" s="2" t="inlineStr">
        <is>
          <t>A9</t>
        </is>
      </c>
      <c r="B356" s="2" t="n">
        <v>9</v>
      </c>
      <c r="C356" s="2">
        <f>_xlfn.XLOOKUP(B356,Results!$B$23:$B$119,Results!$D$23:$D$119)</f>
        <v/>
      </c>
      <c r="D356" s="2" t="n">
        <v>13</v>
      </c>
      <c r="E356" s="2" t="inlineStr">
        <is>
          <t>CHO</t>
        </is>
      </c>
      <c r="F356" s="2" t="n">
        <v>2.5348</v>
      </c>
      <c r="G356" s="2" t="n">
        <v>0.027206</v>
      </c>
    </row>
    <row r="357">
      <c r="A357" s="1" t="inlineStr">
        <is>
          <t>A9</t>
        </is>
      </c>
      <c r="B357" s="1" t="n">
        <v>9</v>
      </c>
      <c r="C357" s="2">
        <f>_xlfn.XLOOKUP(B357,Results!$B$23:$B$119,Results!$D$23:$D$119)</f>
        <v/>
      </c>
      <c r="D357" s="1" t="n">
        <v>14</v>
      </c>
      <c r="E357" s="1" t="inlineStr">
        <is>
          <t>CHO</t>
        </is>
      </c>
      <c r="F357" s="1" t="n">
        <v>2.5685</v>
      </c>
      <c r="G357" s="1" t="n">
        <v>0.053634</v>
      </c>
    </row>
    <row r="358">
      <c r="A358" s="2" t="inlineStr">
        <is>
          <t>A9</t>
        </is>
      </c>
      <c r="B358" s="2" t="n">
        <v>9</v>
      </c>
      <c r="C358" s="2">
        <f>_xlfn.XLOOKUP(B358,Results!$B$23:$B$119,Results!$D$23:$D$119)</f>
        <v/>
      </c>
      <c r="D358" s="2" t="n">
        <v>15</v>
      </c>
      <c r="E358" s="2" t="inlineStr">
        <is>
          <t>CHO</t>
        </is>
      </c>
      <c r="F358" s="2" t="n">
        <v>2.638</v>
      </c>
      <c r="G358" s="2" t="n">
        <v>0.115829</v>
      </c>
    </row>
    <row r="359">
      <c r="A359" s="1" t="inlineStr">
        <is>
          <t>A9</t>
        </is>
      </c>
      <c r="B359" s="1" t="n">
        <v>9</v>
      </c>
      <c r="C359" s="2">
        <f>_xlfn.XLOOKUP(B359,Results!$B$23:$B$119,Results!$D$23:$D$119)</f>
        <v/>
      </c>
      <c r="D359" s="1" t="n">
        <v>16</v>
      </c>
      <c r="E359" s="1" t="inlineStr">
        <is>
          <t>CHO</t>
        </is>
      </c>
      <c r="F359" s="1" t="n">
        <v>2.7507</v>
      </c>
      <c r="G359" s="1" t="n">
        <v>0.221168</v>
      </c>
    </row>
    <row r="360">
      <c r="A360" s="2" t="inlineStr">
        <is>
          <t>A9</t>
        </is>
      </c>
      <c r="B360" s="2" t="n">
        <v>9</v>
      </c>
      <c r="C360" s="2">
        <f>_xlfn.XLOOKUP(B360,Results!$B$23:$B$119,Results!$D$23:$D$119)</f>
        <v/>
      </c>
      <c r="D360" s="2" t="n">
        <v>17</v>
      </c>
      <c r="E360" s="2" t="inlineStr">
        <is>
          <t>CHO</t>
        </is>
      </c>
      <c r="F360" s="2" t="n">
        <v>2.9343</v>
      </c>
      <c r="G360" s="2" t="n">
        <v>0.397435</v>
      </c>
    </row>
    <row r="361">
      <c r="A361" s="1" t="inlineStr">
        <is>
          <t>A9</t>
        </is>
      </c>
      <c r="B361" s="1" t="n">
        <v>9</v>
      </c>
      <c r="C361" s="2">
        <f>_xlfn.XLOOKUP(B361,Results!$B$23:$B$119,Results!$D$23:$D$119)</f>
        <v/>
      </c>
      <c r="D361" s="1" t="n">
        <v>18</v>
      </c>
      <c r="E361" s="1" t="inlineStr">
        <is>
          <t>CHO</t>
        </is>
      </c>
      <c r="F361" s="1" t="n">
        <v>3.2167</v>
      </c>
      <c r="G361" s="1" t="n">
        <v>0.672563</v>
      </c>
    </row>
    <row r="362">
      <c r="A362" s="2" t="inlineStr">
        <is>
          <t>A9</t>
        </is>
      </c>
      <c r="B362" s="2" t="n">
        <v>9</v>
      </c>
      <c r="C362" s="2">
        <f>_xlfn.XLOOKUP(B362,Results!$B$23:$B$119,Results!$D$23:$D$119)</f>
        <v/>
      </c>
      <c r="D362" s="2" t="n">
        <v>19</v>
      </c>
      <c r="E362" s="2" t="inlineStr">
        <is>
          <t>CHO</t>
        </is>
      </c>
      <c r="F362" s="2" t="n">
        <v>3.5947</v>
      </c>
      <c r="G362" s="2" t="n">
        <v>1.043293</v>
      </c>
    </row>
    <row r="363">
      <c r="A363" s="1" t="inlineStr">
        <is>
          <t>A9</t>
        </is>
      </c>
      <c r="B363" s="1" t="n">
        <v>9</v>
      </c>
      <c r="C363" s="2">
        <f>_xlfn.XLOOKUP(B363,Results!$B$23:$B$119,Results!$D$23:$D$119)</f>
        <v/>
      </c>
      <c r="D363" s="1" t="n">
        <v>20</v>
      </c>
      <c r="E363" s="1" t="inlineStr">
        <is>
          <t>CHO</t>
        </is>
      </c>
      <c r="F363" s="1" t="n">
        <v>4.0306</v>
      </c>
      <c r="G363" s="1" t="n">
        <v>1.471812</v>
      </c>
    </row>
    <row r="364">
      <c r="A364" s="2" t="inlineStr">
        <is>
          <t>A9</t>
        </is>
      </c>
      <c r="B364" s="2" t="n">
        <v>9</v>
      </c>
      <c r="C364" s="2">
        <f>_xlfn.XLOOKUP(B364,Results!$B$23:$B$119,Results!$D$23:$D$119)</f>
        <v/>
      </c>
      <c r="D364" s="2" t="n">
        <v>21</v>
      </c>
      <c r="E364" s="2" t="inlineStr">
        <is>
          <t>CHO</t>
        </is>
      </c>
      <c r="F364" s="2" t="n">
        <v>4.4682</v>
      </c>
      <c r="G364" s="2" t="n">
        <v>1.902095</v>
      </c>
    </row>
    <row r="365">
      <c r="A365" s="1" t="inlineStr">
        <is>
          <t>A9</t>
        </is>
      </c>
      <c r="B365" s="1" t="n">
        <v>9</v>
      </c>
      <c r="C365" s="2">
        <f>_xlfn.XLOOKUP(B365,Results!$B$23:$B$119,Results!$D$23:$D$119)</f>
        <v/>
      </c>
      <c r="D365" s="1" t="n">
        <v>22</v>
      </c>
      <c r="E365" s="1" t="inlineStr">
        <is>
          <t>CHO</t>
        </is>
      </c>
      <c r="F365" s="1" t="n">
        <v>4.9021</v>
      </c>
      <c r="G365" s="1" t="n">
        <v>2.328702</v>
      </c>
    </row>
    <row r="366">
      <c r="A366" s="2" t="inlineStr">
        <is>
          <t>A9</t>
        </is>
      </c>
      <c r="B366" s="2" t="n">
        <v>9</v>
      </c>
      <c r="C366" s="2">
        <f>_xlfn.XLOOKUP(B366,Results!$B$23:$B$119,Results!$D$23:$D$119)</f>
        <v/>
      </c>
      <c r="D366" s="2" t="n">
        <v>23</v>
      </c>
      <c r="E366" s="2" t="inlineStr">
        <is>
          <t>CHO</t>
        </is>
      </c>
      <c r="F366" s="2" t="n">
        <v>5.3085</v>
      </c>
      <c r="G366" s="2" t="n">
        <v>2.727829</v>
      </c>
    </row>
    <row r="367">
      <c r="A367" s="1" t="inlineStr">
        <is>
          <t>A9</t>
        </is>
      </c>
      <c r="B367" s="1" t="n">
        <v>9</v>
      </c>
      <c r="C367" s="2">
        <f>_xlfn.XLOOKUP(B367,Results!$B$23:$B$119,Results!$D$23:$D$119)</f>
        <v/>
      </c>
      <c r="D367" s="1" t="n">
        <v>24</v>
      </c>
      <c r="E367" s="1" t="inlineStr">
        <is>
          <t>CHO</t>
        </is>
      </c>
      <c r="F367" s="1" t="n">
        <v>5.6574</v>
      </c>
      <c r="G367" s="1" t="n">
        <v>3.069431</v>
      </c>
    </row>
    <row r="368">
      <c r="A368" s="2" t="inlineStr">
        <is>
          <t>A9</t>
        </is>
      </c>
      <c r="B368" s="2" t="n">
        <v>9</v>
      </c>
      <c r="C368" s="2">
        <f>_xlfn.XLOOKUP(B368,Results!$B$23:$B$119,Results!$D$23:$D$119)</f>
        <v/>
      </c>
      <c r="D368" s="2" t="n">
        <v>25</v>
      </c>
      <c r="E368" s="2" t="inlineStr">
        <is>
          <t>CHO</t>
        </is>
      </c>
      <c r="F368" s="2" t="n">
        <v>5.9587</v>
      </c>
      <c r="G368" s="2" t="n">
        <v>3.363409</v>
      </c>
    </row>
    <row r="369">
      <c r="A369" s="1" t="inlineStr">
        <is>
          <t>A9</t>
        </is>
      </c>
      <c r="B369" s="1" t="n">
        <v>9</v>
      </c>
      <c r="C369" s="2">
        <f>_xlfn.XLOOKUP(B369,Results!$B$23:$B$119,Results!$D$23:$D$119)</f>
        <v/>
      </c>
      <c r="D369" s="1" t="n">
        <v>26</v>
      </c>
      <c r="E369" s="1" t="inlineStr">
        <is>
          <t>CHO</t>
        </is>
      </c>
      <c r="F369" s="1" t="n">
        <v>6.2339</v>
      </c>
      <c r="G369" s="1" t="n">
        <v>3.631296</v>
      </c>
    </row>
    <row r="370">
      <c r="A370" s="2" t="inlineStr">
        <is>
          <t>A9</t>
        </is>
      </c>
      <c r="B370" s="2" t="n">
        <v>9</v>
      </c>
      <c r="C370" s="2">
        <f>_xlfn.XLOOKUP(B370,Results!$B$23:$B$119,Results!$D$23:$D$119)</f>
        <v/>
      </c>
      <c r="D370" s="2" t="n">
        <v>27</v>
      </c>
      <c r="E370" s="2" t="inlineStr">
        <is>
          <t>CHO</t>
        </is>
      </c>
      <c r="F370" s="2" t="n">
        <v>6.4741</v>
      </c>
      <c r="G370" s="2" t="n">
        <v>3.864134</v>
      </c>
    </row>
    <row r="371">
      <c r="A371" s="1" t="inlineStr">
        <is>
          <t>A9</t>
        </is>
      </c>
      <c r="B371" s="1" t="n">
        <v>9</v>
      </c>
      <c r="C371" s="2">
        <f>_xlfn.XLOOKUP(B371,Results!$B$23:$B$119,Results!$D$23:$D$119)</f>
        <v/>
      </c>
      <c r="D371" s="1" t="n">
        <v>28</v>
      </c>
      <c r="E371" s="1" t="inlineStr">
        <is>
          <t>CHO</t>
        </is>
      </c>
      <c r="F371" s="1" t="n">
        <v>6.6789</v>
      </c>
      <c r="G371" s="1" t="n">
        <v>4.061625</v>
      </c>
    </row>
    <row r="372">
      <c r="A372" s="2" t="inlineStr">
        <is>
          <t>A9</t>
        </is>
      </c>
      <c r="B372" s="2" t="n">
        <v>9</v>
      </c>
      <c r="C372" s="2">
        <f>_xlfn.XLOOKUP(B372,Results!$B$23:$B$119,Results!$D$23:$D$119)</f>
        <v/>
      </c>
      <c r="D372" s="2" t="n">
        <v>29</v>
      </c>
      <c r="E372" s="2" t="inlineStr">
        <is>
          <t>CHO</t>
        </is>
      </c>
      <c r="F372" s="2" t="n">
        <v>6.8628</v>
      </c>
      <c r="G372" s="2" t="n">
        <v>4.238248</v>
      </c>
    </row>
    <row r="373">
      <c r="A373" s="1" t="inlineStr">
        <is>
          <t>A9</t>
        </is>
      </c>
      <c r="B373" s="1" t="n">
        <v>9</v>
      </c>
      <c r="C373" s="2">
        <f>_xlfn.XLOOKUP(B373,Results!$B$23:$B$119,Results!$D$23:$D$119)</f>
        <v/>
      </c>
      <c r="D373" s="1" t="n">
        <v>30</v>
      </c>
      <c r="E373" s="1" t="inlineStr">
        <is>
          <t>CHO</t>
        </is>
      </c>
      <c r="F373" s="1" t="n">
        <v>7.0152</v>
      </c>
      <c r="G373" s="1" t="n">
        <v>4.383293</v>
      </c>
    </row>
    <row r="374">
      <c r="A374" s="2" t="inlineStr">
        <is>
          <t>A9</t>
        </is>
      </c>
      <c r="B374" s="2" t="n">
        <v>9</v>
      </c>
      <c r="C374" s="2">
        <f>_xlfn.XLOOKUP(B374,Results!$B$23:$B$119,Results!$D$23:$D$119)</f>
        <v/>
      </c>
      <c r="D374" s="2" t="n">
        <v>31</v>
      </c>
      <c r="E374" s="2" t="inlineStr">
        <is>
          <t>CHO</t>
        </is>
      </c>
      <c r="F374" s="2" t="n">
        <v>7.145</v>
      </c>
      <c r="G374" s="2" t="n">
        <v>4.505787</v>
      </c>
    </row>
    <row r="375">
      <c r="A375" s="1" t="inlineStr">
        <is>
          <t>A9</t>
        </is>
      </c>
      <c r="B375" s="1" t="n">
        <v>9</v>
      </c>
      <c r="C375" s="2">
        <f>_xlfn.XLOOKUP(B375,Results!$B$23:$B$119,Results!$D$23:$D$119)</f>
        <v/>
      </c>
      <c r="D375" s="1" t="n">
        <v>32</v>
      </c>
      <c r="E375" s="1" t="inlineStr">
        <is>
          <t>CHO</t>
        </is>
      </c>
      <c r="F375" s="1" t="n">
        <v>7.2506</v>
      </c>
      <c r="G375" s="1" t="n">
        <v>4.604071</v>
      </c>
    </row>
    <row r="376">
      <c r="A376" s="2" t="inlineStr">
        <is>
          <t>A9</t>
        </is>
      </c>
      <c r="B376" s="2" t="n">
        <v>9</v>
      </c>
      <c r="C376" s="2">
        <f>_xlfn.XLOOKUP(B376,Results!$B$23:$B$119,Results!$D$23:$D$119)</f>
        <v/>
      </c>
      <c r="D376" s="2" t="n">
        <v>33</v>
      </c>
      <c r="E376" s="2" t="inlineStr">
        <is>
          <t>CHO</t>
        </is>
      </c>
      <c r="F376" s="2" t="n">
        <v>7.35</v>
      </c>
      <c r="G376" s="2" t="n">
        <v>4.696213</v>
      </c>
    </row>
    <row r="377">
      <c r="A377" s="1" t="inlineStr">
        <is>
          <t>A9</t>
        </is>
      </c>
      <c r="B377" s="1" t="n">
        <v>9</v>
      </c>
      <c r="C377" s="2">
        <f>_xlfn.XLOOKUP(B377,Results!$B$23:$B$119,Results!$D$23:$D$119)</f>
        <v/>
      </c>
      <c r="D377" s="1" t="n">
        <v>34</v>
      </c>
      <c r="E377" s="1" t="inlineStr">
        <is>
          <t>CHO</t>
        </is>
      </c>
      <c r="F377" s="1" t="n">
        <v>7.4473</v>
      </c>
      <c r="G377" s="1" t="n">
        <v>4.786192</v>
      </c>
    </row>
    <row r="378">
      <c r="A378" s="2" t="inlineStr">
        <is>
          <t>A9</t>
        </is>
      </c>
      <c r="B378" s="2" t="n">
        <v>9</v>
      </c>
      <c r="C378" s="2">
        <f>_xlfn.XLOOKUP(B378,Results!$B$23:$B$119,Results!$D$23:$D$119)</f>
        <v/>
      </c>
      <c r="D378" s="2" t="n">
        <v>35</v>
      </c>
      <c r="E378" s="2" t="inlineStr">
        <is>
          <t>CHO</t>
        </is>
      </c>
      <c r="F378" s="2" t="n">
        <v>7.538</v>
      </c>
      <c r="G378" s="2" t="n">
        <v>4.869541</v>
      </c>
    </row>
    <row r="379">
      <c r="A379" s="1" t="inlineStr">
        <is>
          <t>A9</t>
        </is>
      </c>
      <c r="B379" s="1" t="n">
        <v>9</v>
      </c>
      <c r="C379" s="2">
        <f>_xlfn.XLOOKUP(B379,Results!$B$23:$B$119,Results!$D$23:$D$119)</f>
        <v/>
      </c>
      <c r="D379" s="1" t="n">
        <v>36</v>
      </c>
      <c r="E379" s="1" t="inlineStr">
        <is>
          <t>CHO</t>
        </is>
      </c>
      <c r="F379" s="1" t="n">
        <v>7.6237</v>
      </c>
      <c r="G379" s="1" t="n">
        <v>4.947917</v>
      </c>
    </row>
    <row r="380">
      <c r="A380" s="2" t="inlineStr">
        <is>
          <t>A9</t>
        </is>
      </c>
      <c r="B380" s="2" t="n">
        <v>9</v>
      </c>
      <c r="C380" s="2">
        <f>_xlfn.XLOOKUP(B380,Results!$B$23:$B$119,Results!$D$23:$D$119)</f>
        <v/>
      </c>
      <c r="D380" s="2" t="n">
        <v>37</v>
      </c>
      <c r="E380" s="2" t="inlineStr">
        <is>
          <t>CHO</t>
        </is>
      </c>
      <c r="F380" s="2" t="n">
        <v>7.6838</v>
      </c>
      <c r="G380" s="2" t="n">
        <v>5.000791</v>
      </c>
    </row>
    <row r="381">
      <c r="A381" s="1" t="inlineStr">
        <is>
          <t>A9</t>
        </is>
      </c>
      <c r="B381" s="1" t="n">
        <v>9</v>
      </c>
      <c r="C381" s="2">
        <f>_xlfn.XLOOKUP(B381,Results!$B$23:$B$119,Results!$D$23:$D$119)</f>
        <v/>
      </c>
      <c r="D381" s="1" t="n">
        <v>38</v>
      </c>
      <c r="E381" s="1" t="inlineStr">
        <is>
          <t>CHO</t>
        </is>
      </c>
      <c r="F381" s="1" t="n">
        <v>7.7457</v>
      </c>
      <c r="G381" s="1" t="n">
        <v>5.055335</v>
      </c>
    </row>
    <row r="382">
      <c r="A382" s="2" t="inlineStr">
        <is>
          <t>A9</t>
        </is>
      </c>
      <c r="B382" s="2" t="n">
        <v>9</v>
      </c>
      <c r="C382" s="2">
        <f>_xlfn.XLOOKUP(B382,Results!$B$23:$B$119,Results!$D$23:$D$119)</f>
        <v/>
      </c>
      <c r="D382" s="2" t="n">
        <v>39</v>
      </c>
      <c r="E382" s="2" t="inlineStr">
        <is>
          <t>CHO</t>
        </is>
      </c>
      <c r="F382" s="2" t="n">
        <v>7.8022</v>
      </c>
      <c r="G382" s="2" t="n">
        <v>5.104571</v>
      </c>
    </row>
    <row r="383">
      <c r="A383" s="1" t="inlineStr">
        <is>
          <t>A9</t>
        </is>
      </c>
      <c r="B383" s="1" t="n">
        <v>9</v>
      </c>
      <c r="C383" s="2">
        <f>_xlfn.XLOOKUP(B383,Results!$B$23:$B$119,Results!$D$23:$D$119)</f>
        <v/>
      </c>
      <c r="D383" s="1" t="n">
        <v>40</v>
      </c>
      <c r="E383" s="1" t="inlineStr">
        <is>
          <t>CHO</t>
        </is>
      </c>
      <c r="F383" s="1" t="n">
        <v>7.841</v>
      </c>
      <c r="G383" s="1" t="n">
        <v>5.135999</v>
      </c>
    </row>
    <row r="384">
      <c r="A384" s="2" t="inlineStr">
        <is>
          <t>A10</t>
        </is>
      </c>
      <c r="B384" s="2" t="n">
        <v>10</v>
      </c>
      <c r="C384" s="2">
        <f>_xlfn.XLOOKUP(B384,Results!$B$23:$B$119,Results!$D$23:$D$119)</f>
        <v/>
      </c>
      <c r="D384" s="2" t="n">
        <v>1</v>
      </c>
      <c r="E384" s="2" t="inlineStr">
        <is>
          <t>CHO</t>
        </is>
      </c>
      <c r="F384" s="2" t="n">
        <v>2.2676</v>
      </c>
      <c r="G384" s="2" t="n">
        <v>0.024908</v>
      </c>
    </row>
    <row r="385">
      <c r="A385" s="1" t="inlineStr">
        <is>
          <t>A10</t>
        </is>
      </c>
      <c r="B385" s="1" t="n">
        <v>10</v>
      </c>
      <c r="C385" s="2">
        <f>_xlfn.XLOOKUP(B385,Results!$B$23:$B$119,Results!$D$23:$D$119)</f>
        <v/>
      </c>
      <c r="D385" s="1" t="n">
        <v>2</v>
      </c>
      <c r="E385" s="1" t="inlineStr">
        <is>
          <t>CHO</t>
        </is>
      </c>
      <c r="F385" s="1" t="n">
        <v>2.256</v>
      </c>
      <c r="G385" s="1" t="n">
        <v>0.003602</v>
      </c>
    </row>
    <row r="386">
      <c r="A386" s="2" t="inlineStr">
        <is>
          <t>A10</t>
        </is>
      </c>
      <c r="B386" s="2" t="n">
        <v>10</v>
      </c>
      <c r="C386" s="2">
        <f>_xlfn.XLOOKUP(B386,Results!$B$23:$B$119,Results!$D$23:$D$119)</f>
        <v/>
      </c>
      <c r="D386" s="2" t="n">
        <v>3</v>
      </c>
      <c r="E386" s="2" t="inlineStr">
        <is>
          <t>CHO</t>
        </is>
      </c>
      <c r="F386" s="2" t="n">
        <v>2.2553</v>
      </c>
      <c r="G386" s="2" t="n">
        <v>-0.006663</v>
      </c>
    </row>
    <row r="387">
      <c r="A387" s="1" t="inlineStr">
        <is>
          <t>A10</t>
        </is>
      </c>
      <c r="B387" s="1" t="n">
        <v>10</v>
      </c>
      <c r="C387" s="2">
        <f>_xlfn.XLOOKUP(B387,Results!$B$23:$B$119,Results!$D$23:$D$119)</f>
        <v/>
      </c>
      <c r="D387" s="1" t="n">
        <v>4</v>
      </c>
      <c r="E387" s="1" t="inlineStr">
        <is>
          <t>CHO</t>
        </is>
      </c>
      <c r="F387" s="1" t="n">
        <v>2.2723</v>
      </c>
      <c r="G387" s="1" t="n">
        <v>0.000682</v>
      </c>
    </row>
    <row r="388">
      <c r="A388" s="2" t="inlineStr">
        <is>
          <t>A10</t>
        </is>
      </c>
      <c r="B388" s="2" t="n">
        <v>10</v>
      </c>
      <c r="C388" s="2">
        <f>_xlfn.XLOOKUP(B388,Results!$B$23:$B$119,Results!$D$23:$D$119)</f>
        <v/>
      </c>
      <c r="D388" s="2" t="n">
        <v>5</v>
      </c>
      <c r="E388" s="2" t="inlineStr">
        <is>
          <t>CHO</t>
        </is>
      </c>
      <c r="F388" s="2" t="n">
        <v>2.2875</v>
      </c>
      <c r="G388" s="2" t="n">
        <v>0.006268</v>
      </c>
    </row>
    <row r="389">
      <c r="A389" s="1" t="inlineStr">
        <is>
          <t>A10</t>
        </is>
      </c>
      <c r="B389" s="1" t="n">
        <v>10</v>
      </c>
      <c r="C389" s="2">
        <f>_xlfn.XLOOKUP(B389,Results!$B$23:$B$119,Results!$D$23:$D$119)</f>
        <v/>
      </c>
      <c r="D389" s="1" t="n">
        <v>6</v>
      </c>
      <c r="E389" s="1" t="inlineStr">
        <is>
          <t>CHO</t>
        </is>
      </c>
      <c r="F389" s="1" t="n">
        <v>2.2954</v>
      </c>
      <c r="G389" s="1" t="n">
        <v>0.004557</v>
      </c>
    </row>
    <row r="390">
      <c r="A390" s="2" t="inlineStr">
        <is>
          <t>A10</t>
        </is>
      </c>
      <c r="B390" s="2" t="n">
        <v>10</v>
      </c>
      <c r="C390" s="2">
        <f>_xlfn.XLOOKUP(B390,Results!$B$23:$B$119,Results!$D$23:$D$119)</f>
        <v/>
      </c>
      <c r="D390" s="2" t="n">
        <v>7</v>
      </c>
      <c r="E390" s="2" t="inlineStr">
        <is>
          <t>CHO</t>
        </is>
      </c>
      <c r="F390" s="2" t="n">
        <v>2.3003</v>
      </c>
      <c r="G390" s="2" t="n">
        <v>-0.000155</v>
      </c>
    </row>
    <row r="391">
      <c r="A391" s="1" t="inlineStr">
        <is>
          <t>A10</t>
        </is>
      </c>
      <c r="B391" s="1" t="n">
        <v>10</v>
      </c>
      <c r="C391" s="2">
        <f>_xlfn.XLOOKUP(B391,Results!$B$23:$B$119,Results!$D$23:$D$119)</f>
        <v/>
      </c>
      <c r="D391" s="1" t="n">
        <v>8</v>
      </c>
      <c r="E391" s="1" t="inlineStr">
        <is>
          <t>CHO</t>
        </is>
      </c>
      <c r="F391" s="1" t="n">
        <v>2.3082</v>
      </c>
      <c r="G391" s="1" t="n">
        <v>-0.001865</v>
      </c>
    </row>
    <row r="392">
      <c r="A392" s="2" t="inlineStr">
        <is>
          <t>A10</t>
        </is>
      </c>
      <c r="B392" s="2" t="n">
        <v>10</v>
      </c>
      <c r="C392" s="2">
        <f>_xlfn.XLOOKUP(B392,Results!$B$23:$B$119,Results!$D$23:$D$119)</f>
        <v/>
      </c>
      <c r="D392" s="2" t="n">
        <v>9</v>
      </c>
      <c r="E392" s="2" t="inlineStr">
        <is>
          <t>CHO</t>
        </is>
      </c>
      <c r="F392" s="2" t="n">
        <v>2.3169</v>
      </c>
      <c r="G392" s="2" t="n">
        <v>-0.002824</v>
      </c>
    </row>
    <row r="393">
      <c r="A393" s="1" t="inlineStr">
        <is>
          <t>A10</t>
        </is>
      </c>
      <c r="B393" s="1" t="n">
        <v>10</v>
      </c>
      <c r="C393" s="2">
        <f>_xlfn.XLOOKUP(B393,Results!$B$23:$B$119,Results!$D$23:$D$119)</f>
        <v/>
      </c>
      <c r="D393" s="1" t="n">
        <v>10</v>
      </c>
      <c r="E393" s="1" t="inlineStr">
        <is>
          <t>CHO</t>
        </is>
      </c>
      <c r="F393" s="1" t="n">
        <v>2.3352</v>
      </c>
      <c r="G393" s="1" t="n">
        <v>0.005882</v>
      </c>
    </row>
    <row r="394">
      <c r="A394" s="2" t="inlineStr">
        <is>
          <t>A10</t>
        </is>
      </c>
      <c r="B394" s="2" t="n">
        <v>10</v>
      </c>
      <c r="C394" s="2">
        <f>_xlfn.XLOOKUP(B394,Results!$B$23:$B$119,Results!$D$23:$D$119)</f>
        <v/>
      </c>
      <c r="D394" s="2" t="n">
        <v>11</v>
      </c>
      <c r="E394" s="2" t="inlineStr">
        <is>
          <t>CHO</t>
        </is>
      </c>
      <c r="F394" s="2" t="n">
        <v>2.366</v>
      </c>
      <c r="G394" s="2" t="n">
        <v>0.027103</v>
      </c>
    </row>
    <row r="395">
      <c r="A395" s="1" t="inlineStr">
        <is>
          <t>A10</t>
        </is>
      </c>
      <c r="B395" s="1" t="n">
        <v>10</v>
      </c>
      <c r="C395" s="2">
        <f>_xlfn.XLOOKUP(B395,Results!$B$23:$B$119,Results!$D$23:$D$119)</f>
        <v/>
      </c>
      <c r="D395" s="1" t="n">
        <v>12</v>
      </c>
      <c r="E395" s="1" t="inlineStr">
        <is>
          <t>CHO</t>
        </is>
      </c>
      <c r="F395" s="1" t="n">
        <v>2.4241</v>
      </c>
      <c r="G395" s="1" t="n">
        <v>0.075504</v>
      </c>
    </row>
    <row r="396">
      <c r="A396" s="2" t="inlineStr">
        <is>
          <t>A10</t>
        </is>
      </c>
      <c r="B396" s="2" t="n">
        <v>10</v>
      </c>
      <c r="C396" s="2">
        <f>_xlfn.XLOOKUP(B396,Results!$B$23:$B$119,Results!$D$23:$D$119)</f>
        <v/>
      </c>
      <c r="D396" s="2" t="n">
        <v>13</v>
      </c>
      <c r="E396" s="2" t="inlineStr">
        <is>
          <t>CHO</t>
        </is>
      </c>
      <c r="F396" s="2" t="n">
        <v>2.5288</v>
      </c>
      <c r="G396" s="2" t="n">
        <v>0.170605</v>
      </c>
    </row>
    <row r="397">
      <c r="A397" s="1" t="inlineStr">
        <is>
          <t>A10</t>
        </is>
      </c>
      <c r="B397" s="1" t="n">
        <v>10</v>
      </c>
      <c r="C397" s="2">
        <f>_xlfn.XLOOKUP(B397,Results!$B$23:$B$119,Results!$D$23:$D$119)</f>
        <v/>
      </c>
      <c r="D397" s="1" t="n">
        <v>14</v>
      </c>
      <c r="E397" s="1" t="inlineStr">
        <is>
          <t>CHO</t>
        </is>
      </c>
      <c r="F397" s="1" t="n">
        <v>2.7004</v>
      </c>
      <c r="G397" s="1" t="n">
        <v>0.332585</v>
      </c>
    </row>
    <row r="398">
      <c r="A398" s="2" t="inlineStr">
        <is>
          <t>A10</t>
        </is>
      </c>
      <c r="B398" s="2" t="n">
        <v>10</v>
      </c>
      <c r="C398" s="2">
        <f>_xlfn.XLOOKUP(B398,Results!$B$23:$B$119,Results!$D$23:$D$119)</f>
        <v/>
      </c>
      <c r="D398" s="2" t="n">
        <v>15</v>
      </c>
      <c r="E398" s="2" t="inlineStr">
        <is>
          <t>CHO</t>
        </is>
      </c>
      <c r="F398" s="2" t="n">
        <v>2.9624</v>
      </c>
      <c r="G398" s="2" t="n">
        <v>0.584947</v>
      </c>
    </row>
    <row r="399">
      <c r="A399" s="1" t="inlineStr">
        <is>
          <t>A10</t>
        </is>
      </c>
      <c r="B399" s="1" t="n">
        <v>10</v>
      </c>
      <c r="C399" s="2">
        <f>_xlfn.XLOOKUP(B399,Results!$B$23:$B$119,Results!$D$23:$D$119)</f>
        <v/>
      </c>
      <c r="D399" s="1" t="n">
        <v>16</v>
      </c>
      <c r="E399" s="1" t="inlineStr">
        <is>
          <t>CHO</t>
        </is>
      </c>
      <c r="F399" s="1" t="n">
        <v>3.3137</v>
      </c>
      <c r="G399" s="1" t="n">
        <v>0.9267030000000001</v>
      </c>
    </row>
    <row r="400">
      <c r="A400" s="2" t="inlineStr">
        <is>
          <t>A10</t>
        </is>
      </c>
      <c r="B400" s="2" t="n">
        <v>10</v>
      </c>
      <c r="C400" s="2">
        <f>_xlfn.XLOOKUP(B400,Results!$B$23:$B$119,Results!$D$23:$D$119)</f>
        <v/>
      </c>
      <c r="D400" s="2" t="n">
        <v>17</v>
      </c>
      <c r="E400" s="2" t="inlineStr">
        <is>
          <t>CHO</t>
        </is>
      </c>
      <c r="F400" s="2" t="n">
        <v>3.7256</v>
      </c>
      <c r="G400" s="2" t="n">
        <v>1.32891</v>
      </c>
    </row>
    <row r="401">
      <c r="A401" s="1" t="inlineStr">
        <is>
          <t>A10</t>
        </is>
      </c>
      <c r="B401" s="1" t="n">
        <v>10</v>
      </c>
      <c r="C401" s="2">
        <f>_xlfn.XLOOKUP(B401,Results!$B$23:$B$119,Results!$D$23:$D$119)</f>
        <v/>
      </c>
      <c r="D401" s="1" t="n">
        <v>18</v>
      </c>
      <c r="E401" s="1" t="inlineStr">
        <is>
          <t>CHO</t>
        </is>
      </c>
      <c r="F401" s="1" t="n">
        <v>4.1546</v>
      </c>
      <c r="G401" s="1" t="n">
        <v>1.748352</v>
      </c>
    </row>
    <row r="402">
      <c r="A402" s="2" t="inlineStr">
        <is>
          <t>A10</t>
        </is>
      </c>
      <c r="B402" s="2" t="n">
        <v>10</v>
      </c>
      <c r="C402" s="2">
        <f>_xlfn.XLOOKUP(B402,Results!$B$23:$B$119,Results!$D$23:$D$119)</f>
        <v/>
      </c>
      <c r="D402" s="2" t="n">
        <v>19</v>
      </c>
      <c r="E402" s="2" t="inlineStr">
        <is>
          <t>CHO</t>
        </is>
      </c>
      <c r="F402" s="2" t="n">
        <v>4.5693</v>
      </c>
      <c r="G402" s="2" t="n">
        <v>2.153375</v>
      </c>
    </row>
    <row r="403">
      <c r="A403" s="1" t="inlineStr">
        <is>
          <t>A10</t>
        </is>
      </c>
      <c r="B403" s="1" t="n">
        <v>10</v>
      </c>
      <c r="C403" s="2">
        <f>_xlfn.XLOOKUP(B403,Results!$B$23:$B$119,Results!$D$23:$D$119)</f>
        <v/>
      </c>
      <c r="D403" s="1" t="n">
        <v>20</v>
      </c>
      <c r="E403" s="1" t="inlineStr">
        <is>
          <t>CHO</t>
        </is>
      </c>
      <c r="F403" s="1" t="n">
        <v>4.9451</v>
      </c>
      <c r="G403" s="1" t="n">
        <v>2.519581</v>
      </c>
    </row>
    <row r="404">
      <c r="A404" s="2" t="inlineStr">
        <is>
          <t>A10</t>
        </is>
      </c>
      <c r="B404" s="2" t="n">
        <v>10</v>
      </c>
      <c r="C404" s="2">
        <f>_xlfn.XLOOKUP(B404,Results!$B$23:$B$119,Results!$D$23:$D$119)</f>
        <v/>
      </c>
      <c r="D404" s="2" t="n">
        <v>21</v>
      </c>
      <c r="E404" s="2" t="inlineStr">
        <is>
          <t>CHO</t>
        </is>
      </c>
      <c r="F404" s="2" t="n">
        <v>5.2978</v>
      </c>
      <c r="G404" s="2" t="n">
        <v>2.862636</v>
      </c>
    </row>
    <row r="405">
      <c r="A405" s="1" t="inlineStr">
        <is>
          <t>A10</t>
        </is>
      </c>
      <c r="B405" s="1" t="n">
        <v>10</v>
      </c>
      <c r="C405" s="2">
        <f>_xlfn.XLOOKUP(B405,Results!$B$23:$B$119,Results!$D$23:$D$119)</f>
        <v/>
      </c>
      <c r="D405" s="1" t="n">
        <v>22</v>
      </c>
      <c r="E405" s="1" t="inlineStr">
        <is>
          <t>CHO</t>
        </is>
      </c>
      <c r="F405" s="1" t="n">
        <v>5.5936</v>
      </c>
      <c r="G405" s="1" t="n">
        <v>3.148862</v>
      </c>
    </row>
    <row r="406">
      <c r="A406" s="2" t="inlineStr">
        <is>
          <t>A10</t>
        </is>
      </c>
      <c r="B406" s="2" t="n">
        <v>10</v>
      </c>
      <c r="C406" s="2">
        <f>_xlfn.XLOOKUP(B406,Results!$B$23:$B$119,Results!$D$23:$D$119)</f>
        <v/>
      </c>
      <c r="D406" s="2" t="n">
        <v>23</v>
      </c>
      <c r="E406" s="2" t="inlineStr">
        <is>
          <t>CHO</t>
        </is>
      </c>
      <c r="F406" s="2" t="n">
        <v>5.8513</v>
      </c>
      <c r="G406" s="2" t="n">
        <v>3.39697</v>
      </c>
    </row>
    <row r="407">
      <c r="A407" s="1" t="inlineStr">
        <is>
          <t>A10</t>
        </is>
      </c>
      <c r="B407" s="1" t="n">
        <v>10</v>
      </c>
      <c r="C407" s="2">
        <f>_xlfn.XLOOKUP(B407,Results!$B$23:$B$119,Results!$D$23:$D$119)</f>
        <v/>
      </c>
      <c r="D407" s="1" t="n">
        <v>24</v>
      </c>
      <c r="E407" s="1" t="inlineStr">
        <is>
          <t>CHO</t>
        </is>
      </c>
      <c r="F407" s="1" t="n">
        <v>6.0758</v>
      </c>
      <c r="G407" s="1" t="n">
        <v>3.611812</v>
      </c>
    </row>
    <row r="408">
      <c r="A408" s="2" t="inlineStr">
        <is>
          <t>A10</t>
        </is>
      </c>
      <c r="B408" s="2" t="n">
        <v>10</v>
      </c>
      <c r="C408" s="2">
        <f>_xlfn.XLOOKUP(B408,Results!$B$23:$B$119,Results!$D$23:$D$119)</f>
        <v/>
      </c>
      <c r="D408" s="2" t="n">
        <v>25</v>
      </c>
      <c r="E408" s="2" t="inlineStr">
        <is>
          <t>CHO</t>
        </is>
      </c>
      <c r="F408" s="2" t="n">
        <v>6.2583</v>
      </c>
      <c r="G408" s="2" t="n">
        <v>3.784695</v>
      </c>
    </row>
    <row r="409">
      <c r="A409" s="1" t="inlineStr">
        <is>
          <t>A10</t>
        </is>
      </c>
      <c r="B409" s="1" t="n">
        <v>10</v>
      </c>
      <c r="C409" s="2">
        <f>_xlfn.XLOOKUP(B409,Results!$B$23:$B$119,Results!$D$23:$D$119)</f>
        <v/>
      </c>
      <c r="D409" s="1" t="n">
        <v>26</v>
      </c>
      <c r="E409" s="1" t="inlineStr">
        <is>
          <t>CHO</t>
        </is>
      </c>
      <c r="F409" s="1" t="n">
        <v>6.4162</v>
      </c>
      <c r="G409" s="1" t="n">
        <v>3.93298</v>
      </c>
    </row>
    <row r="410">
      <c r="A410" s="2" t="inlineStr">
        <is>
          <t>A10</t>
        </is>
      </c>
      <c r="B410" s="2" t="n">
        <v>10</v>
      </c>
      <c r="C410" s="2">
        <f>_xlfn.XLOOKUP(B410,Results!$B$23:$B$119,Results!$D$23:$D$119)</f>
        <v/>
      </c>
      <c r="D410" s="2" t="n">
        <v>27</v>
      </c>
      <c r="E410" s="2" t="inlineStr">
        <is>
          <t>CHO</t>
        </is>
      </c>
      <c r="F410" s="2" t="n">
        <v>6.5555</v>
      </c>
      <c r="G410" s="2" t="n">
        <v>4.06261</v>
      </c>
    </row>
    <row r="411">
      <c r="A411" s="1" t="inlineStr">
        <is>
          <t>A10</t>
        </is>
      </c>
      <c r="B411" s="1" t="n">
        <v>10</v>
      </c>
      <c r="C411" s="2">
        <f>_xlfn.XLOOKUP(B411,Results!$B$23:$B$119,Results!$D$23:$D$119)</f>
        <v/>
      </c>
      <c r="D411" s="1" t="n">
        <v>28</v>
      </c>
      <c r="E411" s="1" t="inlineStr">
        <is>
          <t>CHO</t>
        </is>
      </c>
      <c r="F411" s="1" t="n">
        <v>6.6705</v>
      </c>
      <c r="G411" s="1" t="n">
        <v>4.168087</v>
      </c>
    </row>
    <row r="412">
      <c r="A412" s="2" t="inlineStr">
        <is>
          <t>A10</t>
        </is>
      </c>
      <c r="B412" s="2" t="n">
        <v>10</v>
      </c>
      <c r="C412" s="2">
        <f>_xlfn.XLOOKUP(B412,Results!$B$23:$B$119,Results!$D$23:$D$119)</f>
        <v/>
      </c>
      <c r="D412" s="2" t="n">
        <v>29</v>
      </c>
      <c r="E412" s="2" t="inlineStr">
        <is>
          <t>CHO</t>
        </is>
      </c>
      <c r="F412" s="2" t="n">
        <v>6.7686</v>
      </c>
      <c r="G412" s="2" t="n">
        <v>4.256471</v>
      </c>
    </row>
    <row r="413">
      <c r="A413" s="1" t="inlineStr">
        <is>
          <t>A10</t>
        </is>
      </c>
      <c r="B413" s="1" t="n">
        <v>10</v>
      </c>
      <c r="C413" s="2">
        <f>_xlfn.XLOOKUP(B413,Results!$B$23:$B$119,Results!$D$23:$D$119)</f>
        <v/>
      </c>
      <c r="D413" s="1" t="n">
        <v>30</v>
      </c>
      <c r="E413" s="1" t="inlineStr">
        <is>
          <t>CHO</t>
        </is>
      </c>
      <c r="F413" s="1" t="n">
        <v>6.8463</v>
      </c>
      <c r="G413" s="1" t="n">
        <v>4.324594</v>
      </c>
    </row>
    <row r="414">
      <c r="A414" s="2" t="inlineStr">
        <is>
          <t>A10</t>
        </is>
      </c>
      <c r="B414" s="2" t="n">
        <v>10</v>
      </c>
      <c r="C414" s="2">
        <f>_xlfn.XLOOKUP(B414,Results!$B$23:$B$119,Results!$D$23:$D$119)</f>
        <v/>
      </c>
      <c r="D414" s="2" t="n">
        <v>31</v>
      </c>
      <c r="E414" s="2" t="inlineStr">
        <is>
          <t>CHO</t>
        </is>
      </c>
      <c r="F414" s="2" t="n">
        <v>6.9081</v>
      </c>
      <c r="G414" s="2" t="n">
        <v>4.376736</v>
      </c>
    </row>
    <row r="415">
      <c r="A415" s="1" t="inlineStr">
        <is>
          <t>A10</t>
        </is>
      </c>
      <c r="B415" s="1" t="n">
        <v>10</v>
      </c>
      <c r="C415" s="2">
        <f>_xlfn.XLOOKUP(B415,Results!$B$23:$B$119,Results!$D$23:$D$119)</f>
        <v/>
      </c>
      <c r="D415" s="1" t="n">
        <v>32</v>
      </c>
      <c r="E415" s="1" t="inlineStr">
        <is>
          <t>CHO</t>
        </is>
      </c>
      <c r="F415" s="1" t="n">
        <v>6.9712</v>
      </c>
      <c r="G415" s="1" t="n">
        <v>4.430257</v>
      </c>
    </row>
    <row r="416">
      <c r="A416" s="2" t="inlineStr">
        <is>
          <t>A10</t>
        </is>
      </c>
      <c r="B416" s="2" t="n">
        <v>10</v>
      </c>
      <c r="C416" s="2">
        <f>_xlfn.XLOOKUP(B416,Results!$B$23:$B$119,Results!$D$23:$D$119)</f>
        <v/>
      </c>
      <c r="D416" s="2" t="n">
        <v>33</v>
      </c>
      <c r="E416" s="2" t="inlineStr">
        <is>
          <t>CHO</t>
        </is>
      </c>
      <c r="F416" s="2" t="n">
        <v>7.0523</v>
      </c>
      <c r="G416" s="2" t="n">
        <v>4.501742</v>
      </c>
    </row>
    <row r="417">
      <c r="A417" s="1" t="inlineStr">
        <is>
          <t>A10</t>
        </is>
      </c>
      <c r="B417" s="1" t="n">
        <v>10</v>
      </c>
      <c r="C417" s="2">
        <f>_xlfn.XLOOKUP(B417,Results!$B$23:$B$119,Results!$D$23:$D$119)</f>
        <v/>
      </c>
      <c r="D417" s="1" t="n">
        <v>34</v>
      </c>
      <c r="E417" s="1" t="inlineStr">
        <is>
          <t>CHO</t>
        </is>
      </c>
      <c r="F417" s="1" t="n">
        <v>7.1185</v>
      </c>
      <c r="G417" s="1" t="n">
        <v>4.558295</v>
      </c>
    </row>
    <row r="418">
      <c r="A418" s="2" t="inlineStr">
        <is>
          <t>A10</t>
        </is>
      </c>
      <c r="B418" s="2" t="n">
        <v>10</v>
      </c>
      <c r="C418" s="2">
        <f>_xlfn.XLOOKUP(B418,Results!$B$23:$B$119,Results!$D$23:$D$119)</f>
        <v/>
      </c>
      <c r="D418" s="2" t="n">
        <v>35</v>
      </c>
      <c r="E418" s="2" t="inlineStr">
        <is>
          <t>CHO</t>
        </is>
      </c>
      <c r="F418" s="2" t="n">
        <v>7.1561</v>
      </c>
      <c r="G418" s="2" t="n">
        <v>4.586271</v>
      </c>
    </row>
    <row r="419">
      <c r="A419" s="1" t="inlineStr">
        <is>
          <t>A10</t>
        </is>
      </c>
      <c r="B419" s="1" t="n">
        <v>10</v>
      </c>
      <c r="C419" s="2">
        <f>_xlfn.XLOOKUP(B419,Results!$B$23:$B$119,Results!$D$23:$D$119)</f>
        <v/>
      </c>
      <c r="D419" s="1" t="n">
        <v>36</v>
      </c>
      <c r="E419" s="1" t="inlineStr">
        <is>
          <t>CHO</t>
        </is>
      </c>
      <c r="F419" s="1" t="n">
        <v>7.1954</v>
      </c>
      <c r="G419" s="1" t="n">
        <v>4.616024</v>
      </c>
    </row>
    <row r="420">
      <c r="A420" s="2" t="inlineStr">
        <is>
          <t>A10</t>
        </is>
      </c>
      <c r="B420" s="2" t="n">
        <v>10</v>
      </c>
      <c r="C420" s="2">
        <f>_xlfn.XLOOKUP(B420,Results!$B$23:$B$119,Results!$D$23:$D$119)</f>
        <v/>
      </c>
      <c r="D420" s="2" t="n">
        <v>37</v>
      </c>
      <c r="E420" s="2" t="inlineStr">
        <is>
          <t>CHO</t>
        </is>
      </c>
      <c r="F420" s="2" t="n">
        <v>7.2354</v>
      </c>
      <c r="G420" s="2" t="n">
        <v>4.646399</v>
      </c>
    </row>
    <row r="421">
      <c r="A421" s="1" t="inlineStr">
        <is>
          <t>A10</t>
        </is>
      </c>
      <c r="B421" s="1" t="n">
        <v>10</v>
      </c>
      <c r="C421" s="2">
        <f>_xlfn.XLOOKUP(B421,Results!$B$23:$B$119,Results!$D$23:$D$119)</f>
        <v/>
      </c>
      <c r="D421" s="1" t="n">
        <v>38</v>
      </c>
      <c r="E421" s="1" t="inlineStr">
        <is>
          <t>CHO</t>
        </is>
      </c>
      <c r="F421" s="1" t="n">
        <v>7.2858</v>
      </c>
      <c r="G421" s="1" t="n">
        <v>4.68712</v>
      </c>
    </row>
    <row r="422">
      <c r="A422" s="2" t="inlineStr">
        <is>
          <t>A10</t>
        </is>
      </c>
      <c r="B422" s="2" t="n">
        <v>10</v>
      </c>
      <c r="C422" s="2">
        <f>_xlfn.XLOOKUP(B422,Results!$B$23:$B$119,Results!$D$23:$D$119)</f>
        <v/>
      </c>
      <c r="D422" s="2" t="n">
        <v>39</v>
      </c>
      <c r="E422" s="2" t="inlineStr">
        <is>
          <t>CHO</t>
        </is>
      </c>
      <c r="F422" s="2" t="n">
        <v>7.3353</v>
      </c>
      <c r="G422" s="2" t="n">
        <v>4.727055</v>
      </c>
    </row>
    <row r="423">
      <c r="A423" s="1" t="inlineStr">
        <is>
          <t>A10</t>
        </is>
      </c>
      <c r="B423" s="1" t="n">
        <v>10</v>
      </c>
      <c r="C423" s="2">
        <f>_xlfn.XLOOKUP(B423,Results!$B$23:$B$119,Results!$D$23:$D$119)</f>
        <v/>
      </c>
      <c r="D423" s="1" t="n">
        <v>40</v>
      </c>
      <c r="E423" s="1" t="inlineStr">
        <is>
          <t>CHO</t>
        </is>
      </c>
      <c r="F423" s="1" t="n">
        <v>7.3527</v>
      </c>
      <c r="G423" s="1" t="n">
        <v>4.734769</v>
      </c>
    </row>
    <row r="424">
      <c r="A424" s="2" t="inlineStr">
        <is>
          <t>A11</t>
        </is>
      </c>
      <c r="B424" s="2" t="n">
        <v>11</v>
      </c>
      <c r="C424" s="2">
        <f>_xlfn.XLOOKUP(B424,Results!$B$23:$B$119,Results!$D$23:$D$119)</f>
        <v/>
      </c>
      <c r="D424" s="2" t="n">
        <v>1</v>
      </c>
      <c r="E424" s="2" t="inlineStr">
        <is>
          <t>CHO</t>
        </is>
      </c>
      <c r="F424" s="2" t="n">
        <v>2.3116</v>
      </c>
      <c r="G424" s="2" t="n">
        <v>0.015533</v>
      </c>
    </row>
    <row r="425">
      <c r="A425" s="1" t="inlineStr">
        <is>
          <t>A11</t>
        </is>
      </c>
      <c r="B425" s="1" t="n">
        <v>11</v>
      </c>
      <c r="C425" s="2">
        <f>_xlfn.XLOOKUP(B425,Results!$B$23:$B$119,Results!$D$23:$D$119)</f>
        <v/>
      </c>
      <c r="D425" s="1" t="n">
        <v>2</v>
      </c>
      <c r="E425" s="1" t="inlineStr">
        <is>
          <t>CHO</t>
        </is>
      </c>
      <c r="F425" s="1" t="n">
        <v>2.3084</v>
      </c>
      <c r="G425" s="1" t="n">
        <v>0.004021</v>
      </c>
    </row>
    <row r="426">
      <c r="A426" s="2" t="inlineStr">
        <is>
          <t>A11</t>
        </is>
      </c>
      <c r="B426" s="2" t="n">
        <v>11</v>
      </c>
      <c r="C426" s="2">
        <f>_xlfn.XLOOKUP(B426,Results!$B$23:$B$119,Results!$D$23:$D$119)</f>
        <v/>
      </c>
      <c r="D426" s="2" t="n">
        <v>3</v>
      </c>
      <c r="E426" s="2" t="inlineStr">
        <is>
          <t>CHO</t>
        </is>
      </c>
      <c r="F426" s="2" t="n">
        <v>2.3127</v>
      </c>
      <c r="G426" s="2" t="n">
        <v>3e-05</v>
      </c>
    </row>
    <row r="427">
      <c r="A427" s="1" t="inlineStr">
        <is>
          <t>A11</t>
        </is>
      </c>
      <c r="B427" s="1" t="n">
        <v>11</v>
      </c>
      <c r="C427" s="2">
        <f>_xlfn.XLOOKUP(B427,Results!$B$23:$B$119,Results!$D$23:$D$119)</f>
        <v/>
      </c>
      <c r="D427" s="1" t="n">
        <v>4</v>
      </c>
      <c r="E427" s="1" t="inlineStr">
        <is>
          <t>CHO</t>
        </is>
      </c>
      <c r="F427" s="1" t="n">
        <v>2.3209</v>
      </c>
      <c r="G427" s="1" t="n">
        <v>-8.8e-05</v>
      </c>
    </row>
    <row r="428">
      <c r="A428" s="2" t="inlineStr">
        <is>
          <t>A11</t>
        </is>
      </c>
      <c r="B428" s="2" t="n">
        <v>11</v>
      </c>
      <c r="C428" s="2">
        <f>_xlfn.XLOOKUP(B428,Results!$B$23:$B$119,Results!$D$23:$D$119)</f>
        <v/>
      </c>
      <c r="D428" s="2" t="n">
        <v>5</v>
      </c>
      <c r="E428" s="2" t="inlineStr">
        <is>
          <t>CHO</t>
        </is>
      </c>
      <c r="F428" s="2" t="n">
        <v>2.3308</v>
      </c>
      <c r="G428" s="2" t="n">
        <v>0.001568</v>
      </c>
    </row>
    <row r="429">
      <c r="A429" s="1" t="inlineStr">
        <is>
          <t>A11</t>
        </is>
      </c>
      <c r="B429" s="1" t="n">
        <v>11</v>
      </c>
      <c r="C429" s="2">
        <f>_xlfn.XLOOKUP(B429,Results!$B$23:$B$119,Results!$D$23:$D$119)</f>
        <v/>
      </c>
      <c r="D429" s="1" t="n">
        <v>6</v>
      </c>
      <c r="E429" s="1" t="inlineStr">
        <is>
          <t>CHO</t>
        </is>
      </c>
      <c r="F429" s="1" t="n">
        <v>2.3369</v>
      </c>
      <c r="G429" s="1" t="n">
        <v>-0.000598</v>
      </c>
    </row>
    <row r="430">
      <c r="A430" s="2" t="inlineStr">
        <is>
          <t>A11</t>
        </is>
      </c>
      <c r="B430" s="2" t="n">
        <v>11</v>
      </c>
      <c r="C430" s="2">
        <f>_xlfn.XLOOKUP(B430,Results!$B$23:$B$119,Results!$D$23:$D$119)</f>
        <v/>
      </c>
      <c r="D430" s="2" t="n">
        <v>7</v>
      </c>
      <c r="E430" s="2" t="inlineStr">
        <is>
          <t>CHO</t>
        </is>
      </c>
      <c r="F430" s="2" t="n">
        <v>2.3435</v>
      </c>
      <c r="G430" s="2" t="n">
        <v>-0.002352</v>
      </c>
    </row>
    <row r="431">
      <c r="A431" s="1" t="inlineStr">
        <is>
          <t>A11</t>
        </is>
      </c>
      <c r="B431" s="1" t="n">
        <v>11</v>
      </c>
      <c r="C431" s="2">
        <f>_xlfn.XLOOKUP(B431,Results!$B$23:$B$119,Results!$D$23:$D$119)</f>
        <v/>
      </c>
      <c r="D431" s="1" t="n">
        <v>8</v>
      </c>
      <c r="E431" s="1" t="inlineStr">
        <is>
          <t>CHO</t>
        </is>
      </c>
      <c r="F431" s="1" t="n">
        <v>2.3546</v>
      </c>
      <c r="G431" s="1" t="n">
        <v>0.000487</v>
      </c>
    </row>
    <row r="432">
      <c r="A432" s="2" t="inlineStr">
        <is>
          <t>A11</t>
        </is>
      </c>
      <c r="B432" s="2" t="n">
        <v>11</v>
      </c>
      <c r="C432" s="2">
        <f>_xlfn.XLOOKUP(B432,Results!$B$23:$B$119,Results!$D$23:$D$119)</f>
        <v/>
      </c>
      <c r="D432" s="2" t="n">
        <v>9</v>
      </c>
      <c r="E432" s="2" t="inlineStr">
        <is>
          <t>CHO</t>
        </is>
      </c>
      <c r="F432" s="2" t="n">
        <v>2.3633</v>
      </c>
      <c r="G432" s="2" t="n">
        <v>0.000953</v>
      </c>
    </row>
    <row r="433">
      <c r="A433" s="1" t="inlineStr">
        <is>
          <t>A11</t>
        </is>
      </c>
      <c r="B433" s="1" t="n">
        <v>11</v>
      </c>
      <c r="C433" s="2">
        <f>_xlfn.XLOOKUP(B433,Results!$B$23:$B$119,Results!$D$23:$D$119)</f>
        <v/>
      </c>
      <c r="D433" s="1" t="n">
        <v>10</v>
      </c>
      <c r="E433" s="1" t="inlineStr">
        <is>
          <t>CHO</t>
        </is>
      </c>
      <c r="F433" s="1" t="n">
        <v>2.3801</v>
      </c>
      <c r="G433" s="1" t="n">
        <v>0.009421000000000001</v>
      </c>
    </row>
    <row r="434">
      <c r="A434" s="2" t="inlineStr">
        <is>
          <t>A11</t>
        </is>
      </c>
      <c r="B434" s="2" t="n">
        <v>11</v>
      </c>
      <c r="C434" s="2">
        <f>_xlfn.XLOOKUP(B434,Results!$B$23:$B$119,Results!$D$23:$D$119)</f>
        <v/>
      </c>
      <c r="D434" s="2" t="n">
        <v>11</v>
      </c>
      <c r="E434" s="2" t="inlineStr">
        <is>
          <t>CHO</t>
        </is>
      </c>
      <c r="F434" s="2" t="n">
        <v>2.4125</v>
      </c>
      <c r="G434" s="2" t="n">
        <v>0.033503</v>
      </c>
    </row>
    <row r="435">
      <c r="A435" s="1" t="inlineStr">
        <is>
          <t>A11</t>
        </is>
      </c>
      <c r="B435" s="1" t="n">
        <v>11</v>
      </c>
      <c r="C435" s="2">
        <f>_xlfn.XLOOKUP(B435,Results!$B$23:$B$119,Results!$D$23:$D$119)</f>
        <v/>
      </c>
      <c r="D435" s="1" t="n">
        <v>12</v>
      </c>
      <c r="E435" s="1" t="inlineStr">
        <is>
          <t>CHO</t>
        </is>
      </c>
      <c r="F435" s="1" t="n">
        <v>2.4666</v>
      </c>
      <c r="G435" s="1" t="n">
        <v>0.079378</v>
      </c>
    </row>
    <row r="436">
      <c r="A436" s="2" t="inlineStr">
        <is>
          <t>A11</t>
        </is>
      </c>
      <c r="B436" s="2" t="n">
        <v>11</v>
      </c>
      <c r="C436" s="2">
        <f>_xlfn.XLOOKUP(B436,Results!$B$23:$B$119,Results!$D$23:$D$119)</f>
        <v/>
      </c>
      <c r="D436" s="2" t="n">
        <v>13</v>
      </c>
      <c r="E436" s="2" t="inlineStr">
        <is>
          <t>CHO</t>
        </is>
      </c>
      <c r="F436" s="2" t="n">
        <v>2.5738</v>
      </c>
      <c r="G436" s="2" t="n">
        <v>0.178302</v>
      </c>
    </row>
    <row r="437">
      <c r="A437" s="1" t="inlineStr">
        <is>
          <t>A11</t>
        </is>
      </c>
      <c r="B437" s="1" t="n">
        <v>11</v>
      </c>
      <c r="C437" s="2">
        <f>_xlfn.XLOOKUP(B437,Results!$B$23:$B$119,Results!$D$23:$D$119)</f>
        <v/>
      </c>
      <c r="D437" s="1" t="n">
        <v>14</v>
      </c>
      <c r="E437" s="1" t="inlineStr">
        <is>
          <t>CHO</t>
        </is>
      </c>
      <c r="F437" s="1" t="n">
        <v>2.7484</v>
      </c>
      <c r="G437" s="1" t="n">
        <v>0.3446</v>
      </c>
    </row>
    <row r="438">
      <c r="A438" s="2" t="inlineStr">
        <is>
          <t>A11</t>
        </is>
      </c>
      <c r="B438" s="2" t="n">
        <v>11</v>
      </c>
      <c r="C438" s="2">
        <f>_xlfn.XLOOKUP(B438,Results!$B$23:$B$119,Results!$D$23:$D$119)</f>
        <v/>
      </c>
      <c r="D438" s="2" t="n">
        <v>15</v>
      </c>
      <c r="E438" s="2" t="inlineStr">
        <is>
          <t>CHO</t>
        </is>
      </c>
      <c r="F438" s="2" t="n">
        <v>3.0095</v>
      </c>
      <c r="G438" s="2" t="n">
        <v>0.597432</v>
      </c>
    </row>
    <row r="439">
      <c r="A439" s="1" t="inlineStr">
        <is>
          <t>A11</t>
        </is>
      </c>
      <c r="B439" s="1" t="n">
        <v>11</v>
      </c>
      <c r="C439" s="2">
        <f>_xlfn.XLOOKUP(B439,Results!$B$23:$B$119,Results!$D$23:$D$119)</f>
        <v/>
      </c>
      <c r="D439" s="1" t="n">
        <v>16</v>
      </c>
      <c r="E439" s="1" t="inlineStr">
        <is>
          <t>CHO</t>
        </is>
      </c>
      <c r="F439" s="1" t="n">
        <v>3.3566</v>
      </c>
      <c r="G439" s="1" t="n">
        <v>0.936227</v>
      </c>
    </row>
    <row r="440">
      <c r="A440" s="2" t="inlineStr">
        <is>
          <t>A11</t>
        </is>
      </c>
      <c r="B440" s="2" t="n">
        <v>11</v>
      </c>
      <c r="C440" s="2">
        <f>_xlfn.XLOOKUP(B440,Results!$B$23:$B$119,Results!$D$23:$D$119)</f>
        <v/>
      </c>
      <c r="D440" s="2" t="n">
        <v>17</v>
      </c>
      <c r="E440" s="2" t="inlineStr">
        <is>
          <t>CHO</t>
        </is>
      </c>
      <c r="F440" s="2" t="n">
        <v>3.7669</v>
      </c>
      <c r="G440" s="2" t="n">
        <v>1.338191</v>
      </c>
    </row>
    <row r="441">
      <c r="A441" s="1" t="inlineStr">
        <is>
          <t>A11</t>
        </is>
      </c>
      <c r="B441" s="1" t="n">
        <v>11</v>
      </c>
      <c r="C441" s="2">
        <f>_xlfn.XLOOKUP(B441,Results!$B$23:$B$119,Results!$D$23:$D$119)</f>
        <v/>
      </c>
      <c r="D441" s="1" t="n">
        <v>18</v>
      </c>
      <c r="E441" s="1" t="inlineStr">
        <is>
          <t>CHO</t>
        </is>
      </c>
      <c r="F441" s="1" t="n">
        <v>4.1931</v>
      </c>
      <c r="G441" s="1" t="n">
        <v>1.756118</v>
      </c>
    </row>
    <row r="442">
      <c r="A442" s="2" t="inlineStr">
        <is>
          <t>A11</t>
        </is>
      </c>
      <c r="B442" s="2" t="n">
        <v>11</v>
      </c>
      <c r="C442" s="2">
        <f>_xlfn.XLOOKUP(B442,Results!$B$23:$B$119,Results!$D$23:$D$119)</f>
        <v/>
      </c>
      <c r="D442" s="2" t="n">
        <v>19</v>
      </c>
      <c r="E442" s="2" t="inlineStr">
        <is>
          <t>CHO</t>
        </is>
      </c>
      <c r="F442" s="2" t="n">
        <v>4.6003</v>
      </c>
      <c r="G442" s="2" t="n">
        <v>2.155061</v>
      </c>
    </row>
    <row r="443">
      <c r="A443" s="1" t="inlineStr">
        <is>
          <t>A11</t>
        </is>
      </c>
      <c r="B443" s="1" t="n">
        <v>11</v>
      </c>
      <c r="C443" s="2">
        <f>_xlfn.XLOOKUP(B443,Results!$B$23:$B$119,Results!$D$23:$D$119)</f>
        <v/>
      </c>
      <c r="D443" s="1" t="n">
        <v>20</v>
      </c>
      <c r="E443" s="1" t="inlineStr">
        <is>
          <t>CHO</t>
        </is>
      </c>
      <c r="F443" s="1" t="n">
        <v>4.9753</v>
      </c>
      <c r="G443" s="1" t="n">
        <v>2.521754</v>
      </c>
    </row>
    <row r="444">
      <c r="A444" s="2" t="inlineStr">
        <is>
          <t>A11</t>
        </is>
      </c>
      <c r="B444" s="2" t="n">
        <v>11</v>
      </c>
      <c r="C444" s="2">
        <f>_xlfn.XLOOKUP(B444,Results!$B$23:$B$119,Results!$D$23:$D$119)</f>
        <v/>
      </c>
      <c r="D444" s="2" t="n">
        <v>21</v>
      </c>
      <c r="E444" s="2" t="inlineStr">
        <is>
          <t>CHO</t>
        </is>
      </c>
      <c r="F444" s="2" t="n">
        <v>5.3162</v>
      </c>
      <c r="G444" s="2" t="n">
        <v>2.854391</v>
      </c>
    </row>
    <row r="445">
      <c r="A445" s="1" t="inlineStr">
        <is>
          <t>A11</t>
        </is>
      </c>
      <c r="B445" s="1" t="n">
        <v>11</v>
      </c>
      <c r="C445" s="2">
        <f>_xlfn.XLOOKUP(B445,Results!$B$23:$B$119,Results!$D$23:$D$119)</f>
        <v/>
      </c>
      <c r="D445" s="1" t="n">
        <v>22</v>
      </c>
      <c r="E445" s="1" t="inlineStr">
        <is>
          <t>CHO</t>
        </is>
      </c>
      <c r="F445" s="1" t="n">
        <v>5.616</v>
      </c>
      <c r="G445" s="1" t="n">
        <v>3.145828</v>
      </c>
    </row>
    <row r="446">
      <c r="A446" s="2" t="inlineStr">
        <is>
          <t>A11</t>
        </is>
      </c>
      <c r="B446" s="2" t="n">
        <v>11</v>
      </c>
      <c r="C446" s="2">
        <f>_xlfn.XLOOKUP(B446,Results!$B$23:$B$119,Results!$D$23:$D$119)</f>
        <v/>
      </c>
      <c r="D446" s="2" t="n">
        <v>23</v>
      </c>
      <c r="E446" s="2" t="inlineStr">
        <is>
          <t>CHO</t>
        </is>
      </c>
      <c r="F446" s="2" t="n">
        <v>5.8733</v>
      </c>
      <c r="G446" s="2" t="n">
        <v>3.394855</v>
      </c>
    </row>
    <row r="447">
      <c r="A447" s="1" t="inlineStr">
        <is>
          <t>A11</t>
        </is>
      </c>
      <c r="B447" s="1" t="n">
        <v>11</v>
      </c>
      <c r="C447" s="2">
        <f>_xlfn.XLOOKUP(B447,Results!$B$23:$B$119,Results!$D$23:$D$119)</f>
        <v/>
      </c>
      <c r="D447" s="1" t="n">
        <v>24</v>
      </c>
      <c r="E447" s="1" t="inlineStr">
        <is>
          <t>CHO</t>
        </is>
      </c>
      <c r="F447" s="1" t="n">
        <v>6.1032</v>
      </c>
      <c r="G447" s="1" t="n">
        <v>3.616457</v>
      </c>
    </row>
    <row r="448">
      <c r="A448" s="2" t="inlineStr">
        <is>
          <t>A11</t>
        </is>
      </c>
      <c r="B448" s="2" t="n">
        <v>11</v>
      </c>
      <c r="C448" s="2">
        <f>_xlfn.XLOOKUP(B448,Results!$B$23:$B$119,Results!$D$23:$D$119)</f>
        <v/>
      </c>
      <c r="D448" s="2" t="n">
        <v>25</v>
      </c>
      <c r="E448" s="2" t="inlineStr">
        <is>
          <t>CHO</t>
        </is>
      </c>
      <c r="F448" s="2" t="n">
        <v>6.2889</v>
      </c>
      <c r="G448" s="2" t="n">
        <v>3.793872</v>
      </c>
    </row>
    <row r="449">
      <c r="A449" s="1" t="inlineStr">
        <is>
          <t>A11</t>
        </is>
      </c>
      <c r="B449" s="1" t="n">
        <v>11</v>
      </c>
      <c r="C449" s="2">
        <f>_xlfn.XLOOKUP(B449,Results!$B$23:$B$119,Results!$D$23:$D$119)</f>
        <v/>
      </c>
      <c r="D449" s="1" t="n">
        <v>26</v>
      </c>
      <c r="E449" s="1" t="inlineStr">
        <is>
          <t>CHO</t>
        </is>
      </c>
      <c r="F449" s="1" t="n">
        <v>6.4531</v>
      </c>
      <c r="G449" s="1" t="n">
        <v>3.949865</v>
      </c>
    </row>
    <row r="450">
      <c r="A450" s="2" t="inlineStr">
        <is>
          <t>A11</t>
        </is>
      </c>
      <c r="B450" s="2" t="n">
        <v>11</v>
      </c>
      <c r="C450" s="2">
        <f>_xlfn.XLOOKUP(B450,Results!$B$23:$B$119,Results!$D$23:$D$119)</f>
        <v/>
      </c>
      <c r="D450" s="2" t="n">
        <v>27</v>
      </c>
      <c r="E450" s="2" t="inlineStr">
        <is>
          <t>CHO</t>
        </is>
      </c>
      <c r="F450" s="2" t="n">
        <v>6.5959</v>
      </c>
      <c r="G450" s="2" t="n">
        <v>4.084352</v>
      </c>
    </row>
    <row r="451">
      <c r="A451" s="1" t="inlineStr">
        <is>
          <t>A11</t>
        </is>
      </c>
      <c r="B451" s="1" t="n">
        <v>11</v>
      </c>
      <c r="C451" s="2">
        <f>_xlfn.XLOOKUP(B451,Results!$B$23:$B$119,Results!$D$23:$D$119)</f>
        <v/>
      </c>
      <c r="D451" s="1" t="n">
        <v>28</v>
      </c>
      <c r="E451" s="1" t="inlineStr">
        <is>
          <t>CHO</t>
        </is>
      </c>
      <c r="F451" s="1" t="n">
        <v>6.7122</v>
      </c>
      <c r="G451" s="1" t="n">
        <v>4.192368</v>
      </c>
    </row>
    <row r="452">
      <c r="A452" s="2" t="inlineStr">
        <is>
          <t>A11</t>
        </is>
      </c>
      <c r="B452" s="2" t="n">
        <v>11</v>
      </c>
      <c r="C452" s="2">
        <f>_xlfn.XLOOKUP(B452,Results!$B$23:$B$119,Results!$D$23:$D$119)</f>
        <v/>
      </c>
      <c r="D452" s="2" t="n">
        <v>29</v>
      </c>
      <c r="E452" s="2" t="inlineStr">
        <is>
          <t>CHO</t>
        </is>
      </c>
      <c r="F452" s="2" t="n">
        <v>6.8191</v>
      </c>
      <c r="G452" s="2" t="n">
        <v>4.290975</v>
      </c>
    </row>
    <row r="453">
      <c r="A453" s="1" t="inlineStr">
        <is>
          <t>A11</t>
        </is>
      </c>
      <c r="B453" s="1" t="n">
        <v>11</v>
      </c>
      <c r="C453" s="2">
        <f>_xlfn.XLOOKUP(B453,Results!$B$23:$B$119,Results!$D$23:$D$119)</f>
        <v/>
      </c>
      <c r="D453" s="1" t="n">
        <v>30</v>
      </c>
      <c r="E453" s="1" t="inlineStr">
        <is>
          <t>CHO</t>
        </is>
      </c>
      <c r="F453" s="1" t="n">
        <v>6.8919</v>
      </c>
      <c r="G453" s="1" t="n">
        <v>4.355438</v>
      </c>
    </row>
    <row r="454">
      <c r="A454" s="2" t="inlineStr">
        <is>
          <t>A11</t>
        </is>
      </c>
      <c r="B454" s="2" t="n">
        <v>11</v>
      </c>
      <c r="C454" s="2">
        <f>_xlfn.XLOOKUP(B454,Results!$B$23:$B$119,Results!$D$23:$D$119)</f>
        <v/>
      </c>
      <c r="D454" s="2" t="n">
        <v>31</v>
      </c>
      <c r="E454" s="2" t="inlineStr">
        <is>
          <t>CHO</t>
        </is>
      </c>
      <c r="F454" s="2" t="n">
        <v>6.9711</v>
      </c>
      <c r="G454" s="2" t="n">
        <v>4.426366</v>
      </c>
    </row>
    <row r="455">
      <c r="A455" s="1" t="inlineStr">
        <is>
          <t>A11</t>
        </is>
      </c>
      <c r="B455" s="1" t="n">
        <v>11</v>
      </c>
      <c r="C455" s="2">
        <f>_xlfn.XLOOKUP(B455,Results!$B$23:$B$119,Results!$D$23:$D$119)</f>
        <v/>
      </c>
      <c r="D455" s="1" t="n">
        <v>32</v>
      </c>
      <c r="E455" s="1" t="inlineStr">
        <is>
          <t>CHO</t>
        </is>
      </c>
      <c r="F455" s="1" t="n">
        <v>7.0372</v>
      </c>
      <c r="G455" s="1" t="n">
        <v>4.484248</v>
      </c>
    </row>
    <row r="456">
      <c r="A456" s="2" t="inlineStr">
        <is>
          <t>A11</t>
        </is>
      </c>
      <c r="B456" s="2" t="n">
        <v>11</v>
      </c>
      <c r="C456" s="2">
        <f>_xlfn.XLOOKUP(B456,Results!$B$23:$B$119,Results!$D$23:$D$119)</f>
        <v/>
      </c>
      <c r="D456" s="2" t="n">
        <v>33</v>
      </c>
      <c r="E456" s="2" t="inlineStr">
        <is>
          <t>CHO</t>
        </is>
      </c>
      <c r="F456" s="2" t="n">
        <v>7.1046</v>
      </c>
      <c r="G456" s="2" t="n">
        <v>4.543287</v>
      </c>
    </row>
    <row r="457">
      <c r="A457" s="1" t="inlineStr">
        <is>
          <t>A11</t>
        </is>
      </c>
      <c r="B457" s="1" t="n">
        <v>11</v>
      </c>
      <c r="C457" s="2">
        <f>_xlfn.XLOOKUP(B457,Results!$B$23:$B$119,Results!$D$23:$D$119)</f>
        <v/>
      </c>
      <c r="D457" s="1" t="n">
        <v>34</v>
      </c>
      <c r="E457" s="1" t="inlineStr">
        <is>
          <t>CHO</t>
        </is>
      </c>
      <c r="F457" s="1" t="n">
        <v>7.1479</v>
      </c>
      <c r="G457" s="1" t="n">
        <v>4.57832</v>
      </c>
    </row>
    <row r="458">
      <c r="A458" s="2" t="inlineStr">
        <is>
          <t>A11</t>
        </is>
      </c>
      <c r="B458" s="2" t="n">
        <v>11</v>
      </c>
      <c r="C458" s="2">
        <f>_xlfn.XLOOKUP(B458,Results!$B$23:$B$119,Results!$D$23:$D$119)</f>
        <v/>
      </c>
      <c r="D458" s="2" t="n">
        <v>35</v>
      </c>
      <c r="E458" s="2" t="inlineStr">
        <is>
          <t>CHO</t>
        </is>
      </c>
      <c r="F458" s="2" t="n">
        <v>7.2086</v>
      </c>
      <c r="G458" s="2" t="n">
        <v>4.630767</v>
      </c>
    </row>
    <row r="459">
      <c r="A459" s="1" t="inlineStr">
        <is>
          <t>A11</t>
        </is>
      </c>
      <c r="B459" s="1" t="n">
        <v>11</v>
      </c>
      <c r="C459" s="2">
        <f>_xlfn.XLOOKUP(B459,Results!$B$23:$B$119,Results!$D$23:$D$119)</f>
        <v/>
      </c>
      <c r="D459" s="1" t="n">
        <v>36</v>
      </c>
      <c r="E459" s="1" t="inlineStr">
        <is>
          <t>CHO</t>
        </is>
      </c>
      <c r="F459" s="1" t="n">
        <v>7.2555</v>
      </c>
      <c r="G459" s="1" t="n">
        <v>4.669346</v>
      </c>
    </row>
    <row r="460">
      <c r="A460" s="2" t="inlineStr">
        <is>
          <t>A11</t>
        </is>
      </c>
      <c r="B460" s="2" t="n">
        <v>11</v>
      </c>
      <c r="C460" s="2">
        <f>_xlfn.XLOOKUP(B460,Results!$B$23:$B$119,Results!$D$23:$D$119)</f>
        <v/>
      </c>
      <c r="D460" s="2" t="n">
        <v>37</v>
      </c>
      <c r="E460" s="2" t="inlineStr">
        <is>
          <t>CHO</t>
        </is>
      </c>
      <c r="F460" s="2" t="n">
        <v>7.3071</v>
      </c>
      <c r="G460" s="2" t="n">
        <v>4.712706</v>
      </c>
    </row>
    <row r="461">
      <c r="A461" s="1" t="inlineStr">
        <is>
          <t>A11</t>
        </is>
      </c>
      <c r="B461" s="1" t="n">
        <v>11</v>
      </c>
      <c r="C461" s="2">
        <f>_xlfn.XLOOKUP(B461,Results!$B$23:$B$119,Results!$D$23:$D$119)</f>
        <v/>
      </c>
      <c r="D461" s="1" t="n">
        <v>38</v>
      </c>
      <c r="E461" s="1" t="inlineStr">
        <is>
          <t>CHO</t>
        </is>
      </c>
      <c r="F461" s="1" t="n">
        <v>7.3496</v>
      </c>
      <c r="G461" s="1" t="n">
        <v>4.746874</v>
      </c>
    </row>
    <row r="462">
      <c r="A462" s="2" t="inlineStr">
        <is>
          <t>A11</t>
        </is>
      </c>
      <c r="B462" s="2" t="n">
        <v>11</v>
      </c>
      <c r="C462" s="2">
        <f>_xlfn.XLOOKUP(B462,Results!$B$23:$B$119,Results!$D$23:$D$119)</f>
        <v/>
      </c>
      <c r="D462" s="2" t="n">
        <v>39</v>
      </c>
      <c r="E462" s="2" t="inlineStr">
        <is>
          <t>CHO</t>
        </is>
      </c>
      <c r="F462" s="2" t="n">
        <v>7.3921</v>
      </c>
      <c r="G462" s="2" t="n">
        <v>4.781042</v>
      </c>
    </row>
    <row r="463">
      <c r="A463" s="1" t="inlineStr">
        <is>
          <t>A11</t>
        </is>
      </c>
      <c r="B463" s="1" t="n">
        <v>11</v>
      </c>
      <c r="C463" s="2">
        <f>_xlfn.XLOOKUP(B463,Results!$B$23:$B$119,Results!$D$23:$D$119)</f>
        <v/>
      </c>
      <c r="D463" s="1" t="n">
        <v>40</v>
      </c>
      <c r="E463" s="1" t="inlineStr">
        <is>
          <t>CHO</t>
        </is>
      </c>
      <c r="F463" s="1" t="n">
        <v>7.4148</v>
      </c>
      <c r="G463" s="1" t="n">
        <v>4.795463</v>
      </c>
    </row>
    <row r="464">
      <c r="A464" s="2" t="inlineStr">
        <is>
          <t>A12</t>
        </is>
      </c>
      <c r="B464" s="2" t="n">
        <v>12</v>
      </c>
      <c r="C464" s="2">
        <f>_xlfn.XLOOKUP(B464,Results!$B$23:$B$119,Results!$D$23:$D$119)</f>
        <v/>
      </c>
      <c r="D464" s="2" t="n">
        <v>1</v>
      </c>
      <c r="E464" s="2" t="inlineStr">
        <is>
          <t>CHO</t>
        </is>
      </c>
      <c r="F464" s="2" t="n">
        <v>2.2366</v>
      </c>
      <c r="G464" s="2" t="n">
        <v>0.008185</v>
      </c>
    </row>
    <row r="465">
      <c r="A465" s="1" t="inlineStr">
        <is>
          <t>A12</t>
        </is>
      </c>
      <c r="B465" s="1" t="n">
        <v>12</v>
      </c>
      <c r="C465" s="2">
        <f>_xlfn.XLOOKUP(B465,Results!$B$23:$B$119,Results!$D$23:$D$119)</f>
        <v/>
      </c>
      <c r="D465" s="1" t="n">
        <v>2</v>
      </c>
      <c r="E465" s="1" t="inlineStr">
        <is>
          <t>CHO</t>
        </is>
      </c>
      <c r="F465" s="1" t="n">
        <v>2.2402</v>
      </c>
      <c r="G465" s="1" t="n">
        <v>0.006125</v>
      </c>
    </row>
    <row r="466">
      <c r="A466" s="2" t="inlineStr">
        <is>
          <t>A12</t>
        </is>
      </c>
      <c r="B466" s="2" t="n">
        <v>12</v>
      </c>
      <c r="C466" s="2">
        <f>_xlfn.XLOOKUP(B466,Results!$B$23:$B$119,Results!$D$23:$D$119)</f>
        <v/>
      </c>
      <c r="D466" s="2" t="n">
        <v>3</v>
      </c>
      <c r="E466" s="2" t="inlineStr">
        <is>
          <t>CHO</t>
        </is>
      </c>
      <c r="F466" s="2" t="n">
        <v>2.2424</v>
      </c>
      <c r="G466" s="2" t="n">
        <v>0.00264</v>
      </c>
    </row>
    <row r="467">
      <c r="A467" s="1" t="inlineStr">
        <is>
          <t>A12</t>
        </is>
      </c>
      <c r="B467" s="1" t="n">
        <v>12</v>
      </c>
      <c r="C467" s="2">
        <f>_xlfn.XLOOKUP(B467,Results!$B$23:$B$119,Results!$D$23:$D$119)</f>
        <v/>
      </c>
      <c r="D467" s="1" t="n">
        <v>4</v>
      </c>
      <c r="E467" s="1" t="inlineStr">
        <is>
          <t>CHO</t>
        </is>
      </c>
      <c r="F467" s="1" t="n">
        <v>2.2436</v>
      </c>
      <c r="G467" s="1" t="n">
        <v>-0.001802</v>
      </c>
    </row>
    <row r="468">
      <c r="A468" s="2" t="inlineStr">
        <is>
          <t>A12</t>
        </is>
      </c>
      <c r="B468" s="2" t="n">
        <v>12</v>
      </c>
      <c r="C468" s="2">
        <f>_xlfn.XLOOKUP(B468,Results!$B$23:$B$119,Results!$D$23:$D$119)</f>
        <v/>
      </c>
      <c r="D468" s="2" t="n">
        <v>5</v>
      </c>
      <c r="E468" s="2" t="inlineStr">
        <is>
          <t>CHO</t>
        </is>
      </c>
      <c r="F468" s="2" t="n">
        <v>2.2501</v>
      </c>
      <c r="G468" s="2" t="n">
        <v>-0.001033</v>
      </c>
    </row>
    <row r="469">
      <c r="A469" s="1" t="inlineStr">
        <is>
          <t>A12</t>
        </is>
      </c>
      <c r="B469" s="1" t="n">
        <v>12</v>
      </c>
      <c r="C469" s="2">
        <f>_xlfn.XLOOKUP(B469,Results!$B$23:$B$119,Results!$D$23:$D$119)</f>
        <v/>
      </c>
      <c r="D469" s="1" t="n">
        <v>6</v>
      </c>
      <c r="E469" s="1" t="inlineStr">
        <is>
          <t>CHO</t>
        </is>
      </c>
      <c r="F469" s="1" t="n">
        <v>2.255</v>
      </c>
      <c r="G469" s="1" t="n">
        <v>-0.001814</v>
      </c>
    </row>
    <row r="470">
      <c r="A470" s="2" t="inlineStr">
        <is>
          <t>A12</t>
        </is>
      </c>
      <c r="B470" s="2" t="n">
        <v>12</v>
      </c>
      <c r="C470" s="2">
        <f>_xlfn.XLOOKUP(B470,Results!$B$23:$B$119,Results!$D$23:$D$119)</f>
        <v/>
      </c>
      <c r="D470" s="2" t="n">
        <v>7</v>
      </c>
      <c r="E470" s="2" t="inlineStr">
        <is>
          <t>CHO</t>
        </is>
      </c>
      <c r="F470" s="2" t="n">
        <v>2.2632</v>
      </c>
      <c r="G470" s="2" t="n">
        <v>0.000735</v>
      </c>
    </row>
    <row r="471">
      <c r="A471" s="1" t="inlineStr">
        <is>
          <t>A12</t>
        </is>
      </c>
      <c r="B471" s="1" t="n">
        <v>12</v>
      </c>
      <c r="C471" s="2">
        <f>_xlfn.XLOOKUP(B471,Results!$B$23:$B$119,Results!$D$23:$D$119)</f>
        <v/>
      </c>
      <c r="D471" s="1" t="n">
        <v>8</v>
      </c>
      <c r="E471" s="1" t="inlineStr">
        <is>
          <t>CHO</t>
        </is>
      </c>
      <c r="F471" s="1" t="n">
        <v>2.2694</v>
      </c>
      <c r="G471" s="1" t="n">
        <v>0.001274</v>
      </c>
    </row>
    <row r="472">
      <c r="A472" s="2" t="inlineStr">
        <is>
          <t>A12</t>
        </is>
      </c>
      <c r="B472" s="2" t="n">
        <v>12</v>
      </c>
      <c r="C472" s="2">
        <f>_xlfn.XLOOKUP(B472,Results!$B$23:$B$119,Results!$D$23:$D$119)</f>
        <v/>
      </c>
      <c r="D472" s="2" t="n">
        <v>9</v>
      </c>
      <c r="E472" s="2" t="inlineStr">
        <is>
          <t>CHO</t>
        </is>
      </c>
      <c r="F472" s="2" t="n">
        <v>2.2771</v>
      </c>
      <c r="G472" s="2" t="n">
        <v>0.003284</v>
      </c>
    </row>
    <row r="473">
      <c r="A473" s="1" t="inlineStr">
        <is>
          <t>A12</t>
        </is>
      </c>
      <c r="B473" s="1" t="n">
        <v>12</v>
      </c>
      <c r="C473" s="2">
        <f>_xlfn.XLOOKUP(B473,Results!$B$23:$B$119,Results!$D$23:$D$119)</f>
        <v/>
      </c>
      <c r="D473" s="1" t="n">
        <v>10</v>
      </c>
      <c r="E473" s="1" t="inlineStr">
        <is>
          <t>CHO</t>
        </is>
      </c>
      <c r="F473" s="1" t="n">
        <v>2.2944</v>
      </c>
      <c r="G473" s="1" t="n">
        <v>0.014987</v>
      </c>
    </row>
    <row r="474">
      <c r="A474" s="2" t="inlineStr">
        <is>
          <t>A12</t>
        </is>
      </c>
      <c r="B474" s="2" t="n">
        <v>12</v>
      </c>
      <c r="C474" s="2">
        <f>_xlfn.XLOOKUP(B474,Results!$B$23:$B$119,Results!$D$23:$D$119)</f>
        <v/>
      </c>
      <c r="D474" s="2" t="n">
        <v>11</v>
      </c>
      <c r="E474" s="2" t="inlineStr">
        <is>
          <t>CHO</t>
        </is>
      </c>
      <c r="F474" s="2" t="n">
        <v>2.33</v>
      </c>
      <c r="G474" s="2" t="n">
        <v>0.0449</v>
      </c>
    </row>
    <row r="475">
      <c r="A475" s="1" t="inlineStr">
        <is>
          <t>A12</t>
        </is>
      </c>
      <c r="B475" s="1" t="n">
        <v>12</v>
      </c>
      <c r="C475" s="2">
        <f>_xlfn.XLOOKUP(B475,Results!$B$23:$B$119,Results!$D$23:$D$119)</f>
        <v/>
      </c>
      <c r="D475" s="1" t="n">
        <v>12</v>
      </c>
      <c r="E475" s="1" t="inlineStr">
        <is>
          <t>CHO</t>
        </is>
      </c>
      <c r="F475" s="1" t="n">
        <v>2.3877</v>
      </c>
      <c r="G475" s="1" t="n">
        <v>0.09689399999999999</v>
      </c>
    </row>
    <row r="476">
      <c r="A476" s="2" t="inlineStr">
        <is>
          <t>A12</t>
        </is>
      </c>
      <c r="B476" s="2" t="n">
        <v>12</v>
      </c>
      <c r="C476" s="2">
        <f>_xlfn.XLOOKUP(B476,Results!$B$23:$B$119,Results!$D$23:$D$119)</f>
        <v/>
      </c>
      <c r="D476" s="2" t="n">
        <v>13</v>
      </c>
      <c r="E476" s="2" t="inlineStr">
        <is>
          <t>CHO</t>
        </is>
      </c>
      <c r="F476" s="2" t="n">
        <v>2.4806</v>
      </c>
      <c r="G476" s="2" t="n">
        <v>0.184171</v>
      </c>
    </row>
    <row r="477">
      <c r="A477" s="1" t="inlineStr">
        <is>
          <t>A12</t>
        </is>
      </c>
      <c r="B477" s="1" t="n">
        <v>12</v>
      </c>
      <c r="C477" s="2">
        <f>_xlfn.XLOOKUP(B477,Results!$B$23:$B$119,Results!$D$23:$D$119)</f>
        <v/>
      </c>
      <c r="D477" s="1" t="n">
        <v>14</v>
      </c>
      <c r="E477" s="1" t="inlineStr">
        <is>
          <t>CHO</t>
        </is>
      </c>
      <c r="F477" s="1" t="n">
        <v>2.6469</v>
      </c>
      <c r="G477" s="1" t="n">
        <v>0.344746</v>
      </c>
    </row>
    <row r="478">
      <c r="A478" s="2" t="inlineStr">
        <is>
          <t>A12</t>
        </is>
      </c>
      <c r="B478" s="2" t="n">
        <v>12</v>
      </c>
      <c r="C478" s="2">
        <f>_xlfn.XLOOKUP(B478,Results!$B$23:$B$119,Results!$D$23:$D$119)</f>
        <v/>
      </c>
      <c r="D478" s="2" t="n">
        <v>15</v>
      </c>
      <c r="E478" s="2" t="inlineStr">
        <is>
          <t>CHO</t>
        </is>
      </c>
      <c r="F478" s="2" t="n">
        <v>2.9024</v>
      </c>
      <c r="G478" s="2" t="n">
        <v>0.594638</v>
      </c>
    </row>
    <row r="479">
      <c r="A479" s="1" t="inlineStr">
        <is>
          <t>A12</t>
        </is>
      </c>
      <c r="B479" s="1" t="n">
        <v>12</v>
      </c>
      <c r="C479" s="2">
        <f>_xlfn.XLOOKUP(B479,Results!$B$23:$B$119,Results!$D$23:$D$119)</f>
        <v/>
      </c>
      <c r="D479" s="1" t="n">
        <v>16</v>
      </c>
      <c r="E479" s="1" t="inlineStr">
        <is>
          <t>CHO</t>
        </is>
      </c>
      <c r="F479" s="1" t="n">
        <v>3.2372</v>
      </c>
      <c r="G479" s="1" t="n">
        <v>0.92377</v>
      </c>
    </row>
    <row r="480">
      <c r="A480" s="2" t="inlineStr">
        <is>
          <t>A12</t>
        </is>
      </c>
      <c r="B480" s="2" t="n">
        <v>12</v>
      </c>
      <c r="C480" s="2">
        <f>_xlfn.XLOOKUP(B480,Results!$B$23:$B$119,Results!$D$23:$D$119)</f>
        <v/>
      </c>
      <c r="D480" s="2" t="n">
        <v>17</v>
      </c>
      <c r="E480" s="2" t="inlineStr">
        <is>
          <t>CHO</t>
        </is>
      </c>
      <c r="F480" s="2" t="n">
        <v>3.638</v>
      </c>
      <c r="G480" s="2" t="n">
        <v>1.318917</v>
      </c>
    </row>
    <row r="481">
      <c r="A481" s="1" t="inlineStr">
        <is>
          <t>A12</t>
        </is>
      </c>
      <c r="B481" s="1" t="n">
        <v>12</v>
      </c>
      <c r="C481" s="2">
        <f>_xlfn.XLOOKUP(B481,Results!$B$23:$B$119,Results!$D$23:$D$119)</f>
        <v/>
      </c>
      <c r="D481" s="1" t="n">
        <v>18</v>
      </c>
      <c r="E481" s="1" t="inlineStr">
        <is>
          <t>CHO</t>
        </is>
      </c>
      <c r="F481" s="1" t="n">
        <v>4.0519</v>
      </c>
      <c r="G481" s="1" t="n">
        <v>1.727147</v>
      </c>
    </row>
    <row r="482">
      <c r="A482" s="2" t="inlineStr">
        <is>
          <t>A12</t>
        </is>
      </c>
      <c r="B482" s="2" t="n">
        <v>12</v>
      </c>
      <c r="C482" s="2">
        <f>_xlfn.XLOOKUP(B482,Results!$B$23:$B$119,Results!$D$23:$D$119)</f>
        <v/>
      </c>
      <c r="D482" s="2" t="n">
        <v>19</v>
      </c>
      <c r="E482" s="2" t="inlineStr">
        <is>
          <t>CHO</t>
        </is>
      </c>
      <c r="F482" s="2" t="n">
        <v>4.4475</v>
      </c>
      <c r="G482" s="2" t="n">
        <v>2.117074</v>
      </c>
    </row>
    <row r="483">
      <c r="A483" s="1" t="inlineStr">
        <is>
          <t>A12</t>
        </is>
      </c>
      <c r="B483" s="1" t="n">
        <v>12</v>
      </c>
      <c r="C483" s="2">
        <f>_xlfn.XLOOKUP(B483,Results!$B$23:$B$119,Results!$D$23:$D$119)</f>
        <v/>
      </c>
      <c r="D483" s="1" t="n">
        <v>20</v>
      </c>
      <c r="E483" s="1" t="inlineStr">
        <is>
          <t>CHO</t>
        </is>
      </c>
      <c r="F483" s="1" t="n">
        <v>4.8125</v>
      </c>
      <c r="G483" s="1" t="n">
        <v>2.476422</v>
      </c>
    </row>
    <row r="484">
      <c r="A484" s="2" t="inlineStr">
        <is>
          <t>A12</t>
        </is>
      </c>
      <c r="B484" s="2" t="n">
        <v>12</v>
      </c>
      <c r="C484" s="2">
        <f>_xlfn.XLOOKUP(B484,Results!$B$23:$B$119,Results!$D$23:$D$119)</f>
        <v/>
      </c>
      <c r="D484" s="2" t="n">
        <v>21</v>
      </c>
      <c r="E484" s="2" t="inlineStr">
        <is>
          <t>CHO</t>
        </is>
      </c>
      <c r="F484" s="2" t="n">
        <v>5.1459</v>
      </c>
      <c r="G484" s="2" t="n">
        <v>2.804089</v>
      </c>
    </row>
    <row r="485">
      <c r="A485" s="1" t="inlineStr">
        <is>
          <t>A12</t>
        </is>
      </c>
      <c r="B485" s="1" t="n">
        <v>12</v>
      </c>
      <c r="C485" s="2">
        <f>_xlfn.XLOOKUP(B485,Results!$B$23:$B$119,Results!$D$23:$D$119)</f>
        <v/>
      </c>
      <c r="D485" s="1" t="n">
        <v>22</v>
      </c>
      <c r="E485" s="1" t="inlineStr">
        <is>
          <t>CHO</t>
        </is>
      </c>
      <c r="F485" s="1" t="n">
        <v>5.4348</v>
      </c>
      <c r="G485" s="1" t="n">
        <v>3.087375</v>
      </c>
    </row>
    <row r="486">
      <c r="A486" s="2" t="inlineStr">
        <is>
          <t>A12</t>
        </is>
      </c>
      <c r="B486" s="2" t="n">
        <v>12</v>
      </c>
      <c r="C486" s="2">
        <f>_xlfn.XLOOKUP(B486,Results!$B$23:$B$119,Results!$D$23:$D$119)</f>
        <v/>
      </c>
      <c r="D486" s="2" t="n">
        <v>23</v>
      </c>
      <c r="E486" s="2" t="inlineStr">
        <is>
          <t>CHO</t>
        </is>
      </c>
      <c r="F486" s="2" t="n">
        <v>5.6773</v>
      </c>
      <c r="G486" s="2" t="n">
        <v>3.324166</v>
      </c>
    </row>
    <row r="487">
      <c r="A487" s="1" t="inlineStr">
        <is>
          <t>A12</t>
        </is>
      </c>
      <c r="B487" s="1" t="n">
        <v>12</v>
      </c>
      <c r="C487" s="2">
        <f>_xlfn.XLOOKUP(B487,Results!$B$23:$B$119,Results!$D$23:$D$119)</f>
        <v/>
      </c>
      <c r="D487" s="1" t="n">
        <v>24</v>
      </c>
      <c r="E487" s="1" t="inlineStr">
        <is>
          <t>CHO</t>
        </is>
      </c>
      <c r="F487" s="1" t="n">
        <v>5.8884</v>
      </c>
      <c r="G487" s="1" t="n">
        <v>3.529644</v>
      </c>
    </row>
    <row r="488">
      <c r="A488" s="2" t="inlineStr">
        <is>
          <t>A12</t>
        </is>
      </c>
      <c r="B488" s="2" t="n">
        <v>12</v>
      </c>
      <c r="C488" s="2">
        <f>_xlfn.XLOOKUP(B488,Results!$B$23:$B$119,Results!$D$23:$D$119)</f>
        <v/>
      </c>
      <c r="D488" s="2" t="n">
        <v>25</v>
      </c>
      <c r="E488" s="2" t="inlineStr">
        <is>
          <t>CHO</t>
        </is>
      </c>
      <c r="F488" s="2" t="n">
        <v>6.0785</v>
      </c>
      <c r="G488" s="2" t="n">
        <v>3.714008</v>
      </c>
    </row>
    <row r="489">
      <c r="A489" s="1" t="inlineStr">
        <is>
          <t>A12</t>
        </is>
      </c>
      <c r="B489" s="1" t="n">
        <v>12</v>
      </c>
      <c r="C489" s="2">
        <f>_xlfn.XLOOKUP(B489,Results!$B$23:$B$119,Results!$D$23:$D$119)</f>
        <v/>
      </c>
      <c r="D489" s="1" t="n">
        <v>26</v>
      </c>
      <c r="E489" s="1" t="inlineStr">
        <is>
          <t>CHO</t>
        </is>
      </c>
      <c r="F489" s="1" t="n">
        <v>6.2429</v>
      </c>
      <c r="G489" s="1" t="n">
        <v>3.872757</v>
      </c>
    </row>
    <row r="490">
      <c r="A490" s="2" t="inlineStr">
        <is>
          <t>A12</t>
        </is>
      </c>
      <c r="B490" s="2" t="n">
        <v>12</v>
      </c>
      <c r="C490" s="2">
        <f>_xlfn.XLOOKUP(B490,Results!$B$23:$B$119,Results!$D$23:$D$119)</f>
        <v/>
      </c>
      <c r="D490" s="2" t="n">
        <v>27</v>
      </c>
      <c r="E490" s="2" t="inlineStr">
        <is>
          <t>CHO</t>
        </is>
      </c>
      <c r="F490" s="2" t="n">
        <v>6.3707</v>
      </c>
      <c r="G490" s="2" t="n">
        <v>3.994869</v>
      </c>
    </row>
    <row r="491">
      <c r="A491" s="1" t="inlineStr">
        <is>
          <t>A12</t>
        </is>
      </c>
      <c r="B491" s="1" t="n">
        <v>12</v>
      </c>
      <c r="C491" s="2">
        <f>_xlfn.XLOOKUP(B491,Results!$B$23:$B$119,Results!$D$23:$D$119)</f>
        <v/>
      </c>
      <c r="D491" s="1" t="n">
        <v>28</v>
      </c>
      <c r="E491" s="1" t="inlineStr">
        <is>
          <t>CHO</t>
        </is>
      </c>
      <c r="F491" s="1" t="n">
        <v>6.4761</v>
      </c>
      <c r="G491" s="1" t="n">
        <v>4.094593</v>
      </c>
    </row>
    <row r="492">
      <c r="A492" s="2" t="inlineStr">
        <is>
          <t>A12</t>
        </is>
      </c>
      <c r="B492" s="2" t="n">
        <v>12</v>
      </c>
      <c r="C492" s="2">
        <f>_xlfn.XLOOKUP(B492,Results!$B$23:$B$119,Results!$D$23:$D$119)</f>
        <v/>
      </c>
      <c r="D492" s="2" t="n">
        <v>29</v>
      </c>
      <c r="E492" s="2" t="inlineStr">
        <is>
          <t>CHO</t>
        </is>
      </c>
      <c r="F492" s="2" t="n">
        <v>6.5722</v>
      </c>
      <c r="G492" s="2" t="n">
        <v>4.185019</v>
      </c>
    </row>
    <row r="493">
      <c r="A493" s="1" t="inlineStr">
        <is>
          <t>A12</t>
        </is>
      </c>
      <c r="B493" s="1" t="n">
        <v>12</v>
      </c>
      <c r="C493" s="2">
        <f>_xlfn.XLOOKUP(B493,Results!$B$23:$B$119,Results!$D$23:$D$119)</f>
        <v/>
      </c>
      <c r="D493" s="1" t="n">
        <v>30</v>
      </c>
      <c r="E493" s="1" t="inlineStr">
        <is>
          <t>CHO</t>
        </is>
      </c>
      <c r="F493" s="1" t="n">
        <v>6.6668</v>
      </c>
      <c r="G493" s="1" t="n">
        <v>4.273989</v>
      </c>
    </row>
    <row r="494">
      <c r="A494" s="2" t="inlineStr">
        <is>
          <t>A12</t>
        </is>
      </c>
      <c r="B494" s="2" t="n">
        <v>12</v>
      </c>
      <c r="C494" s="2">
        <f>_xlfn.XLOOKUP(B494,Results!$B$23:$B$119,Results!$D$23:$D$119)</f>
        <v/>
      </c>
      <c r="D494" s="2" t="n">
        <v>31</v>
      </c>
      <c r="E494" s="2" t="inlineStr">
        <is>
          <t>CHO</t>
        </is>
      </c>
      <c r="F494" s="2" t="n">
        <v>6.7298</v>
      </c>
      <c r="G494" s="2" t="n">
        <v>4.331295</v>
      </c>
    </row>
    <row r="495">
      <c r="A495" s="1" t="inlineStr">
        <is>
          <t>A12</t>
        </is>
      </c>
      <c r="B495" s="1" t="n">
        <v>12</v>
      </c>
      <c r="C495" s="2">
        <f>_xlfn.XLOOKUP(B495,Results!$B$23:$B$119,Results!$D$23:$D$119)</f>
        <v/>
      </c>
      <c r="D495" s="1" t="n">
        <v>32</v>
      </c>
      <c r="E495" s="1" t="inlineStr">
        <is>
          <t>CHO</t>
        </is>
      </c>
      <c r="F495" s="1" t="n">
        <v>6.8065</v>
      </c>
      <c r="G495" s="1" t="n">
        <v>4.402389</v>
      </c>
    </row>
    <row r="496">
      <c r="A496" s="2" t="inlineStr">
        <is>
          <t>A12</t>
        </is>
      </c>
      <c r="B496" s="2" t="n">
        <v>12</v>
      </c>
      <c r="C496" s="2">
        <f>_xlfn.XLOOKUP(B496,Results!$B$23:$B$119,Results!$D$23:$D$119)</f>
        <v/>
      </c>
      <c r="D496" s="2" t="n">
        <v>33</v>
      </c>
      <c r="E496" s="2" t="inlineStr">
        <is>
          <t>CHO</t>
        </is>
      </c>
      <c r="F496" s="2" t="n">
        <v>6.8709</v>
      </c>
      <c r="G496" s="2" t="n">
        <v>4.461091</v>
      </c>
    </row>
    <row r="497">
      <c r="A497" s="1" t="inlineStr">
        <is>
          <t>A12</t>
        </is>
      </c>
      <c r="B497" s="1" t="n">
        <v>12</v>
      </c>
      <c r="C497" s="2">
        <f>_xlfn.XLOOKUP(B497,Results!$B$23:$B$119,Results!$D$23:$D$119)</f>
        <v/>
      </c>
      <c r="D497" s="1" t="n">
        <v>34</v>
      </c>
      <c r="E497" s="1" t="inlineStr">
        <is>
          <t>CHO</t>
        </is>
      </c>
      <c r="F497" s="1" t="n">
        <v>6.9144</v>
      </c>
      <c r="G497" s="1" t="n">
        <v>4.49896</v>
      </c>
    </row>
    <row r="498">
      <c r="A498" s="2" t="inlineStr">
        <is>
          <t>A12</t>
        </is>
      </c>
      <c r="B498" s="2" t="n">
        <v>12</v>
      </c>
      <c r="C498" s="2">
        <f>_xlfn.XLOOKUP(B498,Results!$B$23:$B$119,Results!$D$23:$D$119)</f>
        <v/>
      </c>
      <c r="D498" s="2" t="n">
        <v>35</v>
      </c>
      <c r="E498" s="2" t="inlineStr">
        <is>
          <t>CHO</t>
        </is>
      </c>
      <c r="F498" s="2" t="n">
        <v>6.9632</v>
      </c>
      <c r="G498" s="2" t="n">
        <v>4.542072</v>
      </c>
    </row>
    <row r="499">
      <c r="A499" s="1" t="inlineStr">
        <is>
          <t>A12</t>
        </is>
      </c>
      <c r="B499" s="1" t="n">
        <v>12</v>
      </c>
      <c r="C499" s="2">
        <f>_xlfn.XLOOKUP(B499,Results!$B$23:$B$119,Results!$D$23:$D$119)</f>
        <v/>
      </c>
      <c r="D499" s="1" t="n">
        <v>36</v>
      </c>
      <c r="E499" s="1" t="inlineStr">
        <is>
          <t>CHO</t>
        </is>
      </c>
      <c r="F499" s="1" t="n">
        <v>6.9979</v>
      </c>
      <c r="G499" s="1" t="n">
        <v>4.571141</v>
      </c>
    </row>
    <row r="500">
      <c r="A500" s="2" t="inlineStr">
        <is>
          <t>A12</t>
        </is>
      </c>
      <c r="B500" s="2" t="n">
        <v>12</v>
      </c>
      <c r="C500" s="2">
        <f>_xlfn.XLOOKUP(B500,Results!$B$23:$B$119,Results!$D$23:$D$119)</f>
        <v/>
      </c>
      <c r="D500" s="2" t="n">
        <v>37</v>
      </c>
      <c r="E500" s="2" t="inlineStr">
        <is>
          <t>CHO</t>
        </is>
      </c>
      <c r="F500" s="2" t="n">
        <v>7.0337</v>
      </c>
      <c r="G500" s="2" t="n">
        <v>4.601211</v>
      </c>
    </row>
    <row r="501">
      <c r="A501" s="1" t="inlineStr">
        <is>
          <t>A12</t>
        </is>
      </c>
      <c r="B501" s="1" t="n">
        <v>12</v>
      </c>
      <c r="C501" s="2">
        <f>_xlfn.XLOOKUP(B501,Results!$B$23:$B$119,Results!$D$23:$D$119)</f>
        <v/>
      </c>
      <c r="D501" s="1" t="n">
        <v>38</v>
      </c>
      <c r="E501" s="1" t="inlineStr">
        <is>
          <t>CHO</t>
        </is>
      </c>
      <c r="F501" s="1" t="n">
        <v>7.088</v>
      </c>
      <c r="G501" s="1" t="n">
        <v>4.64988</v>
      </c>
    </row>
    <row r="502">
      <c r="A502" s="2" t="inlineStr">
        <is>
          <t>A12</t>
        </is>
      </c>
      <c r="B502" s="2" t="n">
        <v>12</v>
      </c>
      <c r="C502" s="2">
        <f>_xlfn.XLOOKUP(B502,Results!$B$23:$B$119,Results!$D$23:$D$119)</f>
        <v/>
      </c>
      <c r="D502" s="2" t="n">
        <v>39</v>
      </c>
      <c r="E502" s="2" t="inlineStr">
        <is>
          <t>CHO</t>
        </is>
      </c>
      <c r="F502" s="2" t="n">
        <v>7.1184</v>
      </c>
      <c r="G502" s="2" t="n">
        <v>4.674556</v>
      </c>
    </row>
    <row r="503">
      <c r="A503" s="1" t="inlineStr">
        <is>
          <t>A12</t>
        </is>
      </c>
      <c r="B503" s="1" t="n">
        <v>12</v>
      </c>
      <c r="C503" s="2">
        <f>_xlfn.XLOOKUP(B503,Results!$B$23:$B$119,Results!$D$23:$D$119)</f>
        <v/>
      </c>
      <c r="D503" s="1" t="n">
        <v>40</v>
      </c>
      <c r="E503" s="1" t="inlineStr">
        <is>
          <t>CHO</t>
        </is>
      </c>
      <c r="F503" s="1" t="n">
        <v>7.1536</v>
      </c>
      <c r="G503" s="1" t="n">
        <v>4.704127</v>
      </c>
    </row>
    <row r="504">
      <c r="A504" s="2" t="inlineStr">
        <is>
          <t>B1</t>
        </is>
      </c>
      <c r="B504" s="2" t="n">
        <v>13</v>
      </c>
      <c r="C504" s="2">
        <f>_xlfn.XLOOKUP(B504,Results!$B$23:$B$119,Results!$D$23:$D$119)</f>
        <v/>
      </c>
      <c r="D504" s="2" t="n">
        <v>1</v>
      </c>
      <c r="E504" s="2" t="inlineStr">
        <is>
          <t>CHO</t>
        </is>
      </c>
      <c r="F504" s="2" t="n">
        <v>2.3471</v>
      </c>
      <c r="G504" s="2" t="n">
        <v>0.008595</v>
      </c>
    </row>
    <row r="505">
      <c r="A505" s="1" t="inlineStr">
        <is>
          <t>B1</t>
        </is>
      </c>
      <c r="B505" s="1" t="n">
        <v>13</v>
      </c>
      <c r="C505" s="2">
        <f>_xlfn.XLOOKUP(B505,Results!$B$23:$B$119,Results!$D$23:$D$119)</f>
        <v/>
      </c>
      <c r="D505" s="1" t="n">
        <v>2</v>
      </c>
      <c r="E505" s="1" t="inlineStr">
        <is>
          <t>CHO</t>
        </is>
      </c>
      <c r="F505" s="1" t="n">
        <v>2.3451</v>
      </c>
      <c r="G505" s="1" t="n">
        <v>-0.001974</v>
      </c>
    </row>
    <row r="506">
      <c r="A506" s="2" t="inlineStr">
        <is>
          <t>B1</t>
        </is>
      </c>
      <c r="B506" s="2" t="n">
        <v>13</v>
      </c>
      <c r="C506" s="2">
        <f>_xlfn.XLOOKUP(B506,Results!$B$23:$B$119,Results!$D$23:$D$119)</f>
        <v/>
      </c>
      <c r="D506" s="2" t="n">
        <v>3</v>
      </c>
      <c r="E506" s="2" t="inlineStr">
        <is>
          <t>CHO</t>
        </is>
      </c>
      <c r="F506" s="2" t="n">
        <v>2.3502</v>
      </c>
      <c r="G506" s="2" t="n">
        <v>-0.005451</v>
      </c>
    </row>
    <row r="507">
      <c r="A507" s="1" t="inlineStr">
        <is>
          <t>B1</t>
        </is>
      </c>
      <c r="B507" s="1" t="n">
        <v>13</v>
      </c>
      <c r="C507" s="2">
        <f>_xlfn.XLOOKUP(B507,Results!$B$23:$B$119,Results!$D$23:$D$119)</f>
        <v/>
      </c>
      <c r="D507" s="1" t="n">
        <v>4</v>
      </c>
      <c r="E507" s="1" t="inlineStr">
        <is>
          <t>CHO</t>
        </is>
      </c>
      <c r="F507" s="1" t="n">
        <v>2.3624</v>
      </c>
      <c r="G507" s="1" t="n">
        <v>-0.001866</v>
      </c>
    </row>
    <row r="508">
      <c r="A508" s="2" t="inlineStr">
        <is>
          <t>B1</t>
        </is>
      </c>
      <c r="B508" s="2" t="n">
        <v>13</v>
      </c>
      <c r="C508" s="2">
        <f>_xlfn.XLOOKUP(B508,Results!$B$23:$B$119,Results!$D$23:$D$119)</f>
        <v/>
      </c>
      <c r="D508" s="2" t="n">
        <v>5</v>
      </c>
      <c r="E508" s="2" t="inlineStr">
        <is>
          <t>CHO</t>
        </is>
      </c>
      <c r="F508" s="2" t="n">
        <v>2.3744</v>
      </c>
      <c r="G508" s="2" t="n">
        <v>0.00157</v>
      </c>
    </row>
    <row r="509">
      <c r="A509" s="1" t="inlineStr">
        <is>
          <t>B1</t>
        </is>
      </c>
      <c r="B509" s="1" t="n">
        <v>13</v>
      </c>
      <c r="C509" s="2">
        <f>_xlfn.XLOOKUP(B509,Results!$B$23:$B$119,Results!$D$23:$D$119)</f>
        <v/>
      </c>
      <c r="D509" s="1" t="n">
        <v>6</v>
      </c>
      <c r="E509" s="1" t="inlineStr">
        <is>
          <t>CHO</t>
        </is>
      </c>
      <c r="F509" s="1" t="n">
        <v>2.3839</v>
      </c>
      <c r="G509" s="1" t="n">
        <v>0.002408</v>
      </c>
    </row>
    <row r="510">
      <c r="A510" s="2" t="inlineStr">
        <is>
          <t>B1</t>
        </is>
      </c>
      <c r="B510" s="2" t="n">
        <v>13</v>
      </c>
      <c r="C510" s="2">
        <f>_xlfn.XLOOKUP(B510,Results!$B$23:$B$119,Results!$D$23:$D$119)</f>
        <v/>
      </c>
      <c r="D510" s="2" t="n">
        <v>7</v>
      </c>
      <c r="E510" s="2" t="inlineStr">
        <is>
          <t>CHO</t>
        </is>
      </c>
      <c r="F510" s="2" t="n">
        <v>2.3948</v>
      </c>
      <c r="G510" s="2" t="n">
        <v>0.004783</v>
      </c>
    </row>
    <row r="511">
      <c r="A511" s="1" t="inlineStr">
        <is>
          <t>B1</t>
        </is>
      </c>
      <c r="B511" s="1" t="n">
        <v>13</v>
      </c>
      <c r="C511" s="2">
        <f>_xlfn.XLOOKUP(B511,Results!$B$23:$B$119,Results!$D$23:$D$119)</f>
        <v/>
      </c>
      <c r="D511" s="1" t="n">
        <v>8</v>
      </c>
      <c r="E511" s="1" t="inlineStr">
        <is>
          <t>CHO</t>
        </is>
      </c>
      <c r="F511" s="1" t="n">
        <v>2.404</v>
      </c>
      <c r="G511" s="1" t="n">
        <v>0.005375</v>
      </c>
    </row>
    <row r="512">
      <c r="A512" s="2" t="inlineStr">
        <is>
          <t>B1</t>
        </is>
      </c>
      <c r="B512" s="2" t="n">
        <v>13</v>
      </c>
      <c r="C512" s="2">
        <f>_xlfn.XLOOKUP(B512,Results!$B$23:$B$119,Results!$D$23:$D$119)</f>
        <v/>
      </c>
      <c r="D512" s="2" t="n">
        <v>9</v>
      </c>
      <c r="E512" s="2" t="inlineStr">
        <is>
          <t>CHO</t>
        </is>
      </c>
      <c r="F512" s="2" t="n">
        <v>2.4088</v>
      </c>
      <c r="G512" s="2" t="n">
        <v>0.001644</v>
      </c>
    </row>
    <row r="513">
      <c r="A513" s="1" t="inlineStr">
        <is>
          <t>B1</t>
        </is>
      </c>
      <c r="B513" s="1" t="n">
        <v>13</v>
      </c>
      <c r="C513" s="2">
        <f>_xlfn.XLOOKUP(B513,Results!$B$23:$B$119,Results!$D$23:$D$119)</f>
        <v/>
      </c>
      <c r="D513" s="1" t="n">
        <v>10</v>
      </c>
      <c r="E513" s="1" t="inlineStr">
        <is>
          <t>CHO</t>
        </is>
      </c>
      <c r="F513" s="1" t="n">
        <v>2.4147</v>
      </c>
      <c r="G513" s="1" t="n">
        <v>-0.001046</v>
      </c>
    </row>
    <row r="514">
      <c r="A514" s="2" t="inlineStr">
        <is>
          <t>B1</t>
        </is>
      </c>
      <c r="B514" s="2" t="n">
        <v>13</v>
      </c>
      <c r="C514" s="2">
        <f>_xlfn.XLOOKUP(B514,Results!$B$23:$B$119,Results!$D$23:$D$119)</f>
        <v/>
      </c>
      <c r="D514" s="2" t="n">
        <v>11</v>
      </c>
      <c r="E514" s="2" t="inlineStr">
        <is>
          <t>CHO</t>
        </is>
      </c>
      <c r="F514" s="2" t="n">
        <v>2.4256</v>
      </c>
      <c r="G514" s="2" t="n">
        <v>0.001198</v>
      </c>
    </row>
    <row r="515">
      <c r="A515" s="1" t="inlineStr">
        <is>
          <t>B1</t>
        </is>
      </c>
      <c r="B515" s="1" t="n">
        <v>13</v>
      </c>
      <c r="C515" s="2">
        <f>_xlfn.XLOOKUP(B515,Results!$B$23:$B$119,Results!$D$23:$D$119)</f>
        <v/>
      </c>
      <c r="D515" s="1" t="n">
        <v>12</v>
      </c>
      <c r="E515" s="1" t="inlineStr">
        <is>
          <t>CHO</t>
        </is>
      </c>
      <c r="F515" s="1" t="n">
        <v>2.4339</v>
      </c>
      <c r="G515" s="1" t="n">
        <v>0.000975</v>
      </c>
    </row>
    <row r="516">
      <c r="A516" s="2" t="inlineStr">
        <is>
          <t>B1</t>
        </is>
      </c>
      <c r="B516" s="2" t="n">
        <v>13</v>
      </c>
      <c r="C516" s="2">
        <f>_xlfn.XLOOKUP(B516,Results!$B$23:$B$119,Results!$D$23:$D$119)</f>
        <v/>
      </c>
      <c r="D516" s="2" t="n">
        <v>13</v>
      </c>
      <c r="E516" s="2" t="inlineStr">
        <is>
          <t>CHO</t>
        </is>
      </c>
      <c r="F516" s="2" t="n">
        <v>2.44</v>
      </c>
      <c r="G516" s="2" t="n">
        <v>-0.001523</v>
      </c>
    </row>
    <row r="517">
      <c r="A517" s="1" t="inlineStr">
        <is>
          <t>B1</t>
        </is>
      </c>
      <c r="B517" s="1" t="n">
        <v>13</v>
      </c>
      <c r="C517" s="2">
        <f>_xlfn.XLOOKUP(B517,Results!$B$23:$B$119,Results!$D$23:$D$119)</f>
        <v/>
      </c>
      <c r="D517" s="1" t="n">
        <v>14</v>
      </c>
      <c r="E517" s="1" t="inlineStr">
        <is>
          <t>CHO</t>
        </is>
      </c>
      <c r="F517" s="1" t="n">
        <v>2.4481</v>
      </c>
      <c r="G517" s="1" t="n">
        <v>-0.002027</v>
      </c>
    </row>
    <row r="518">
      <c r="A518" s="2" t="inlineStr">
        <is>
          <t>B1</t>
        </is>
      </c>
      <c r="B518" s="2" t="n">
        <v>13</v>
      </c>
      <c r="C518" s="2">
        <f>_xlfn.XLOOKUP(B518,Results!$B$23:$B$119,Results!$D$23:$D$119)</f>
        <v/>
      </c>
      <c r="D518" s="2" t="n">
        <v>15</v>
      </c>
      <c r="E518" s="2" t="inlineStr">
        <is>
          <t>CHO</t>
        </is>
      </c>
      <c r="F518" s="2" t="n">
        <v>2.4543</v>
      </c>
      <c r="G518" s="2" t="n">
        <v>-0.004366</v>
      </c>
    </row>
    <row r="519">
      <c r="A519" s="1" t="inlineStr">
        <is>
          <t>B1</t>
        </is>
      </c>
      <c r="B519" s="1" t="n">
        <v>13</v>
      </c>
      <c r="C519" s="2">
        <f>_xlfn.XLOOKUP(B519,Results!$B$23:$B$119,Results!$D$23:$D$119)</f>
        <v/>
      </c>
      <c r="D519" s="1" t="n">
        <v>16</v>
      </c>
      <c r="E519" s="1" t="inlineStr">
        <is>
          <t>CHO</t>
        </is>
      </c>
      <c r="F519" s="1" t="n">
        <v>2.4608</v>
      </c>
      <c r="G519" s="1" t="n">
        <v>-0.006426</v>
      </c>
    </row>
    <row r="520">
      <c r="A520" s="2" t="inlineStr">
        <is>
          <t>B1</t>
        </is>
      </c>
      <c r="B520" s="2" t="n">
        <v>13</v>
      </c>
      <c r="C520" s="2">
        <f>_xlfn.XLOOKUP(B520,Results!$B$23:$B$119,Results!$D$23:$D$119)</f>
        <v/>
      </c>
      <c r="D520" s="2" t="n">
        <v>17</v>
      </c>
      <c r="E520" s="2" t="inlineStr">
        <is>
          <t>CHO</t>
        </is>
      </c>
      <c r="F520" s="2" t="n">
        <v>2.4718</v>
      </c>
      <c r="G520" s="2" t="n">
        <v>-0.00404</v>
      </c>
    </row>
    <row r="521">
      <c r="A521" s="1" t="inlineStr">
        <is>
          <t>B1</t>
        </is>
      </c>
      <c r="B521" s="1" t="n">
        <v>13</v>
      </c>
      <c r="C521" s="2">
        <f>_xlfn.XLOOKUP(B521,Results!$B$23:$B$119,Results!$D$23:$D$119)</f>
        <v/>
      </c>
      <c r="D521" s="1" t="n">
        <v>18</v>
      </c>
      <c r="E521" s="1" t="inlineStr">
        <is>
          <t>CHO</t>
        </is>
      </c>
      <c r="F521" s="1" t="n">
        <v>2.4856</v>
      </c>
      <c r="G521" s="1" t="n">
        <v>0.001133</v>
      </c>
    </row>
    <row r="522">
      <c r="A522" s="2" t="inlineStr">
        <is>
          <t>B1</t>
        </is>
      </c>
      <c r="B522" s="2" t="n">
        <v>13</v>
      </c>
      <c r="C522" s="2">
        <f>_xlfn.XLOOKUP(B522,Results!$B$23:$B$119,Results!$D$23:$D$119)</f>
        <v/>
      </c>
      <c r="D522" s="2" t="n">
        <v>19</v>
      </c>
      <c r="E522" s="2" t="inlineStr">
        <is>
          <t>CHO</t>
        </is>
      </c>
      <c r="F522" s="2" t="n">
        <v>2.4956</v>
      </c>
      <c r="G522" s="2" t="n">
        <v>0.002617</v>
      </c>
    </row>
    <row r="523">
      <c r="A523" s="1" t="inlineStr">
        <is>
          <t>B1</t>
        </is>
      </c>
      <c r="B523" s="1" t="n">
        <v>13</v>
      </c>
      <c r="C523" s="2">
        <f>_xlfn.XLOOKUP(B523,Results!$B$23:$B$119,Results!$D$23:$D$119)</f>
        <v/>
      </c>
      <c r="D523" s="1" t="n">
        <v>20</v>
      </c>
      <c r="E523" s="1" t="inlineStr">
        <is>
          <t>CHO</t>
        </is>
      </c>
      <c r="F523" s="1" t="n">
        <v>2.5015</v>
      </c>
      <c r="G523" s="1" t="n">
        <v>-0.000145</v>
      </c>
    </row>
    <row r="524">
      <c r="A524" s="2" t="inlineStr">
        <is>
          <t>B1</t>
        </is>
      </c>
      <c r="B524" s="2" t="n">
        <v>13</v>
      </c>
      <c r="C524" s="2">
        <f>_xlfn.XLOOKUP(B524,Results!$B$23:$B$119,Results!$D$23:$D$119)</f>
        <v/>
      </c>
      <c r="D524" s="2" t="n">
        <v>21</v>
      </c>
      <c r="E524" s="2" t="inlineStr">
        <is>
          <t>CHO</t>
        </is>
      </c>
      <c r="F524" s="2" t="n">
        <v>2.5126</v>
      </c>
      <c r="G524" s="2" t="n">
        <v>0.00241</v>
      </c>
    </row>
    <row r="525">
      <c r="A525" s="1" t="inlineStr">
        <is>
          <t>B1</t>
        </is>
      </c>
      <c r="B525" s="1" t="n">
        <v>13</v>
      </c>
      <c r="C525" s="2">
        <f>_xlfn.XLOOKUP(B525,Results!$B$23:$B$119,Results!$D$23:$D$119)</f>
        <v/>
      </c>
      <c r="D525" s="1" t="n">
        <v>22</v>
      </c>
      <c r="E525" s="1" t="inlineStr">
        <is>
          <t>CHO</t>
        </is>
      </c>
      <c r="F525" s="1" t="n">
        <v>2.5195</v>
      </c>
      <c r="G525" s="1" t="n">
        <v>0.0007069999999999999</v>
      </c>
    </row>
    <row r="526">
      <c r="A526" s="2" t="inlineStr">
        <is>
          <t>B1</t>
        </is>
      </c>
      <c r="B526" s="2" t="n">
        <v>13</v>
      </c>
      <c r="C526" s="2">
        <f>_xlfn.XLOOKUP(B526,Results!$B$23:$B$119,Results!$D$23:$D$119)</f>
        <v/>
      </c>
      <c r="D526" s="2" t="n">
        <v>23</v>
      </c>
      <c r="E526" s="2" t="inlineStr">
        <is>
          <t>CHO</t>
        </is>
      </c>
      <c r="F526" s="2" t="n">
        <v>2.5294</v>
      </c>
      <c r="G526" s="2" t="n">
        <v>0.00207</v>
      </c>
    </row>
    <row r="527">
      <c r="A527" s="1" t="inlineStr">
        <is>
          <t>B1</t>
        </is>
      </c>
      <c r="B527" s="1" t="n">
        <v>13</v>
      </c>
      <c r="C527" s="2">
        <f>_xlfn.XLOOKUP(B527,Results!$B$23:$B$119,Results!$D$23:$D$119)</f>
        <v/>
      </c>
      <c r="D527" s="1" t="n">
        <v>24</v>
      </c>
      <c r="E527" s="1" t="inlineStr">
        <is>
          <t>CHO</t>
        </is>
      </c>
      <c r="F527" s="1" t="n">
        <v>2.5406</v>
      </c>
      <c r="G527" s="1" t="n">
        <v>0.004686</v>
      </c>
    </row>
    <row r="528">
      <c r="A528" s="2" t="inlineStr">
        <is>
          <t>B1</t>
        </is>
      </c>
      <c r="B528" s="2" t="n">
        <v>13</v>
      </c>
      <c r="C528" s="2">
        <f>_xlfn.XLOOKUP(B528,Results!$B$23:$B$119,Results!$D$23:$D$119)</f>
        <v/>
      </c>
      <c r="D528" s="2" t="n">
        <v>25</v>
      </c>
      <c r="E528" s="2" t="inlineStr">
        <is>
          <t>CHO</t>
        </is>
      </c>
      <c r="F528" s="2" t="n">
        <v>2.5617</v>
      </c>
      <c r="G528" s="2" t="n">
        <v>0.017141</v>
      </c>
    </row>
    <row r="529">
      <c r="A529" s="1" t="inlineStr">
        <is>
          <t>B1</t>
        </is>
      </c>
      <c r="B529" s="1" t="n">
        <v>13</v>
      </c>
      <c r="C529" s="2">
        <f>_xlfn.XLOOKUP(B529,Results!$B$23:$B$119,Results!$D$23:$D$119)</f>
        <v/>
      </c>
      <c r="D529" s="1" t="n">
        <v>26</v>
      </c>
      <c r="E529" s="1" t="inlineStr">
        <is>
          <t>CHO</t>
        </is>
      </c>
      <c r="F529" s="1" t="n">
        <v>2.5859</v>
      </c>
      <c r="G529" s="1" t="n">
        <v>0.03278</v>
      </c>
    </row>
    <row r="530">
      <c r="A530" s="2" t="inlineStr">
        <is>
          <t>B1</t>
        </is>
      </c>
      <c r="B530" s="2" t="n">
        <v>13</v>
      </c>
      <c r="C530" s="2">
        <f>_xlfn.XLOOKUP(B530,Results!$B$23:$B$119,Results!$D$23:$D$119)</f>
        <v/>
      </c>
      <c r="D530" s="2" t="n">
        <v>27</v>
      </c>
      <c r="E530" s="2" t="inlineStr">
        <is>
          <t>CHO</t>
        </is>
      </c>
      <c r="F530" s="2" t="n">
        <v>2.6314</v>
      </c>
      <c r="G530" s="2" t="n">
        <v>0.06972100000000001</v>
      </c>
    </row>
    <row r="531">
      <c r="A531" s="1" t="inlineStr">
        <is>
          <t>B1</t>
        </is>
      </c>
      <c r="B531" s="1" t="n">
        <v>13</v>
      </c>
      <c r="C531" s="2">
        <f>_xlfn.XLOOKUP(B531,Results!$B$23:$B$119,Results!$D$23:$D$119)</f>
        <v/>
      </c>
      <c r="D531" s="1" t="n">
        <v>28</v>
      </c>
      <c r="E531" s="1" t="inlineStr">
        <is>
          <t>CHO</t>
        </is>
      </c>
      <c r="F531" s="1" t="n">
        <v>2.7053</v>
      </c>
      <c r="G531" s="1" t="n">
        <v>0.135058</v>
      </c>
    </row>
    <row r="532">
      <c r="A532" s="2" t="inlineStr">
        <is>
          <t>B1</t>
        </is>
      </c>
      <c r="B532" s="2" t="n">
        <v>13</v>
      </c>
      <c r="C532" s="2">
        <f>_xlfn.XLOOKUP(B532,Results!$B$23:$B$119,Results!$D$23:$D$119)</f>
        <v/>
      </c>
      <c r="D532" s="2" t="n">
        <v>29</v>
      </c>
      <c r="E532" s="2" t="inlineStr">
        <is>
          <t>CHO</t>
        </is>
      </c>
      <c r="F532" s="2" t="n">
        <v>2.8445</v>
      </c>
      <c r="G532" s="2" t="n">
        <v>0.265661</v>
      </c>
    </row>
    <row r="533">
      <c r="A533" s="1" t="inlineStr">
        <is>
          <t>B1</t>
        </is>
      </c>
      <c r="B533" s="1" t="n">
        <v>13</v>
      </c>
      <c r="C533" s="2">
        <f>_xlfn.XLOOKUP(B533,Results!$B$23:$B$119,Results!$D$23:$D$119)</f>
        <v/>
      </c>
      <c r="D533" s="1" t="n">
        <v>30</v>
      </c>
      <c r="E533" s="1" t="inlineStr">
        <is>
          <t>CHO</t>
        </is>
      </c>
      <c r="F533" s="1" t="n">
        <v>3.0565</v>
      </c>
      <c r="G533" s="1" t="n">
        <v>0.469095</v>
      </c>
    </row>
    <row r="534">
      <c r="A534" s="2" t="inlineStr">
        <is>
          <t>B1</t>
        </is>
      </c>
      <c r="B534" s="2" t="n">
        <v>13</v>
      </c>
      <c r="C534" s="2">
        <f>_xlfn.XLOOKUP(B534,Results!$B$23:$B$119,Results!$D$23:$D$119)</f>
        <v/>
      </c>
      <c r="D534" s="2" t="n">
        <v>31</v>
      </c>
      <c r="E534" s="2" t="inlineStr">
        <is>
          <t>CHO</t>
        </is>
      </c>
      <c r="F534" s="2" t="n">
        <v>3.3653</v>
      </c>
      <c r="G534" s="2" t="n">
        <v>0.76933</v>
      </c>
    </row>
    <row r="535">
      <c r="A535" s="1" t="inlineStr">
        <is>
          <t>B1</t>
        </is>
      </c>
      <c r="B535" s="1" t="n">
        <v>13</v>
      </c>
      <c r="C535" s="2">
        <f>_xlfn.XLOOKUP(B535,Results!$B$23:$B$119,Results!$D$23:$D$119)</f>
        <v/>
      </c>
      <c r="D535" s="1" t="n">
        <v>32</v>
      </c>
      <c r="E535" s="1" t="inlineStr">
        <is>
          <t>CHO</t>
        </is>
      </c>
      <c r="F535" s="1" t="n">
        <v>3.7673</v>
      </c>
      <c r="G535" s="1" t="n">
        <v>1.162698</v>
      </c>
    </row>
    <row r="536">
      <c r="A536" s="2" t="inlineStr">
        <is>
          <t>B1</t>
        </is>
      </c>
      <c r="B536" s="2" t="n">
        <v>13</v>
      </c>
      <c r="C536" s="2">
        <f>_xlfn.XLOOKUP(B536,Results!$B$23:$B$119,Results!$D$23:$D$119)</f>
        <v/>
      </c>
      <c r="D536" s="2" t="n">
        <v>33</v>
      </c>
      <c r="E536" s="2" t="inlineStr">
        <is>
          <t>CHO</t>
        </is>
      </c>
      <c r="F536" s="2" t="n">
        <v>4.2154</v>
      </c>
      <c r="G536" s="2" t="n">
        <v>1.602242</v>
      </c>
    </row>
    <row r="537">
      <c r="A537" s="1" t="inlineStr">
        <is>
          <t>B1</t>
        </is>
      </c>
      <c r="B537" s="1" t="n">
        <v>13</v>
      </c>
      <c r="C537" s="2">
        <f>_xlfn.XLOOKUP(B537,Results!$B$23:$B$119,Results!$D$23:$D$119)</f>
        <v/>
      </c>
      <c r="D537" s="1" t="n">
        <v>34</v>
      </c>
      <c r="E537" s="1" t="inlineStr">
        <is>
          <t>CHO</t>
        </is>
      </c>
      <c r="F537" s="1" t="n">
        <v>4.6543</v>
      </c>
      <c r="G537" s="1" t="n">
        <v>2.032505</v>
      </c>
    </row>
    <row r="538">
      <c r="A538" s="2" t="inlineStr">
        <is>
          <t>B1</t>
        </is>
      </c>
      <c r="B538" s="2" t="n">
        <v>13</v>
      </c>
      <c r="C538" s="2">
        <f>_xlfn.XLOOKUP(B538,Results!$B$23:$B$119,Results!$D$23:$D$119)</f>
        <v/>
      </c>
      <c r="D538" s="2" t="n">
        <v>35</v>
      </c>
      <c r="E538" s="2" t="inlineStr">
        <is>
          <t>CHO</t>
        </is>
      </c>
      <c r="F538" s="2" t="n">
        <v>5.0494</v>
      </c>
      <c r="G538" s="2" t="n">
        <v>2.419098</v>
      </c>
    </row>
    <row r="539">
      <c r="A539" s="1" t="inlineStr">
        <is>
          <t>B1</t>
        </is>
      </c>
      <c r="B539" s="1" t="n">
        <v>13</v>
      </c>
      <c r="C539" s="2">
        <f>_xlfn.XLOOKUP(B539,Results!$B$23:$B$119,Results!$D$23:$D$119)</f>
        <v/>
      </c>
      <c r="D539" s="1" t="n">
        <v>36</v>
      </c>
      <c r="E539" s="1" t="inlineStr">
        <is>
          <t>CHO</t>
        </is>
      </c>
      <c r="F539" s="1" t="n">
        <v>5.4167</v>
      </c>
      <c r="G539" s="1" t="n">
        <v>2.777772</v>
      </c>
    </row>
    <row r="540">
      <c r="A540" s="2" t="inlineStr">
        <is>
          <t>B1</t>
        </is>
      </c>
      <c r="B540" s="2" t="n">
        <v>13</v>
      </c>
      <c r="C540" s="2">
        <f>_xlfn.XLOOKUP(B540,Results!$B$23:$B$119,Results!$D$23:$D$119)</f>
        <v/>
      </c>
      <c r="D540" s="2" t="n">
        <v>37</v>
      </c>
      <c r="E540" s="2" t="inlineStr">
        <is>
          <t>CHO</t>
        </is>
      </c>
      <c r="F540" s="2" t="n">
        <v>5.7379</v>
      </c>
      <c r="G540" s="2" t="n">
        <v>3.090363</v>
      </c>
    </row>
    <row r="541">
      <c r="A541" s="1" t="inlineStr">
        <is>
          <t>B1</t>
        </is>
      </c>
      <c r="B541" s="1" t="n">
        <v>13</v>
      </c>
      <c r="C541" s="2">
        <f>_xlfn.XLOOKUP(B541,Results!$B$23:$B$119,Results!$D$23:$D$119)</f>
        <v/>
      </c>
      <c r="D541" s="1" t="n">
        <v>38</v>
      </c>
      <c r="E541" s="1" t="inlineStr">
        <is>
          <t>CHO</t>
        </is>
      </c>
      <c r="F541" s="1" t="n">
        <v>6.0286</v>
      </c>
      <c r="G541" s="1" t="n">
        <v>3.372516</v>
      </c>
    </row>
    <row r="542">
      <c r="A542" s="2" t="inlineStr">
        <is>
          <t>B1</t>
        </is>
      </c>
      <c r="B542" s="2" t="n">
        <v>13</v>
      </c>
      <c r="C542" s="2">
        <f>_xlfn.XLOOKUP(B542,Results!$B$23:$B$119,Results!$D$23:$D$119)</f>
        <v/>
      </c>
      <c r="D542" s="2" t="n">
        <v>39</v>
      </c>
      <c r="E542" s="2" t="inlineStr">
        <is>
          <t>CHO</t>
        </is>
      </c>
      <c r="F542" s="2" t="n">
        <v>6.2759</v>
      </c>
      <c r="G542" s="2" t="n">
        <v>3.61127</v>
      </c>
    </row>
    <row r="543">
      <c r="A543" s="1" t="inlineStr">
        <is>
          <t>B1</t>
        </is>
      </c>
      <c r="B543" s="1" t="n">
        <v>13</v>
      </c>
      <c r="C543" s="2">
        <f>_xlfn.XLOOKUP(B543,Results!$B$23:$B$119,Results!$D$23:$D$119)</f>
        <v/>
      </c>
      <c r="D543" s="1" t="n">
        <v>40</v>
      </c>
      <c r="E543" s="1" t="inlineStr">
        <is>
          <t>CHO</t>
        </is>
      </c>
      <c r="F543" s="1" t="n">
        <v>6.4645</v>
      </c>
      <c r="G543" s="1" t="n">
        <v>3.791233</v>
      </c>
    </row>
    <row r="544">
      <c r="A544" s="2" t="inlineStr">
        <is>
          <t>B2</t>
        </is>
      </c>
      <c r="B544" s="2" t="n">
        <v>14</v>
      </c>
      <c r="C544" s="2">
        <f>_xlfn.XLOOKUP(B544,Results!$B$23:$B$119,Results!$D$23:$D$119)</f>
        <v/>
      </c>
      <c r="D544" s="2" t="n">
        <v>1</v>
      </c>
      <c r="E544" s="2" t="inlineStr">
        <is>
          <t>CHO</t>
        </is>
      </c>
      <c r="F544" s="2" t="n">
        <v>2.4099</v>
      </c>
      <c r="G544" s="2" t="n">
        <v>0.010458</v>
      </c>
    </row>
    <row r="545">
      <c r="A545" s="1" t="inlineStr">
        <is>
          <t>B2</t>
        </is>
      </c>
      <c r="B545" s="1" t="n">
        <v>14</v>
      </c>
      <c r="C545" s="2">
        <f>_xlfn.XLOOKUP(B545,Results!$B$23:$B$119,Results!$D$23:$D$119)</f>
        <v/>
      </c>
      <c r="D545" s="1" t="n">
        <v>2</v>
      </c>
      <c r="E545" s="1" t="inlineStr">
        <is>
          <t>CHO</t>
        </is>
      </c>
      <c r="F545" s="1" t="n">
        <v>2.4087</v>
      </c>
      <c r="G545" s="1" t="n">
        <v>0.001027</v>
      </c>
    </row>
    <row r="546">
      <c r="A546" s="2" t="inlineStr">
        <is>
          <t>B2</t>
        </is>
      </c>
      <c r="B546" s="2" t="n">
        <v>14</v>
      </c>
      <c r="C546" s="2">
        <f>_xlfn.XLOOKUP(B546,Results!$B$23:$B$119,Results!$D$23:$D$119)</f>
        <v/>
      </c>
      <c r="D546" s="2" t="n">
        <v>3</v>
      </c>
      <c r="E546" s="2" t="inlineStr">
        <is>
          <t>CHO</t>
        </is>
      </c>
      <c r="F546" s="2" t="n">
        <v>2.4141</v>
      </c>
      <c r="G546" s="2" t="n">
        <v>-0.001766</v>
      </c>
    </row>
    <row r="547">
      <c r="A547" s="1" t="inlineStr">
        <is>
          <t>B2</t>
        </is>
      </c>
      <c r="B547" s="1" t="n">
        <v>14</v>
      </c>
      <c r="C547" s="2">
        <f>_xlfn.XLOOKUP(B547,Results!$B$23:$B$119,Results!$D$23:$D$119)</f>
        <v/>
      </c>
      <c r="D547" s="1" t="n">
        <v>4</v>
      </c>
      <c r="E547" s="1" t="inlineStr">
        <is>
          <t>CHO</t>
        </is>
      </c>
      <c r="F547" s="1" t="n">
        <v>2.4225</v>
      </c>
      <c r="G547" s="1" t="n">
        <v>-0.001577</v>
      </c>
    </row>
    <row r="548">
      <c r="A548" s="2" t="inlineStr">
        <is>
          <t>B2</t>
        </is>
      </c>
      <c r="B548" s="2" t="n">
        <v>14</v>
      </c>
      <c r="C548" s="2">
        <f>_xlfn.XLOOKUP(B548,Results!$B$23:$B$119,Results!$D$23:$D$119)</f>
        <v/>
      </c>
      <c r="D548" s="2" t="n">
        <v>5</v>
      </c>
      <c r="E548" s="2" t="inlineStr">
        <is>
          <t>CHO</t>
        </is>
      </c>
      <c r="F548" s="2" t="n">
        <v>2.4305</v>
      </c>
      <c r="G548" s="2" t="n">
        <v>-0.001837</v>
      </c>
    </row>
    <row r="549">
      <c r="A549" s="1" t="inlineStr">
        <is>
          <t>B2</t>
        </is>
      </c>
      <c r="B549" s="1" t="n">
        <v>14</v>
      </c>
      <c r="C549" s="2">
        <f>_xlfn.XLOOKUP(B549,Results!$B$23:$B$119,Results!$D$23:$D$119)</f>
        <v/>
      </c>
      <c r="D549" s="1" t="n">
        <v>6</v>
      </c>
      <c r="E549" s="1" t="inlineStr">
        <is>
          <t>CHO</t>
        </is>
      </c>
      <c r="F549" s="1" t="n">
        <v>2.4408</v>
      </c>
      <c r="G549" s="1" t="n">
        <v>0.000175</v>
      </c>
    </row>
    <row r="550">
      <c r="A550" s="2" t="inlineStr">
        <is>
          <t>B2</t>
        </is>
      </c>
      <c r="B550" s="2" t="n">
        <v>14</v>
      </c>
      <c r="C550" s="2">
        <f>_xlfn.XLOOKUP(B550,Results!$B$23:$B$119,Results!$D$23:$D$119)</f>
        <v/>
      </c>
      <c r="D550" s="2" t="n">
        <v>7</v>
      </c>
      <c r="E550" s="2" t="inlineStr">
        <is>
          <t>CHO</t>
        </is>
      </c>
      <c r="F550" s="2" t="n">
        <v>2.4491</v>
      </c>
      <c r="G550" s="2" t="n">
        <v>0.000278</v>
      </c>
    </row>
    <row r="551">
      <c r="A551" s="1" t="inlineStr">
        <is>
          <t>B2</t>
        </is>
      </c>
      <c r="B551" s="1" t="n">
        <v>14</v>
      </c>
      <c r="C551" s="2">
        <f>_xlfn.XLOOKUP(B551,Results!$B$23:$B$119,Results!$D$23:$D$119)</f>
        <v/>
      </c>
      <c r="D551" s="1" t="n">
        <v>8</v>
      </c>
      <c r="E551" s="1" t="inlineStr">
        <is>
          <t>CHO</t>
        </is>
      </c>
      <c r="F551" s="1" t="n">
        <v>2.4583</v>
      </c>
      <c r="G551" s="1" t="n">
        <v>0.001253</v>
      </c>
    </row>
    <row r="552">
      <c r="A552" s="2" t="inlineStr">
        <is>
          <t>B2</t>
        </is>
      </c>
      <c r="B552" s="2" t="n">
        <v>14</v>
      </c>
      <c r="C552" s="2">
        <f>_xlfn.XLOOKUP(B552,Results!$B$23:$B$119,Results!$D$23:$D$119)</f>
        <v/>
      </c>
      <c r="D552" s="2" t="n">
        <v>9</v>
      </c>
      <c r="E552" s="2" t="inlineStr">
        <is>
          <t>CHO</t>
        </is>
      </c>
      <c r="F552" s="2" t="n">
        <v>2.4682</v>
      </c>
      <c r="G552" s="2" t="n">
        <v>0.002861</v>
      </c>
    </row>
    <row r="553">
      <c r="A553" s="1" t="inlineStr">
        <is>
          <t>B2</t>
        </is>
      </c>
      <c r="B553" s="1" t="n">
        <v>14</v>
      </c>
      <c r="C553" s="2">
        <f>_xlfn.XLOOKUP(B553,Results!$B$23:$B$119,Results!$D$23:$D$119)</f>
        <v/>
      </c>
      <c r="D553" s="1" t="n">
        <v>10</v>
      </c>
      <c r="E553" s="1" t="inlineStr">
        <is>
          <t>CHO</t>
        </is>
      </c>
      <c r="F553" s="1" t="n">
        <v>2.4736</v>
      </c>
      <c r="G553" s="1" t="n">
        <v>3e-06</v>
      </c>
    </row>
    <row r="554">
      <c r="A554" s="2" t="inlineStr">
        <is>
          <t>B2</t>
        </is>
      </c>
      <c r="B554" s="2" t="n">
        <v>14</v>
      </c>
      <c r="C554" s="2">
        <f>_xlfn.XLOOKUP(B554,Results!$B$23:$B$119,Results!$D$23:$D$119)</f>
        <v/>
      </c>
      <c r="D554" s="2" t="n">
        <v>11</v>
      </c>
      <c r="E554" s="2" t="inlineStr">
        <is>
          <t>CHO</t>
        </is>
      </c>
      <c r="F554" s="2" t="n">
        <v>2.4824</v>
      </c>
      <c r="G554" s="2" t="n">
        <v>0.0005999999999999999</v>
      </c>
    </row>
    <row r="555">
      <c r="A555" s="1" t="inlineStr">
        <is>
          <t>B2</t>
        </is>
      </c>
      <c r="B555" s="1" t="n">
        <v>14</v>
      </c>
      <c r="C555" s="2">
        <f>_xlfn.XLOOKUP(B555,Results!$B$23:$B$119,Results!$D$23:$D$119)</f>
        <v/>
      </c>
      <c r="D555" s="1" t="n">
        <v>12</v>
      </c>
      <c r="E555" s="1" t="inlineStr">
        <is>
          <t>CHO</t>
        </is>
      </c>
      <c r="F555" s="1" t="n">
        <v>2.4949</v>
      </c>
      <c r="G555" s="1" t="n">
        <v>0.00491</v>
      </c>
    </row>
    <row r="556">
      <c r="A556" s="2" t="inlineStr">
        <is>
          <t>B2</t>
        </is>
      </c>
      <c r="B556" s="2" t="n">
        <v>14</v>
      </c>
      <c r="C556" s="2">
        <f>_xlfn.XLOOKUP(B556,Results!$B$23:$B$119,Results!$D$23:$D$119)</f>
        <v/>
      </c>
      <c r="D556" s="2" t="n">
        <v>13</v>
      </c>
      <c r="E556" s="2" t="inlineStr">
        <is>
          <t>CHO</t>
        </is>
      </c>
      <c r="F556" s="2" t="n">
        <v>2.501</v>
      </c>
      <c r="G556" s="2" t="n">
        <v>0.00273</v>
      </c>
    </row>
    <row r="557">
      <c r="A557" s="1" t="inlineStr">
        <is>
          <t>B2</t>
        </is>
      </c>
      <c r="B557" s="1" t="n">
        <v>14</v>
      </c>
      <c r="C557" s="2">
        <f>_xlfn.XLOOKUP(B557,Results!$B$23:$B$119,Results!$D$23:$D$119)</f>
        <v/>
      </c>
      <c r="D557" s="1" t="n">
        <v>14</v>
      </c>
      <c r="E557" s="1" t="inlineStr">
        <is>
          <t>CHO</t>
        </is>
      </c>
      <c r="F557" s="1" t="n">
        <v>2.506</v>
      </c>
      <c r="G557" s="1" t="n">
        <v>-0.00053</v>
      </c>
    </row>
    <row r="558">
      <c r="A558" s="2" t="inlineStr">
        <is>
          <t>B2</t>
        </is>
      </c>
      <c r="B558" s="2" t="n">
        <v>14</v>
      </c>
      <c r="C558" s="2">
        <f>_xlfn.XLOOKUP(B558,Results!$B$23:$B$119,Results!$D$23:$D$119)</f>
        <v/>
      </c>
      <c r="D558" s="2" t="n">
        <v>15</v>
      </c>
      <c r="E558" s="2" t="inlineStr">
        <is>
          <t>CHO</t>
        </is>
      </c>
      <c r="F558" s="2" t="n">
        <v>2.5129</v>
      </c>
      <c r="G558" s="2" t="n">
        <v>-0.001886</v>
      </c>
    </row>
    <row r="559">
      <c r="A559" s="1" t="inlineStr">
        <is>
          <t>B2</t>
        </is>
      </c>
      <c r="B559" s="1" t="n">
        <v>14</v>
      </c>
      <c r="C559" s="2">
        <f>_xlfn.XLOOKUP(B559,Results!$B$23:$B$119,Results!$D$23:$D$119)</f>
        <v/>
      </c>
      <c r="D559" s="1" t="n">
        <v>16</v>
      </c>
      <c r="E559" s="1" t="inlineStr">
        <is>
          <t>CHO</t>
        </is>
      </c>
      <c r="F559" s="1" t="n">
        <v>2.5196</v>
      </c>
      <c r="G559" s="1" t="n">
        <v>-0.003378</v>
      </c>
    </row>
    <row r="560">
      <c r="A560" s="2" t="inlineStr">
        <is>
          <t>B2</t>
        </is>
      </c>
      <c r="B560" s="2" t="n">
        <v>14</v>
      </c>
      <c r="C560" s="2">
        <f>_xlfn.XLOOKUP(B560,Results!$B$23:$B$119,Results!$D$23:$D$119)</f>
        <v/>
      </c>
      <c r="D560" s="2" t="n">
        <v>17</v>
      </c>
      <c r="E560" s="2" t="inlineStr">
        <is>
          <t>CHO</t>
        </is>
      </c>
      <c r="F560" s="2" t="n">
        <v>2.5315</v>
      </c>
      <c r="G560" s="2" t="n">
        <v>0.00025</v>
      </c>
    </row>
    <row r="561">
      <c r="A561" s="1" t="inlineStr">
        <is>
          <t>B2</t>
        </is>
      </c>
      <c r="B561" s="1" t="n">
        <v>14</v>
      </c>
      <c r="C561" s="2">
        <f>_xlfn.XLOOKUP(B561,Results!$B$23:$B$119,Results!$D$23:$D$119)</f>
        <v/>
      </c>
      <c r="D561" s="1" t="n">
        <v>18</v>
      </c>
      <c r="E561" s="1" t="inlineStr">
        <is>
          <t>CHO</t>
        </is>
      </c>
      <c r="F561" s="1" t="n">
        <v>2.5369</v>
      </c>
      <c r="G561" s="1" t="n">
        <v>-0.002572</v>
      </c>
    </row>
    <row r="562">
      <c r="A562" s="2" t="inlineStr">
        <is>
          <t>B2</t>
        </is>
      </c>
      <c r="B562" s="2" t="n">
        <v>14</v>
      </c>
      <c r="C562" s="2">
        <f>_xlfn.XLOOKUP(B562,Results!$B$23:$B$119,Results!$D$23:$D$119)</f>
        <v/>
      </c>
      <c r="D562" s="2" t="n">
        <v>19</v>
      </c>
      <c r="E562" s="2" t="inlineStr">
        <is>
          <t>CHO</t>
        </is>
      </c>
      <c r="F562" s="2" t="n">
        <v>2.5462</v>
      </c>
      <c r="G562" s="2" t="n">
        <v>-0.001523</v>
      </c>
    </row>
    <row r="563">
      <c r="A563" s="1" t="inlineStr">
        <is>
          <t>B2</t>
        </is>
      </c>
      <c r="B563" s="1" t="n">
        <v>14</v>
      </c>
      <c r="C563" s="2">
        <f>_xlfn.XLOOKUP(B563,Results!$B$23:$B$119,Results!$D$23:$D$119)</f>
        <v/>
      </c>
      <c r="D563" s="1" t="n">
        <v>20</v>
      </c>
      <c r="E563" s="1" t="inlineStr">
        <is>
          <t>CHO</t>
        </is>
      </c>
      <c r="F563" s="1" t="n">
        <v>2.5574</v>
      </c>
      <c r="G563" s="1" t="n">
        <v>0.001471</v>
      </c>
    </row>
    <row r="564">
      <c r="A564" s="2" t="inlineStr">
        <is>
          <t>B2</t>
        </is>
      </c>
      <c r="B564" s="2" t="n">
        <v>14</v>
      </c>
      <c r="C564" s="2">
        <f>_xlfn.XLOOKUP(B564,Results!$B$23:$B$119,Results!$D$23:$D$119)</f>
        <v/>
      </c>
      <c r="D564" s="2" t="n">
        <v>21</v>
      </c>
      <c r="E564" s="2" t="inlineStr">
        <is>
          <t>CHO</t>
        </is>
      </c>
      <c r="F564" s="2" t="n">
        <v>2.5637</v>
      </c>
      <c r="G564" s="2" t="n">
        <v>-0.000474</v>
      </c>
    </row>
    <row r="565">
      <c r="A565" s="1" t="inlineStr">
        <is>
          <t>B2</t>
        </is>
      </c>
      <c r="B565" s="1" t="n">
        <v>14</v>
      </c>
      <c r="C565" s="2">
        <f>_xlfn.XLOOKUP(B565,Results!$B$23:$B$119,Results!$D$23:$D$119)</f>
        <v/>
      </c>
      <c r="D565" s="1" t="n">
        <v>22</v>
      </c>
      <c r="E565" s="1" t="inlineStr">
        <is>
          <t>CHO</t>
        </is>
      </c>
      <c r="F565" s="1" t="n">
        <v>2.5734</v>
      </c>
      <c r="G565" s="1" t="n">
        <v>0.001012</v>
      </c>
    </row>
    <row r="566">
      <c r="A566" s="2" t="inlineStr">
        <is>
          <t>B2</t>
        </is>
      </c>
      <c r="B566" s="2" t="n">
        <v>14</v>
      </c>
      <c r="C566" s="2">
        <f>_xlfn.XLOOKUP(B566,Results!$B$23:$B$119,Results!$D$23:$D$119)</f>
        <v/>
      </c>
      <c r="D566" s="2" t="n">
        <v>23</v>
      </c>
      <c r="E566" s="2" t="inlineStr">
        <is>
          <t>CHO</t>
        </is>
      </c>
      <c r="F566" s="2" t="n">
        <v>2.5842</v>
      </c>
      <c r="G566" s="2" t="n">
        <v>0.003507</v>
      </c>
    </row>
    <row r="567">
      <c r="A567" s="1" t="inlineStr">
        <is>
          <t>B2</t>
        </is>
      </c>
      <c r="B567" s="1" t="n">
        <v>14</v>
      </c>
      <c r="C567" s="2">
        <f>_xlfn.XLOOKUP(B567,Results!$B$23:$B$119,Results!$D$23:$D$119)</f>
        <v/>
      </c>
      <c r="D567" s="1" t="n">
        <v>24</v>
      </c>
      <c r="E567" s="1" t="inlineStr">
        <is>
          <t>CHO</t>
        </is>
      </c>
      <c r="F567" s="1" t="n">
        <v>2.605</v>
      </c>
      <c r="G567" s="1" t="n">
        <v>0.016141</v>
      </c>
    </row>
    <row r="568">
      <c r="A568" s="2" t="inlineStr">
        <is>
          <t>B2</t>
        </is>
      </c>
      <c r="B568" s="2" t="n">
        <v>14</v>
      </c>
      <c r="C568" s="2">
        <f>_xlfn.XLOOKUP(B568,Results!$B$23:$B$119,Results!$D$23:$D$119)</f>
        <v/>
      </c>
      <c r="D568" s="2" t="n">
        <v>25</v>
      </c>
      <c r="E568" s="2" t="inlineStr">
        <is>
          <t>CHO</t>
        </is>
      </c>
      <c r="F568" s="2" t="n">
        <v>2.6236</v>
      </c>
      <c r="G568" s="2" t="n">
        <v>0.026495</v>
      </c>
    </row>
    <row r="569">
      <c r="A569" s="1" t="inlineStr">
        <is>
          <t>B2</t>
        </is>
      </c>
      <c r="B569" s="1" t="n">
        <v>14</v>
      </c>
      <c r="C569" s="2">
        <f>_xlfn.XLOOKUP(B569,Results!$B$23:$B$119,Results!$D$23:$D$119)</f>
        <v/>
      </c>
      <c r="D569" s="1" t="n">
        <v>26</v>
      </c>
      <c r="E569" s="1" t="inlineStr">
        <is>
          <t>CHO</t>
        </is>
      </c>
      <c r="F569" s="1" t="n">
        <v>2.6481</v>
      </c>
      <c r="G569" s="1" t="n">
        <v>0.042673</v>
      </c>
    </row>
    <row r="570">
      <c r="A570" s="2" t="inlineStr">
        <is>
          <t>B2</t>
        </is>
      </c>
      <c r="B570" s="2" t="n">
        <v>14</v>
      </c>
      <c r="C570" s="2">
        <f>_xlfn.XLOOKUP(B570,Results!$B$23:$B$119,Results!$D$23:$D$119)</f>
        <v/>
      </c>
      <c r="D570" s="2" t="n">
        <v>27</v>
      </c>
      <c r="E570" s="2" t="inlineStr">
        <is>
          <t>CHO</t>
        </is>
      </c>
      <c r="F570" s="2" t="n">
        <v>2.6891</v>
      </c>
      <c r="G570" s="2" t="n">
        <v>0.075434</v>
      </c>
    </row>
    <row r="571">
      <c r="A571" s="1" t="inlineStr">
        <is>
          <t>B2</t>
        </is>
      </c>
      <c r="B571" s="1" t="n">
        <v>14</v>
      </c>
      <c r="C571" s="2">
        <f>_xlfn.XLOOKUP(B571,Results!$B$23:$B$119,Results!$D$23:$D$119)</f>
        <v/>
      </c>
      <c r="D571" s="1" t="n">
        <v>28</v>
      </c>
      <c r="E571" s="1" t="inlineStr">
        <is>
          <t>CHO</t>
        </is>
      </c>
      <c r="F571" s="1" t="n">
        <v>2.7703</v>
      </c>
      <c r="G571" s="1" t="n">
        <v>0.148432</v>
      </c>
    </row>
    <row r="572">
      <c r="A572" s="2" t="inlineStr">
        <is>
          <t>B2</t>
        </is>
      </c>
      <c r="B572" s="2" t="n">
        <v>14</v>
      </c>
      <c r="C572" s="2">
        <f>_xlfn.XLOOKUP(B572,Results!$B$23:$B$119,Results!$D$23:$D$119)</f>
        <v/>
      </c>
      <c r="D572" s="2" t="n">
        <v>29</v>
      </c>
      <c r="E572" s="2" t="inlineStr">
        <is>
          <t>CHO</t>
        </is>
      </c>
      <c r="F572" s="2" t="n">
        <v>2.9064</v>
      </c>
      <c r="G572" s="2" t="n">
        <v>0.276298</v>
      </c>
    </row>
    <row r="573">
      <c r="A573" s="1" t="inlineStr">
        <is>
          <t>B2</t>
        </is>
      </c>
      <c r="B573" s="1" t="n">
        <v>14</v>
      </c>
      <c r="C573" s="2">
        <f>_xlfn.XLOOKUP(B573,Results!$B$23:$B$119,Results!$D$23:$D$119)</f>
        <v/>
      </c>
      <c r="D573" s="1" t="n">
        <v>30</v>
      </c>
      <c r="E573" s="1" t="inlineStr">
        <is>
          <t>CHO</t>
        </is>
      </c>
      <c r="F573" s="1" t="n">
        <v>3.1301</v>
      </c>
      <c r="G573" s="1" t="n">
        <v>0.491792</v>
      </c>
    </row>
    <row r="574">
      <c r="A574" s="2" t="inlineStr">
        <is>
          <t>B2</t>
        </is>
      </c>
      <c r="B574" s="2" t="n">
        <v>14</v>
      </c>
      <c r="C574" s="2">
        <f>_xlfn.XLOOKUP(B574,Results!$B$23:$B$119,Results!$D$23:$D$119)</f>
        <v/>
      </c>
      <c r="D574" s="2" t="n">
        <v>31</v>
      </c>
      <c r="E574" s="2" t="inlineStr">
        <is>
          <t>CHO</t>
        </is>
      </c>
      <c r="F574" s="2" t="n">
        <v>3.4563</v>
      </c>
      <c r="G574" s="2" t="n">
        <v>0.809769</v>
      </c>
    </row>
    <row r="575">
      <c r="A575" s="1" t="inlineStr">
        <is>
          <t>B2</t>
        </is>
      </c>
      <c r="B575" s="1" t="n">
        <v>14</v>
      </c>
      <c r="C575" s="2">
        <f>_xlfn.XLOOKUP(B575,Results!$B$23:$B$119,Results!$D$23:$D$119)</f>
        <v/>
      </c>
      <c r="D575" s="1" t="n">
        <v>32</v>
      </c>
      <c r="E575" s="1" t="inlineStr">
        <is>
          <t>CHO</t>
        </is>
      </c>
      <c r="F575" s="1" t="n">
        <v>3.8589</v>
      </c>
      <c r="G575" s="1" t="n">
        <v>1.20408</v>
      </c>
    </row>
    <row r="576">
      <c r="A576" s="2" t="inlineStr">
        <is>
          <t>B2</t>
        </is>
      </c>
      <c r="B576" s="2" t="n">
        <v>14</v>
      </c>
      <c r="C576" s="2">
        <f>_xlfn.XLOOKUP(B576,Results!$B$23:$B$119,Results!$D$23:$D$119)</f>
        <v/>
      </c>
      <c r="D576" s="2" t="n">
        <v>33</v>
      </c>
      <c r="E576" s="2" t="inlineStr">
        <is>
          <t>CHO</t>
        </is>
      </c>
      <c r="F576" s="2" t="n">
        <v>4.2868</v>
      </c>
      <c r="G576" s="2" t="n">
        <v>1.623703</v>
      </c>
    </row>
    <row r="577">
      <c r="A577" s="1" t="inlineStr">
        <is>
          <t>B2</t>
        </is>
      </c>
      <c r="B577" s="1" t="n">
        <v>14</v>
      </c>
      <c r="C577" s="2">
        <f>_xlfn.XLOOKUP(B577,Results!$B$23:$B$119,Results!$D$23:$D$119)</f>
        <v/>
      </c>
      <c r="D577" s="1" t="n">
        <v>34</v>
      </c>
      <c r="E577" s="1" t="inlineStr">
        <is>
          <t>CHO</t>
        </is>
      </c>
      <c r="F577" s="1" t="n">
        <v>4.7265</v>
      </c>
      <c r="G577" s="1" t="n">
        <v>2.055166</v>
      </c>
    </row>
    <row r="578">
      <c r="A578" s="2" t="inlineStr">
        <is>
          <t>B2</t>
        </is>
      </c>
      <c r="B578" s="2" t="n">
        <v>14</v>
      </c>
      <c r="C578" s="2">
        <f>_xlfn.XLOOKUP(B578,Results!$B$23:$B$119,Results!$D$23:$D$119)</f>
        <v/>
      </c>
      <c r="D578" s="2" t="n">
        <v>35</v>
      </c>
      <c r="E578" s="2" t="inlineStr">
        <is>
          <t>CHO</t>
        </is>
      </c>
      <c r="F578" s="2" t="n">
        <v>5.1355</v>
      </c>
      <c r="G578" s="2" t="n">
        <v>2.455933</v>
      </c>
    </row>
    <row r="579">
      <c r="A579" s="1" t="inlineStr">
        <is>
          <t>B2</t>
        </is>
      </c>
      <c r="B579" s="1" t="n">
        <v>14</v>
      </c>
      <c r="C579" s="2">
        <f>_xlfn.XLOOKUP(B579,Results!$B$23:$B$119,Results!$D$23:$D$119)</f>
        <v/>
      </c>
      <c r="D579" s="1" t="n">
        <v>36</v>
      </c>
      <c r="E579" s="1" t="inlineStr">
        <is>
          <t>CHO</t>
        </is>
      </c>
      <c r="F579" s="1" t="n">
        <v>5.4801</v>
      </c>
      <c r="G579" s="1" t="n">
        <v>2.792316</v>
      </c>
    </row>
    <row r="580">
      <c r="A580" s="2" t="inlineStr">
        <is>
          <t>B2</t>
        </is>
      </c>
      <c r="B580" s="2" t="n">
        <v>14</v>
      </c>
      <c r="C580" s="2">
        <f>_xlfn.XLOOKUP(B580,Results!$B$23:$B$119,Results!$D$23:$D$119)</f>
        <v/>
      </c>
      <c r="D580" s="2" t="n">
        <v>37</v>
      </c>
      <c r="E580" s="2" t="inlineStr">
        <is>
          <t>CHO</t>
        </is>
      </c>
      <c r="F580" s="2" t="n">
        <v>5.8147</v>
      </c>
      <c r="G580" s="2" t="n">
        <v>3.118655</v>
      </c>
    </row>
    <row r="581">
      <c r="A581" s="1" t="inlineStr">
        <is>
          <t>B2</t>
        </is>
      </c>
      <c r="B581" s="1" t="n">
        <v>14</v>
      </c>
      <c r="C581" s="2">
        <f>_xlfn.XLOOKUP(B581,Results!$B$23:$B$119,Results!$D$23:$D$119)</f>
        <v/>
      </c>
      <c r="D581" s="1" t="n">
        <v>38</v>
      </c>
      <c r="E581" s="1" t="inlineStr">
        <is>
          <t>CHO</t>
        </is>
      </c>
      <c r="F581" s="1" t="n">
        <v>6.0943</v>
      </c>
      <c r="G581" s="1" t="n">
        <v>3.390092</v>
      </c>
    </row>
    <row r="582">
      <c r="A582" s="2" t="inlineStr">
        <is>
          <t>B2</t>
        </is>
      </c>
      <c r="B582" s="2" t="n">
        <v>14</v>
      </c>
      <c r="C582" s="2">
        <f>_xlfn.XLOOKUP(B582,Results!$B$23:$B$119,Results!$D$23:$D$119)</f>
        <v/>
      </c>
      <c r="D582" s="2" t="n">
        <v>39</v>
      </c>
      <c r="E582" s="2" t="inlineStr">
        <is>
          <t>CHO</t>
        </is>
      </c>
      <c r="F582" s="2" t="n">
        <v>6.3275</v>
      </c>
      <c r="G582" s="2" t="n">
        <v>3.614985</v>
      </c>
    </row>
    <row r="583">
      <c r="A583" s="1" t="inlineStr">
        <is>
          <t>B2</t>
        </is>
      </c>
      <c r="B583" s="1" t="n">
        <v>14</v>
      </c>
      <c r="C583" s="2">
        <f>_xlfn.XLOOKUP(B583,Results!$B$23:$B$119,Results!$D$23:$D$119)</f>
        <v/>
      </c>
      <c r="D583" s="1" t="n">
        <v>40</v>
      </c>
      <c r="E583" s="1" t="inlineStr">
        <is>
          <t>CHO</t>
        </is>
      </c>
      <c r="F583" s="1" t="n">
        <v>6.4895</v>
      </c>
      <c r="G583" s="1" t="n">
        <v>3.768779</v>
      </c>
    </row>
    <row r="584">
      <c r="A584" s="2" t="inlineStr">
        <is>
          <t>B3</t>
        </is>
      </c>
      <c r="B584" s="2" t="n">
        <v>15</v>
      </c>
      <c r="C584" s="2">
        <f>_xlfn.XLOOKUP(B584,Results!$B$23:$B$119,Results!$D$23:$D$119)</f>
        <v/>
      </c>
      <c r="D584" s="2" t="n">
        <v>1</v>
      </c>
      <c r="E584" s="2" t="inlineStr">
        <is>
          <t>CHO</t>
        </is>
      </c>
      <c r="F584" s="2" t="n">
        <v>2.4795</v>
      </c>
      <c r="G584" s="2" t="n">
        <v>0.012279</v>
      </c>
    </row>
    <row r="585">
      <c r="A585" s="1" t="inlineStr">
        <is>
          <t>B3</t>
        </is>
      </c>
      <c r="B585" s="1" t="n">
        <v>15</v>
      </c>
      <c r="C585" s="2">
        <f>_xlfn.XLOOKUP(B585,Results!$B$23:$B$119,Results!$D$23:$D$119)</f>
        <v/>
      </c>
      <c r="D585" s="1" t="n">
        <v>2</v>
      </c>
      <c r="E585" s="1" t="inlineStr">
        <is>
          <t>CHO</t>
        </is>
      </c>
      <c r="F585" s="1" t="n">
        <v>2.4762</v>
      </c>
      <c r="G585" s="1" t="n">
        <v>0.000975</v>
      </c>
    </row>
    <row r="586">
      <c r="A586" s="2" t="inlineStr">
        <is>
          <t>B3</t>
        </is>
      </c>
      <c r="B586" s="2" t="n">
        <v>15</v>
      </c>
      <c r="C586" s="2">
        <f>_xlfn.XLOOKUP(B586,Results!$B$23:$B$119,Results!$D$23:$D$119)</f>
        <v/>
      </c>
      <c r="D586" s="2" t="n">
        <v>3</v>
      </c>
      <c r="E586" s="2" t="inlineStr">
        <is>
          <t>CHO</t>
        </is>
      </c>
      <c r="F586" s="2" t="n">
        <v>2.4824</v>
      </c>
      <c r="G586" s="2" t="n">
        <v>-0.000841</v>
      </c>
    </row>
    <row r="587">
      <c r="A587" s="1" t="inlineStr">
        <is>
          <t>B3</t>
        </is>
      </c>
      <c r="B587" s="1" t="n">
        <v>15</v>
      </c>
      <c r="C587" s="2">
        <f>_xlfn.XLOOKUP(B587,Results!$B$23:$B$119,Results!$D$23:$D$119)</f>
        <v/>
      </c>
      <c r="D587" s="1" t="n">
        <v>4</v>
      </c>
      <c r="E587" s="1" t="inlineStr">
        <is>
          <t>CHO</t>
        </is>
      </c>
      <c r="F587" s="1" t="n">
        <v>2.4909</v>
      </c>
      <c r="G587" s="1" t="n">
        <v>-0.000385</v>
      </c>
    </row>
    <row r="588">
      <c r="A588" s="2" t="inlineStr">
        <is>
          <t>B3</t>
        </is>
      </c>
      <c r="B588" s="2" t="n">
        <v>15</v>
      </c>
      <c r="C588" s="2">
        <f>_xlfn.XLOOKUP(B588,Results!$B$23:$B$119,Results!$D$23:$D$119)</f>
        <v/>
      </c>
      <c r="D588" s="2" t="n">
        <v>5</v>
      </c>
      <c r="E588" s="2" t="inlineStr">
        <is>
          <t>CHO</t>
        </is>
      </c>
      <c r="F588" s="2" t="n">
        <v>2.4977</v>
      </c>
      <c r="G588" s="2" t="n">
        <v>-0.001577</v>
      </c>
    </row>
    <row r="589">
      <c r="A589" s="1" t="inlineStr">
        <is>
          <t>B3</t>
        </is>
      </c>
      <c r="B589" s="1" t="n">
        <v>15</v>
      </c>
      <c r="C589" s="2">
        <f>_xlfn.XLOOKUP(B589,Results!$B$23:$B$119,Results!$D$23:$D$119)</f>
        <v/>
      </c>
      <c r="D589" s="1" t="n">
        <v>6</v>
      </c>
      <c r="E589" s="1" t="inlineStr">
        <is>
          <t>CHO</t>
        </is>
      </c>
      <c r="F589" s="1" t="n">
        <v>2.508</v>
      </c>
      <c r="G589" s="1" t="n">
        <v>0.000751</v>
      </c>
    </row>
    <row r="590">
      <c r="A590" s="2" t="inlineStr">
        <is>
          <t>B3</t>
        </is>
      </c>
      <c r="B590" s="2" t="n">
        <v>15</v>
      </c>
      <c r="C590" s="2">
        <f>_xlfn.XLOOKUP(B590,Results!$B$23:$B$119,Results!$D$23:$D$119)</f>
        <v/>
      </c>
      <c r="D590" s="2" t="n">
        <v>7</v>
      </c>
      <c r="E590" s="2" t="inlineStr">
        <is>
          <t>CHO</t>
        </is>
      </c>
      <c r="F590" s="2" t="n">
        <v>2.5161</v>
      </c>
      <c r="G590" s="2" t="n">
        <v>0.000865</v>
      </c>
    </row>
    <row r="591">
      <c r="A591" s="1" t="inlineStr">
        <is>
          <t>B3</t>
        </is>
      </c>
      <c r="B591" s="1" t="n">
        <v>15</v>
      </c>
      <c r="C591" s="2">
        <f>_xlfn.XLOOKUP(B591,Results!$B$23:$B$119,Results!$D$23:$D$119)</f>
        <v/>
      </c>
      <c r="D591" s="1" t="n">
        <v>8</v>
      </c>
      <c r="E591" s="1" t="inlineStr">
        <is>
          <t>CHO</t>
        </is>
      </c>
      <c r="F591" s="1" t="n">
        <v>2.525</v>
      </c>
      <c r="G591" s="1" t="n">
        <v>0.001764</v>
      </c>
    </row>
    <row r="592">
      <c r="A592" s="2" t="inlineStr">
        <is>
          <t>B3</t>
        </is>
      </c>
      <c r="B592" s="2" t="n">
        <v>15</v>
      </c>
      <c r="C592" s="2">
        <f>_xlfn.XLOOKUP(B592,Results!$B$23:$B$119,Results!$D$23:$D$119)</f>
        <v/>
      </c>
      <c r="D592" s="2" t="n">
        <v>9</v>
      </c>
      <c r="E592" s="2" t="inlineStr">
        <is>
          <t>CHO</t>
        </is>
      </c>
      <c r="F592" s="2" t="n">
        <v>2.532</v>
      </c>
      <c r="G592" s="2" t="n">
        <v>0.000672</v>
      </c>
    </row>
    <row r="593">
      <c r="A593" s="1" t="inlineStr">
        <is>
          <t>B3</t>
        </is>
      </c>
      <c r="B593" s="1" t="n">
        <v>15</v>
      </c>
      <c r="C593" s="2">
        <f>_xlfn.XLOOKUP(B593,Results!$B$23:$B$119,Results!$D$23:$D$119)</f>
        <v/>
      </c>
      <c r="D593" s="1" t="n">
        <v>10</v>
      </c>
      <c r="E593" s="1" t="inlineStr">
        <is>
          <t>CHO</t>
        </is>
      </c>
      <c r="F593" s="1" t="n">
        <v>2.5371</v>
      </c>
      <c r="G593" s="1" t="n">
        <v>-0.002171</v>
      </c>
    </row>
    <row r="594">
      <c r="A594" s="2" t="inlineStr">
        <is>
          <t>B3</t>
        </is>
      </c>
      <c r="B594" s="2" t="n">
        <v>15</v>
      </c>
      <c r="C594" s="2">
        <f>_xlfn.XLOOKUP(B594,Results!$B$23:$B$119,Results!$D$23:$D$119)</f>
        <v/>
      </c>
      <c r="D594" s="2" t="n">
        <v>11</v>
      </c>
      <c r="E594" s="2" t="inlineStr">
        <is>
          <t>CHO</t>
        </is>
      </c>
      <c r="F594" s="2" t="n">
        <v>2.5485</v>
      </c>
      <c r="G594" s="2" t="n">
        <v>0.001201</v>
      </c>
    </row>
    <row r="595">
      <c r="A595" s="1" t="inlineStr">
        <is>
          <t>B3</t>
        </is>
      </c>
      <c r="B595" s="1" t="n">
        <v>15</v>
      </c>
      <c r="C595" s="2">
        <f>_xlfn.XLOOKUP(B595,Results!$B$23:$B$119,Results!$D$23:$D$119)</f>
        <v/>
      </c>
      <c r="D595" s="1" t="n">
        <v>12</v>
      </c>
      <c r="E595" s="1" t="inlineStr">
        <is>
          <t>CHO</t>
        </is>
      </c>
      <c r="F595" s="1" t="n">
        <v>2.5591</v>
      </c>
      <c r="G595" s="1" t="n">
        <v>0.003746</v>
      </c>
    </row>
    <row r="596">
      <c r="A596" s="2" t="inlineStr">
        <is>
          <t>B3</t>
        </is>
      </c>
      <c r="B596" s="2" t="n">
        <v>15</v>
      </c>
      <c r="C596" s="2">
        <f>_xlfn.XLOOKUP(B596,Results!$B$23:$B$119,Results!$D$23:$D$119)</f>
        <v/>
      </c>
      <c r="D596" s="2" t="n">
        <v>13</v>
      </c>
      <c r="E596" s="2" t="inlineStr">
        <is>
          <t>CHO</t>
        </is>
      </c>
      <c r="F596" s="2" t="n">
        <v>2.5651</v>
      </c>
      <c r="G596" s="2" t="n">
        <v>0.0018</v>
      </c>
    </row>
    <row r="597">
      <c r="A597" s="1" t="inlineStr">
        <is>
          <t>B3</t>
        </is>
      </c>
      <c r="B597" s="1" t="n">
        <v>15</v>
      </c>
      <c r="C597" s="2">
        <f>_xlfn.XLOOKUP(B597,Results!$B$23:$B$119,Results!$D$23:$D$119)</f>
        <v/>
      </c>
      <c r="D597" s="1" t="n">
        <v>14</v>
      </c>
      <c r="E597" s="1" t="inlineStr">
        <is>
          <t>CHO</t>
        </is>
      </c>
      <c r="F597" s="1" t="n">
        <v>2.5696</v>
      </c>
      <c r="G597" s="1" t="n">
        <v>-0.001733</v>
      </c>
    </row>
    <row r="598">
      <c r="A598" s="2" t="inlineStr">
        <is>
          <t>B3</t>
        </is>
      </c>
      <c r="B598" s="2" t="n">
        <v>15</v>
      </c>
      <c r="C598" s="2">
        <f>_xlfn.XLOOKUP(B598,Results!$B$23:$B$119,Results!$D$23:$D$119)</f>
        <v/>
      </c>
      <c r="D598" s="2" t="n">
        <v>15</v>
      </c>
      <c r="E598" s="2" t="inlineStr">
        <is>
          <t>CHO</t>
        </is>
      </c>
      <c r="F598" s="2" t="n">
        <v>2.5763</v>
      </c>
      <c r="G598" s="2" t="n">
        <v>-0.003079</v>
      </c>
    </row>
    <row r="599">
      <c r="A599" s="1" t="inlineStr">
        <is>
          <t>B3</t>
        </is>
      </c>
      <c r="B599" s="1" t="n">
        <v>15</v>
      </c>
      <c r="C599" s="2">
        <f>_xlfn.XLOOKUP(B599,Results!$B$23:$B$119,Results!$D$23:$D$119)</f>
        <v/>
      </c>
      <c r="D599" s="1" t="n">
        <v>16</v>
      </c>
      <c r="E599" s="1" t="inlineStr">
        <is>
          <t>CHO</t>
        </is>
      </c>
      <c r="F599" s="1" t="n">
        <v>2.5884</v>
      </c>
      <c r="G599" s="1" t="n">
        <v>0.0009940000000000001</v>
      </c>
    </row>
    <row r="600">
      <c r="A600" s="2" t="inlineStr">
        <is>
          <t>B3</t>
        </is>
      </c>
      <c r="B600" s="2" t="n">
        <v>15</v>
      </c>
      <c r="C600" s="2">
        <f>_xlfn.XLOOKUP(B600,Results!$B$23:$B$119,Results!$D$23:$D$119)</f>
        <v/>
      </c>
      <c r="D600" s="2" t="n">
        <v>17</v>
      </c>
      <c r="E600" s="2" t="inlineStr">
        <is>
          <t>CHO</t>
        </is>
      </c>
      <c r="F600" s="2" t="n">
        <v>2.5949</v>
      </c>
      <c r="G600" s="2" t="n">
        <v>-0.000453</v>
      </c>
    </row>
    <row r="601">
      <c r="A601" s="1" t="inlineStr">
        <is>
          <t>B3</t>
        </is>
      </c>
      <c r="B601" s="1" t="n">
        <v>15</v>
      </c>
      <c r="C601" s="2">
        <f>_xlfn.XLOOKUP(B601,Results!$B$23:$B$119,Results!$D$23:$D$119)</f>
        <v/>
      </c>
      <c r="D601" s="1" t="n">
        <v>18</v>
      </c>
      <c r="E601" s="1" t="inlineStr">
        <is>
          <t>CHO</t>
        </is>
      </c>
      <c r="F601" s="1" t="n">
        <v>2.6019</v>
      </c>
      <c r="G601" s="1" t="n">
        <v>-0.0015</v>
      </c>
    </row>
    <row r="602">
      <c r="A602" s="2" t="inlineStr">
        <is>
          <t>B3</t>
        </is>
      </c>
      <c r="B602" s="2" t="n">
        <v>15</v>
      </c>
      <c r="C602" s="2">
        <f>_xlfn.XLOOKUP(B602,Results!$B$23:$B$119,Results!$D$23:$D$119)</f>
        <v/>
      </c>
      <c r="D602" s="2" t="n">
        <v>19</v>
      </c>
      <c r="E602" s="2" t="inlineStr">
        <is>
          <t>CHO</t>
        </is>
      </c>
      <c r="F602" s="2" t="n">
        <v>2.6077</v>
      </c>
      <c r="G602" s="2" t="n">
        <v>-0.003666</v>
      </c>
    </row>
    <row r="603">
      <c r="A603" s="1" t="inlineStr">
        <is>
          <t>B3</t>
        </is>
      </c>
      <c r="B603" s="1" t="n">
        <v>15</v>
      </c>
      <c r="C603" s="2">
        <f>_xlfn.XLOOKUP(B603,Results!$B$23:$B$119,Results!$D$23:$D$119)</f>
        <v/>
      </c>
      <c r="D603" s="1" t="n">
        <v>20</v>
      </c>
      <c r="E603" s="1" t="inlineStr">
        <is>
          <t>CHO</t>
        </is>
      </c>
      <c r="F603" s="1" t="n">
        <v>2.6173</v>
      </c>
      <c r="G603" s="1" t="n">
        <v>-0.00212</v>
      </c>
    </row>
    <row r="604">
      <c r="A604" s="2" t="inlineStr">
        <is>
          <t>B3</t>
        </is>
      </c>
      <c r="B604" s="2" t="n">
        <v>15</v>
      </c>
      <c r="C604" s="2">
        <f>_xlfn.XLOOKUP(B604,Results!$B$23:$B$119,Results!$D$23:$D$119)</f>
        <v/>
      </c>
      <c r="D604" s="2" t="n">
        <v>21</v>
      </c>
      <c r="E604" s="2" t="inlineStr">
        <is>
          <t>CHO</t>
        </is>
      </c>
      <c r="F604" s="2" t="n">
        <v>2.6309</v>
      </c>
      <c r="G604" s="2" t="n">
        <v>0.003437</v>
      </c>
    </row>
    <row r="605">
      <c r="A605" s="1" t="inlineStr">
        <is>
          <t>B3</t>
        </is>
      </c>
      <c r="B605" s="1" t="n">
        <v>15</v>
      </c>
      <c r="C605" s="2">
        <f>_xlfn.XLOOKUP(B605,Results!$B$23:$B$119,Results!$D$23:$D$119)</f>
        <v/>
      </c>
      <c r="D605" s="1" t="n">
        <v>22</v>
      </c>
      <c r="E605" s="1" t="inlineStr">
        <is>
          <t>CHO</t>
        </is>
      </c>
      <c r="F605" s="1" t="n">
        <v>2.6377</v>
      </c>
      <c r="G605" s="1" t="n">
        <v>0.002295</v>
      </c>
    </row>
    <row r="606">
      <c r="A606" s="2" t="inlineStr">
        <is>
          <t>B3</t>
        </is>
      </c>
      <c r="B606" s="2" t="n">
        <v>15</v>
      </c>
      <c r="C606" s="2">
        <f>_xlfn.XLOOKUP(B606,Results!$B$23:$B$119,Results!$D$23:$D$119)</f>
        <v/>
      </c>
      <c r="D606" s="2" t="n">
        <v>23</v>
      </c>
      <c r="E606" s="2" t="inlineStr">
        <is>
          <t>CHO</t>
        </is>
      </c>
      <c r="F606" s="2" t="n">
        <v>2.6503</v>
      </c>
      <c r="G606" s="2" t="n">
        <v>0.006819</v>
      </c>
    </row>
    <row r="607">
      <c r="A607" s="1" t="inlineStr">
        <is>
          <t>B3</t>
        </is>
      </c>
      <c r="B607" s="1" t="n">
        <v>15</v>
      </c>
      <c r="C607" s="2">
        <f>_xlfn.XLOOKUP(B607,Results!$B$23:$B$119,Results!$D$23:$D$119)</f>
        <v/>
      </c>
      <c r="D607" s="1" t="n">
        <v>24</v>
      </c>
      <c r="E607" s="1" t="inlineStr">
        <is>
          <t>CHO</t>
        </is>
      </c>
      <c r="F607" s="1" t="n">
        <v>2.6651</v>
      </c>
      <c r="G607" s="1" t="n">
        <v>0.013646</v>
      </c>
    </row>
    <row r="608">
      <c r="A608" s="2" t="inlineStr">
        <is>
          <t>B3</t>
        </is>
      </c>
      <c r="B608" s="2" t="n">
        <v>15</v>
      </c>
      <c r="C608" s="2">
        <f>_xlfn.XLOOKUP(B608,Results!$B$23:$B$119,Results!$D$23:$D$119)</f>
        <v/>
      </c>
      <c r="D608" s="2" t="n">
        <v>25</v>
      </c>
      <c r="E608" s="2" t="inlineStr">
        <is>
          <t>CHO</t>
        </is>
      </c>
      <c r="F608" s="2" t="n">
        <v>2.6869</v>
      </c>
      <c r="G608" s="2" t="n">
        <v>0.027437</v>
      </c>
    </row>
    <row r="609">
      <c r="A609" s="1" t="inlineStr">
        <is>
          <t>B3</t>
        </is>
      </c>
      <c r="B609" s="1" t="n">
        <v>15</v>
      </c>
      <c r="C609" s="2">
        <f>_xlfn.XLOOKUP(B609,Results!$B$23:$B$119,Results!$D$23:$D$119)</f>
        <v/>
      </c>
      <c r="D609" s="1" t="n">
        <v>26</v>
      </c>
      <c r="E609" s="1" t="inlineStr">
        <is>
          <t>CHO</t>
        </is>
      </c>
      <c r="F609" s="1" t="n">
        <v>2.7127</v>
      </c>
      <c r="G609" s="1" t="n">
        <v>0.04524</v>
      </c>
    </row>
    <row r="610">
      <c r="A610" s="2" t="inlineStr">
        <is>
          <t>B3</t>
        </is>
      </c>
      <c r="B610" s="2" t="n">
        <v>15</v>
      </c>
      <c r="C610" s="2">
        <f>_xlfn.XLOOKUP(B610,Results!$B$23:$B$119,Results!$D$23:$D$119)</f>
        <v/>
      </c>
      <c r="D610" s="2" t="n">
        <v>27</v>
      </c>
      <c r="E610" s="2" t="inlineStr">
        <is>
          <t>CHO</t>
        </is>
      </c>
      <c r="F610" s="2" t="n">
        <v>2.7611</v>
      </c>
      <c r="G610" s="2" t="n">
        <v>0.085646</v>
      </c>
    </row>
    <row r="611">
      <c r="A611" s="1" t="inlineStr">
        <is>
          <t>B3</t>
        </is>
      </c>
      <c r="B611" s="1" t="n">
        <v>15</v>
      </c>
      <c r="C611" s="2">
        <f>_xlfn.XLOOKUP(B611,Results!$B$23:$B$119,Results!$D$23:$D$119)</f>
        <v/>
      </c>
      <c r="D611" s="1" t="n">
        <v>28</v>
      </c>
      <c r="E611" s="1" t="inlineStr">
        <is>
          <t>CHO</t>
        </is>
      </c>
      <c r="F611" s="1" t="n">
        <v>2.8375</v>
      </c>
      <c r="G611" s="1" t="n">
        <v>0.153995</v>
      </c>
    </row>
    <row r="612">
      <c r="A612" s="2" t="inlineStr">
        <is>
          <t>B3</t>
        </is>
      </c>
      <c r="B612" s="2" t="n">
        <v>15</v>
      </c>
      <c r="C612" s="2">
        <f>_xlfn.XLOOKUP(B612,Results!$B$23:$B$119,Results!$D$23:$D$119)</f>
        <v/>
      </c>
      <c r="D612" s="2" t="n">
        <v>29</v>
      </c>
      <c r="E612" s="2" t="inlineStr">
        <is>
          <t>CHO</t>
        </is>
      </c>
      <c r="F612" s="2" t="n">
        <v>2.9776</v>
      </c>
      <c r="G612" s="2" t="n">
        <v>0.286052</v>
      </c>
    </row>
    <row r="613">
      <c r="A613" s="1" t="inlineStr">
        <is>
          <t>B3</t>
        </is>
      </c>
      <c r="B613" s="1" t="n">
        <v>15</v>
      </c>
      <c r="C613" s="2">
        <f>_xlfn.XLOOKUP(B613,Results!$B$23:$B$119,Results!$D$23:$D$119)</f>
        <v/>
      </c>
      <c r="D613" s="1" t="n">
        <v>30</v>
      </c>
      <c r="E613" s="1" t="inlineStr">
        <is>
          <t>CHO</t>
        </is>
      </c>
      <c r="F613" s="1" t="n">
        <v>3.2199</v>
      </c>
      <c r="G613" s="1" t="n">
        <v>0.520359</v>
      </c>
    </row>
    <row r="614">
      <c r="A614" s="2" t="inlineStr">
        <is>
          <t>B3</t>
        </is>
      </c>
      <c r="B614" s="2" t="n">
        <v>15</v>
      </c>
      <c r="C614" s="2">
        <f>_xlfn.XLOOKUP(B614,Results!$B$23:$B$119,Results!$D$23:$D$119)</f>
        <v/>
      </c>
      <c r="D614" s="2" t="n">
        <v>31</v>
      </c>
      <c r="E614" s="2" t="inlineStr">
        <is>
          <t>CHO</t>
        </is>
      </c>
      <c r="F614" s="2" t="n">
        <v>3.5493</v>
      </c>
      <c r="G614" s="2" t="n">
        <v>0.841745</v>
      </c>
    </row>
    <row r="615">
      <c r="A615" s="1" t="inlineStr">
        <is>
          <t>B3</t>
        </is>
      </c>
      <c r="B615" s="1" t="n">
        <v>15</v>
      </c>
      <c r="C615" s="2">
        <f>_xlfn.XLOOKUP(B615,Results!$B$23:$B$119,Results!$D$23:$D$119)</f>
        <v/>
      </c>
      <c r="D615" s="1" t="n">
        <v>32</v>
      </c>
      <c r="E615" s="1" t="inlineStr">
        <is>
          <t>CHO</t>
        </is>
      </c>
      <c r="F615" s="1" t="n">
        <v>3.9697</v>
      </c>
      <c r="G615" s="1" t="n">
        <v>1.254177</v>
      </c>
    </row>
    <row r="616">
      <c r="A616" s="2" t="inlineStr">
        <is>
          <t>B3</t>
        </is>
      </c>
      <c r="B616" s="2" t="n">
        <v>15</v>
      </c>
      <c r="C616" s="2">
        <f>_xlfn.XLOOKUP(B616,Results!$B$23:$B$119,Results!$D$23:$D$119)</f>
        <v/>
      </c>
      <c r="D616" s="2" t="n">
        <v>33</v>
      </c>
      <c r="E616" s="2" t="inlineStr">
        <is>
          <t>CHO</t>
        </is>
      </c>
      <c r="F616" s="2" t="n">
        <v>4.4259</v>
      </c>
      <c r="G616" s="2" t="n">
        <v>1.702325</v>
      </c>
    </row>
    <row r="617">
      <c r="A617" s="1" t="inlineStr">
        <is>
          <t>B3</t>
        </is>
      </c>
      <c r="B617" s="1" t="n">
        <v>15</v>
      </c>
      <c r="C617" s="2">
        <f>_xlfn.XLOOKUP(B617,Results!$B$23:$B$119,Results!$D$23:$D$119)</f>
        <v/>
      </c>
      <c r="D617" s="1" t="n">
        <v>34</v>
      </c>
      <c r="E617" s="1" t="inlineStr">
        <is>
          <t>CHO</t>
        </is>
      </c>
      <c r="F617" s="1" t="n">
        <v>4.8943</v>
      </c>
      <c r="G617" s="1" t="n">
        <v>2.162744</v>
      </c>
    </row>
    <row r="618">
      <c r="A618" s="2" t="inlineStr">
        <is>
          <t>B3</t>
        </is>
      </c>
      <c r="B618" s="2" t="n">
        <v>15</v>
      </c>
      <c r="C618" s="2">
        <f>_xlfn.XLOOKUP(B618,Results!$B$23:$B$119,Results!$D$23:$D$119)</f>
        <v/>
      </c>
      <c r="D618" s="2" t="n">
        <v>35</v>
      </c>
      <c r="E618" s="2" t="inlineStr">
        <is>
          <t>CHO</t>
        </is>
      </c>
      <c r="F618" s="2" t="n">
        <v>5.3164</v>
      </c>
      <c r="G618" s="2" t="n">
        <v>2.576807</v>
      </c>
    </row>
    <row r="619">
      <c r="A619" s="1" t="inlineStr">
        <is>
          <t>B3</t>
        </is>
      </c>
      <c r="B619" s="1" t="n">
        <v>15</v>
      </c>
      <c r="C619" s="2">
        <f>_xlfn.XLOOKUP(B619,Results!$B$23:$B$119,Results!$D$23:$D$119)</f>
        <v/>
      </c>
      <c r="D619" s="1" t="n">
        <v>36</v>
      </c>
      <c r="E619" s="1" t="inlineStr">
        <is>
          <t>CHO</t>
        </is>
      </c>
      <c r="F619" s="1" t="n">
        <v>5.7053</v>
      </c>
      <c r="G619" s="1" t="n">
        <v>2.957671</v>
      </c>
    </row>
    <row r="620">
      <c r="A620" s="2" t="inlineStr">
        <is>
          <t>B3</t>
        </is>
      </c>
      <c r="B620" s="2" t="n">
        <v>15</v>
      </c>
      <c r="C620" s="2">
        <f>_xlfn.XLOOKUP(B620,Results!$B$23:$B$119,Results!$D$23:$D$119)</f>
        <v/>
      </c>
      <c r="D620" s="2" t="n">
        <v>37</v>
      </c>
      <c r="E620" s="2" t="inlineStr">
        <is>
          <t>CHO</t>
        </is>
      </c>
      <c r="F620" s="2" t="n">
        <v>6.0656</v>
      </c>
      <c r="G620" s="2" t="n">
        <v>3.310035</v>
      </c>
    </row>
    <row r="621">
      <c r="A621" s="1" t="inlineStr">
        <is>
          <t>B3</t>
        </is>
      </c>
      <c r="B621" s="1" t="n">
        <v>15</v>
      </c>
      <c r="C621" s="2">
        <f>_xlfn.XLOOKUP(B621,Results!$B$23:$B$119,Results!$D$23:$D$119)</f>
        <v/>
      </c>
      <c r="D621" s="1" t="n">
        <v>38</v>
      </c>
      <c r="E621" s="1" t="inlineStr">
        <is>
          <t>CHO</t>
        </is>
      </c>
      <c r="F621" s="1" t="n">
        <v>6.367</v>
      </c>
      <c r="G621" s="1" t="n">
        <v>3.60341</v>
      </c>
    </row>
    <row r="622">
      <c r="A622" s="2" t="inlineStr">
        <is>
          <t>B3</t>
        </is>
      </c>
      <c r="B622" s="2" t="n">
        <v>15</v>
      </c>
      <c r="C622" s="2">
        <f>_xlfn.XLOOKUP(B622,Results!$B$23:$B$119,Results!$D$23:$D$119)</f>
        <v/>
      </c>
      <c r="D622" s="2" t="n">
        <v>39</v>
      </c>
      <c r="E622" s="2" t="inlineStr">
        <is>
          <t>CHO</t>
        </is>
      </c>
      <c r="F622" s="2" t="n">
        <v>6.624</v>
      </c>
      <c r="G622" s="2" t="n">
        <v>3.852339</v>
      </c>
    </row>
    <row r="623">
      <c r="A623" s="1" t="inlineStr">
        <is>
          <t>B3</t>
        </is>
      </c>
      <c r="B623" s="1" t="n">
        <v>15</v>
      </c>
      <c r="C623" s="2">
        <f>_xlfn.XLOOKUP(B623,Results!$B$23:$B$119,Results!$D$23:$D$119)</f>
        <v/>
      </c>
      <c r="D623" s="1" t="n">
        <v>40</v>
      </c>
      <c r="E623" s="1" t="inlineStr">
        <is>
          <t>CHO</t>
        </is>
      </c>
      <c r="F623" s="1" t="n">
        <v>6.8324</v>
      </c>
      <c r="G623" s="1" t="n">
        <v>4.05272</v>
      </c>
    </row>
    <row r="624">
      <c r="A624" s="2" t="inlineStr">
        <is>
          <t>B4</t>
        </is>
      </c>
      <c r="B624" s="2" t="n">
        <v>16</v>
      </c>
      <c r="C624" s="2">
        <f>_xlfn.XLOOKUP(B624,Results!$B$23:$B$119,Results!$D$23:$D$119)</f>
        <v/>
      </c>
      <c r="D624" s="2" t="n">
        <v>1</v>
      </c>
      <c r="E624" s="2" t="inlineStr">
        <is>
          <t>CHO</t>
        </is>
      </c>
      <c r="F624" s="2" t="n">
        <v>2.3265</v>
      </c>
      <c r="G624" s="2" t="n">
        <v>0.004439</v>
      </c>
    </row>
    <row r="625">
      <c r="A625" s="1" t="inlineStr">
        <is>
          <t>B4</t>
        </is>
      </c>
      <c r="B625" s="1" t="n">
        <v>16</v>
      </c>
      <c r="C625" s="2">
        <f>_xlfn.XLOOKUP(B625,Results!$B$23:$B$119,Results!$D$23:$D$119)</f>
        <v/>
      </c>
      <c r="D625" s="1" t="n">
        <v>2</v>
      </c>
      <c r="E625" s="1" t="inlineStr">
        <is>
          <t>CHO</t>
        </is>
      </c>
      <c r="F625" s="1" t="n">
        <v>2.3283</v>
      </c>
      <c r="G625" s="1" t="n">
        <v>0.001387</v>
      </c>
    </row>
    <row r="626">
      <c r="A626" s="2" t="inlineStr">
        <is>
          <t>B4</t>
        </is>
      </c>
      <c r="B626" s="2" t="n">
        <v>16</v>
      </c>
      <c r="C626" s="2">
        <f>_xlfn.XLOOKUP(B626,Results!$B$23:$B$119,Results!$D$23:$D$119)</f>
        <v/>
      </c>
      <c r="D626" s="2" t="n">
        <v>3</v>
      </c>
      <c r="E626" s="2" t="inlineStr">
        <is>
          <t>CHO</t>
        </is>
      </c>
      <c r="F626" s="2" t="n">
        <v>2.3312</v>
      </c>
      <c r="G626" s="2" t="n">
        <v>-0.000559</v>
      </c>
    </row>
    <row r="627">
      <c r="A627" s="1" t="inlineStr">
        <is>
          <t>B4</t>
        </is>
      </c>
      <c r="B627" s="1" t="n">
        <v>16</v>
      </c>
      <c r="C627" s="2">
        <f>_xlfn.XLOOKUP(B627,Results!$B$23:$B$119,Results!$D$23:$D$119)</f>
        <v/>
      </c>
      <c r="D627" s="1" t="n">
        <v>4</v>
      </c>
      <c r="E627" s="1" t="inlineStr">
        <is>
          <t>CHO</t>
        </is>
      </c>
      <c r="F627" s="1" t="n">
        <v>2.3343</v>
      </c>
      <c r="G627" s="1" t="n">
        <v>-0.002235</v>
      </c>
    </row>
    <row r="628">
      <c r="A628" s="2" t="inlineStr">
        <is>
          <t>B4</t>
        </is>
      </c>
      <c r="B628" s="2" t="n">
        <v>16</v>
      </c>
      <c r="C628" s="2">
        <f>_xlfn.XLOOKUP(B628,Results!$B$23:$B$119,Results!$D$23:$D$119)</f>
        <v/>
      </c>
      <c r="D628" s="2" t="n">
        <v>5</v>
      </c>
      <c r="E628" s="2" t="inlineStr">
        <is>
          <t>CHO</t>
        </is>
      </c>
      <c r="F628" s="2" t="n">
        <v>2.3398</v>
      </c>
      <c r="G628" s="2" t="n">
        <v>-0.001657</v>
      </c>
    </row>
    <row r="629">
      <c r="A629" s="1" t="inlineStr">
        <is>
          <t>B4</t>
        </is>
      </c>
      <c r="B629" s="1" t="n">
        <v>16</v>
      </c>
      <c r="C629" s="2">
        <f>_xlfn.XLOOKUP(B629,Results!$B$23:$B$119,Results!$D$23:$D$119)</f>
        <v/>
      </c>
      <c r="D629" s="1" t="n">
        <v>6</v>
      </c>
      <c r="E629" s="1" t="inlineStr">
        <is>
          <t>CHO</t>
        </is>
      </c>
      <c r="F629" s="1" t="n">
        <v>2.3437</v>
      </c>
      <c r="G629" s="1" t="n">
        <v>-0.002556</v>
      </c>
    </row>
    <row r="630">
      <c r="A630" s="2" t="inlineStr">
        <is>
          <t>B4</t>
        </is>
      </c>
      <c r="B630" s="2" t="n">
        <v>16</v>
      </c>
      <c r="C630" s="2">
        <f>_xlfn.XLOOKUP(B630,Results!$B$23:$B$119,Results!$D$23:$D$119)</f>
        <v/>
      </c>
      <c r="D630" s="2" t="n">
        <v>7</v>
      </c>
      <c r="E630" s="2" t="inlineStr">
        <is>
          <t>CHO</t>
        </is>
      </c>
      <c r="F630" s="2" t="n">
        <v>2.3476</v>
      </c>
      <c r="G630" s="2" t="n">
        <v>-0.003519</v>
      </c>
    </row>
    <row r="631">
      <c r="A631" s="1" t="inlineStr">
        <is>
          <t>B4</t>
        </is>
      </c>
      <c r="B631" s="1" t="n">
        <v>16</v>
      </c>
      <c r="C631" s="2">
        <f>_xlfn.XLOOKUP(B631,Results!$B$23:$B$119,Results!$D$23:$D$119)</f>
        <v/>
      </c>
      <c r="D631" s="1" t="n">
        <v>8</v>
      </c>
      <c r="E631" s="1" t="inlineStr">
        <is>
          <t>CHO</t>
        </is>
      </c>
      <c r="F631" s="1" t="n">
        <v>2.3572</v>
      </c>
      <c r="G631" s="1" t="n">
        <v>0.001221</v>
      </c>
    </row>
    <row r="632">
      <c r="A632" s="2" t="inlineStr">
        <is>
          <t>B4</t>
        </is>
      </c>
      <c r="B632" s="2" t="n">
        <v>16</v>
      </c>
      <c r="C632" s="2">
        <f>_xlfn.XLOOKUP(B632,Results!$B$23:$B$119,Results!$D$23:$D$119)</f>
        <v/>
      </c>
      <c r="D632" s="2" t="n">
        <v>9</v>
      </c>
      <c r="E632" s="2" t="inlineStr">
        <is>
          <t>CHO</t>
        </is>
      </c>
      <c r="F632" s="2" t="n">
        <v>2.3613</v>
      </c>
      <c r="G632" s="2" t="n">
        <v>0.000465</v>
      </c>
    </row>
    <row r="633">
      <c r="A633" s="1" t="inlineStr">
        <is>
          <t>B4</t>
        </is>
      </c>
      <c r="B633" s="1" t="n">
        <v>16</v>
      </c>
      <c r="C633" s="2">
        <f>_xlfn.XLOOKUP(B633,Results!$B$23:$B$119,Results!$D$23:$D$119)</f>
        <v/>
      </c>
      <c r="D633" s="1" t="n">
        <v>10</v>
      </c>
      <c r="E633" s="1" t="inlineStr">
        <is>
          <t>CHO</t>
        </is>
      </c>
      <c r="F633" s="1" t="n">
        <v>2.3674</v>
      </c>
      <c r="G633" s="1" t="n">
        <v>0.001767</v>
      </c>
    </row>
    <row r="634">
      <c r="A634" s="2" t="inlineStr">
        <is>
          <t>B4</t>
        </is>
      </c>
      <c r="B634" s="2" t="n">
        <v>16</v>
      </c>
      <c r="C634" s="2">
        <f>_xlfn.XLOOKUP(B634,Results!$B$23:$B$119,Results!$D$23:$D$119)</f>
        <v/>
      </c>
      <c r="D634" s="2" t="n">
        <v>11</v>
      </c>
      <c r="E634" s="2" t="inlineStr">
        <is>
          <t>CHO</t>
        </is>
      </c>
      <c r="F634" s="2" t="n">
        <v>2.3726</v>
      </c>
      <c r="G634" s="2" t="n">
        <v>0.002128</v>
      </c>
    </row>
    <row r="635">
      <c r="A635" s="1" t="inlineStr">
        <is>
          <t>B4</t>
        </is>
      </c>
      <c r="B635" s="1" t="n">
        <v>16</v>
      </c>
      <c r="C635" s="2">
        <f>_xlfn.XLOOKUP(B635,Results!$B$23:$B$119,Results!$D$23:$D$119)</f>
        <v/>
      </c>
      <c r="D635" s="1" t="n">
        <v>12</v>
      </c>
      <c r="E635" s="1" t="inlineStr">
        <is>
          <t>CHO</t>
        </is>
      </c>
      <c r="F635" s="1" t="n">
        <v>2.3756</v>
      </c>
      <c r="G635" s="1" t="n">
        <v>0.000285</v>
      </c>
    </row>
    <row r="636">
      <c r="A636" s="2" t="inlineStr">
        <is>
          <t>B4</t>
        </is>
      </c>
      <c r="B636" s="2" t="n">
        <v>16</v>
      </c>
      <c r="C636" s="2">
        <f>_xlfn.XLOOKUP(B636,Results!$B$23:$B$119,Results!$D$23:$D$119)</f>
        <v/>
      </c>
      <c r="D636" s="2" t="n">
        <v>13</v>
      </c>
      <c r="E636" s="2" t="inlineStr">
        <is>
          <t>CHO</t>
        </is>
      </c>
      <c r="F636" s="2" t="n">
        <v>2.3808</v>
      </c>
      <c r="G636" s="2" t="n">
        <v>0.000603</v>
      </c>
    </row>
    <row r="637">
      <c r="A637" s="1" t="inlineStr">
        <is>
          <t>B4</t>
        </is>
      </c>
      <c r="B637" s="1" t="n">
        <v>16</v>
      </c>
      <c r="C637" s="2">
        <f>_xlfn.XLOOKUP(B637,Results!$B$23:$B$119,Results!$D$23:$D$119)</f>
        <v/>
      </c>
      <c r="D637" s="1" t="n">
        <v>14</v>
      </c>
      <c r="E637" s="1" t="inlineStr">
        <is>
          <t>CHO</t>
        </is>
      </c>
      <c r="F637" s="1" t="n">
        <v>2.3897</v>
      </c>
      <c r="G637" s="1" t="n">
        <v>0.004603</v>
      </c>
    </row>
    <row r="638">
      <c r="A638" s="2" t="inlineStr">
        <is>
          <t>B4</t>
        </is>
      </c>
      <c r="B638" s="2" t="n">
        <v>16</v>
      </c>
      <c r="C638" s="2">
        <f>_xlfn.XLOOKUP(B638,Results!$B$23:$B$119,Results!$D$23:$D$119)</f>
        <v/>
      </c>
      <c r="D638" s="2" t="n">
        <v>15</v>
      </c>
      <c r="E638" s="2" t="inlineStr">
        <is>
          <t>CHO</t>
        </is>
      </c>
      <c r="F638" s="2" t="n">
        <v>2.3943</v>
      </c>
      <c r="G638" s="2" t="n">
        <v>0.004375</v>
      </c>
    </row>
    <row r="639">
      <c r="A639" s="1" t="inlineStr">
        <is>
          <t>B4</t>
        </is>
      </c>
      <c r="B639" s="1" t="n">
        <v>16</v>
      </c>
      <c r="C639" s="2">
        <f>_xlfn.XLOOKUP(B639,Results!$B$23:$B$119,Results!$D$23:$D$119)</f>
        <v/>
      </c>
      <c r="D639" s="1" t="n">
        <v>16</v>
      </c>
      <c r="E639" s="1" t="inlineStr">
        <is>
          <t>CHO</t>
        </is>
      </c>
      <c r="F639" s="1" t="n">
        <v>2.3957</v>
      </c>
      <c r="G639" s="1" t="n">
        <v>0.00098</v>
      </c>
    </row>
    <row r="640">
      <c r="A640" s="2" t="inlineStr">
        <is>
          <t>B4</t>
        </is>
      </c>
      <c r="B640" s="2" t="n">
        <v>16</v>
      </c>
      <c r="C640" s="2">
        <f>_xlfn.XLOOKUP(B640,Results!$B$23:$B$119,Results!$D$23:$D$119)</f>
        <v/>
      </c>
      <c r="D640" s="2" t="n">
        <v>17</v>
      </c>
      <c r="E640" s="2" t="inlineStr">
        <is>
          <t>CHO</t>
        </is>
      </c>
      <c r="F640" s="2" t="n">
        <v>2.4001</v>
      </c>
      <c r="G640" s="2" t="n">
        <v>0.000477</v>
      </c>
    </row>
    <row r="641">
      <c r="A641" s="1" t="inlineStr">
        <is>
          <t>B4</t>
        </is>
      </c>
      <c r="B641" s="1" t="n">
        <v>16</v>
      </c>
      <c r="C641" s="2">
        <f>_xlfn.XLOOKUP(B641,Results!$B$23:$B$119,Results!$D$23:$D$119)</f>
        <v/>
      </c>
      <c r="D641" s="1" t="n">
        <v>18</v>
      </c>
      <c r="E641" s="1" t="inlineStr">
        <is>
          <t>CHO</t>
        </is>
      </c>
      <c r="F641" s="1" t="n">
        <v>2.4046</v>
      </c>
      <c r="G641" s="1" t="n">
        <v>0.00013</v>
      </c>
    </row>
    <row r="642">
      <c r="A642" s="2" t="inlineStr">
        <is>
          <t>B4</t>
        </is>
      </c>
      <c r="B642" s="2" t="n">
        <v>16</v>
      </c>
      <c r="C642" s="2">
        <f>_xlfn.XLOOKUP(B642,Results!$B$23:$B$119,Results!$D$23:$D$119)</f>
        <v/>
      </c>
      <c r="D642" s="2" t="n">
        <v>19</v>
      </c>
      <c r="E642" s="2" t="inlineStr">
        <is>
          <t>CHO</t>
        </is>
      </c>
      <c r="F642" s="2" t="n">
        <v>2.4085</v>
      </c>
      <c r="G642" s="2" t="n">
        <v>-0.000758</v>
      </c>
    </row>
    <row r="643">
      <c r="A643" s="1" t="inlineStr">
        <is>
          <t>B4</t>
        </is>
      </c>
      <c r="B643" s="1" t="n">
        <v>16</v>
      </c>
      <c r="C643" s="2">
        <f>_xlfn.XLOOKUP(B643,Results!$B$23:$B$119,Results!$D$23:$D$119)</f>
        <v/>
      </c>
      <c r="D643" s="1" t="n">
        <v>20</v>
      </c>
      <c r="E643" s="1" t="inlineStr">
        <is>
          <t>CHO</t>
        </is>
      </c>
      <c r="F643" s="1" t="n">
        <v>2.4101</v>
      </c>
      <c r="G643" s="1" t="n">
        <v>-0.004007</v>
      </c>
    </row>
    <row r="644">
      <c r="A644" s="2" t="inlineStr">
        <is>
          <t>B4</t>
        </is>
      </c>
      <c r="B644" s="2" t="n">
        <v>16</v>
      </c>
      <c r="C644" s="2">
        <f>_xlfn.XLOOKUP(B644,Results!$B$23:$B$119,Results!$D$23:$D$119)</f>
        <v/>
      </c>
      <c r="D644" s="2" t="n">
        <v>21</v>
      </c>
      <c r="E644" s="2" t="inlineStr">
        <is>
          <t>CHO</t>
        </is>
      </c>
      <c r="F644" s="2" t="n">
        <v>2.4188</v>
      </c>
      <c r="G644" s="2" t="n">
        <v>-0.000211</v>
      </c>
    </row>
    <row r="645">
      <c r="A645" s="1" t="inlineStr">
        <is>
          <t>B4</t>
        </is>
      </c>
      <c r="B645" s="1" t="n">
        <v>16</v>
      </c>
      <c r="C645" s="2">
        <f>_xlfn.XLOOKUP(B645,Results!$B$23:$B$119,Results!$D$23:$D$119)</f>
        <v/>
      </c>
      <c r="D645" s="1" t="n">
        <v>22</v>
      </c>
      <c r="E645" s="1" t="inlineStr">
        <is>
          <t>CHO</t>
        </is>
      </c>
      <c r="F645" s="1" t="n">
        <v>2.4234</v>
      </c>
      <c r="G645" s="1" t="n">
        <v>-0.000474</v>
      </c>
    </row>
    <row r="646">
      <c r="A646" s="2" t="inlineStr">
        <is>
          <t>B4</t>
        </is>
      </c>
      <c r="B646" s="2" t="n">
        <v>16</v>
      </c>
      <c r="C646" s="2">
        <f>_xlfn.XLOOKUP(B646,Results!$B$23:$B$119,Results!$D$23:$D$119)</f>
        <v/>
      </c>
      <c r="D646" s="2" t="n">
        <v>23</v>
      </c>
      <c r="E646" s="2" t="inlineStr">
        <is>
          <t>CHO</t>
        </is>
      </c>
      <c r="F646" s="2" t="n">
        <v>2.4325</v>
      </c>
      <c r="G646" s="2" t="n">
        <v>0.003807</v>
      </c>
    </row>
    <row r="647">
      <c r="A647" s="1" t="inlineStr">
        <is>
          <t>B4</t>
        </is>
      </c>
      <c r="B647" s="1" t="n">
        <v>16</v>
      </c>
      <c r="C647" s="2">
        <f>_xlfn.XLOOKUP(B647,Results!$B$23:$B$119,Results!$D$23:$D$119)</f>
        <v/>
      </c>
      <c r="D647" s="1" t="n">
        <v>24</v>
      </c>
      <c r="E647" s="1" t="inlineStr">
        <is>
          <t>CHO</t>
        </is>
      </c>
      <c r="F647" s="1" t="n">
        <v>2.4385</v>
      </c>
      <c r="G647" s="1" t="n">
        <v>0.004917</v>
      </c>
    </row>
    <row r="648">
      <c r="A648" s="2" t="inlineStr">
        <is>
          <t>B4</t>
        </is>
      </c>
      <c r="B648" s="2" t="n">
        <v>16</v>
      </c>
      <c r="C648" s="2">
        <f>_xlfn.XLOOKUP(B648,Results!$B$23:$B$119,Results!$D$23:$D$119)</f>
        <v/>
      </c>
      <c r="D648" s="2" t="n">
        <v>25</v>
      </c>
      <c r="E648" s="2" t="inlineStr">
        <is>
          <t>CHO</t>
        </is>
      </c>
      <c r="F648" s="2" t="n">
        <v>2.4361</v>
      </c>
      <c r="G648" s="2" t="n">
        <v>-0.002293</v>
      </c>
    </row>
    <row r="649">
      <c r="A649" s="1" t="inlineStr">
        <is>
          <t>B4</t>
        </is>
      </c>
      <c r="B649" s="1" t="n">
        <v>16</v>
      </c>
      <c r="C649" s="2">
        <f>_xlfn.XLOOKUP(B649,Results!$B$23:$B$119,Results!$D$23:$D$119)</f>
        <v/>
      </c>
      <c r="D649" s="1" t="n">
        <v>26</v>
      </c>
      <c r="E649" s="1" t="inlineStr">
        <is>
          <t>CHO</t>
        </is>
      </c>
      <c r="F649" s="1" t="n">
        <v>2.4378</v>
      </c>
      <c r="G649" s="1" t="n">
        <v>-0.005464</v>
      </c>
    </row>
    <row r="650">
      <c r="A650" s="2" t="inlineStr">
        <is>
          <t>B4</t>
        </is>
      </c>
      <c r="B650" s="2" t="n">
        <v>16</v>
      </c>
      <c r="C650" s="2">
        <f>_xlfn.XLOOKUP(B650,Results!$B$23:$B$119,Results!$D$23:$D$119)</f>
        <v/>
      </c>
      <c r="D650" s="2" t="n">
        <v>27</v>
      </c>
      <c r="E650" s="2" t="inlineStr">
        <is>
          <t>CHO</t>
        </is>
      </c>
      <c r="F650" s="2" t="n">
        <v>2.449</v>
      </c>
      <c r="G650" s="2" t="n">
        <v>0.000962</v>
      </c>
    </row>
    <row r="651">
      <c r="A651" s="1" t="inlineStr">
        <is>
          <t>B4</t>
        </is>
      </c>
      <c r="B651" s="1" t="n">
        <v>16</v>
      </c>
      <c r="C651" s="2">
        <f>_xlfn.XLOOKUP(B651,Results!$B$23:$B$119,Results!$D$23:$D$119)</f>
        <v/>
      </c>
      <c r="D651" s="1" t="n">
        <v>28</v>
      </c>
      <c r="E651" s="1" t="inlineStr">
        <is>
          <t>CHO</t>
        </is>
      </c>
      <c r="F651" s="1" t="n">
        <v>2.452</v>
      </c>
      <c r="G651" s="1" t="n">
        <v>-0.000936</v>
      </c>
    </row>
    <row r="652">
      <c r="A652" s="2" t="inlineStr">
        <is>
          <t>B4</t>
        </is>
      </c>
      <c r="B652" s="2" t="n">
        <v>16</v>
      </c>
      <c r="C652" s="2">
        <f>_xlfn.XLOOKUP(B652,Results!$B$23:$B$119,Results!$D$23:$D$119)</f>
        <v/>
      </c>
      <c r="D652" s="2" t="n">
        <v>29</v>
      </c>
      <c r="E652" s="2" t="inlineStr">
        <is>
          <t>CHO</t>
        </is>
      </c>
      <c r="F652" s="2" t="n">
        <v>2.4564</v>
      </c>
      <c r="G652" s="2" t="n">
        <v>-0.001359</v>
      </c>
    </row>
    <row r="653">
      <c r="A653" s="1" t="inlineStr">
        <is>
          <t>B4</t>
        </is>
      </c>
      <c r="B653" s="1" t="n">
        <v>16</v>
      </c>
      <c r="C653" s="2">
        <f>_xlfn.XLOOKUP(B653,Results!$B$23:$B$119,Results!$D$23:$D$119)</f>
        <v/>
      </c>
      <c r="D653" s="1" t="n">
        <v>30</v>
      </c>
      <c r="E653" s="1" t="inlineStr">
        <is>
          <t>CHO</t>
        </is>
      </c>
      <c r="F653" s="1" t="n">
        <v>2.4619</v>
      </c>
      <c r="G653" s="1" t="n">
        <v>-0.000692</v>
      </c>
    </row>
    <row r="654">
      <c r="A654" s="2" t="inlineStr">
        <is>
          <t>B4</t>
        </is>
      </c>
      <c r="B654" s="2" t="n">
        <v>16</v>
      </c>
      <c r="C654" s="2">
        <f>_xlfn.XLOOKUP(B654,Results!$B$23:$B$119,Results!$D$23:$D$119)</f>
        <v/>
      </c>
      <c r="D654" s="2" t="n">
        <v>31</v>
      </c>
      <c r="E654" s="2" t="inlineStr">
        <is>
          <t>CHO</t>
        </is>
      </c>
      <c r="F654" s="2" t="n">
        <v>2.4718</v>
      </c>
      <c r="G654" s="2" t="n">
        <v>0.004297</v>
      </c>
    </row>
    <row r="655">
      <c r="A655" s="1" t="inlineStr">
        <is>
          <t>B4</t>
        </is>
      </c>
      <c r="B655" s="1" t="n">
        <v>16</v>
      </c>
      <c r="C655" s="2">
        <f>_xlfn.XLOOKUP(B655,Results!$B$23:$B$119,Results!$D$23:$D$119)</f>
        <v/>
      </c>
      <c r="D655" s="1" t="n">
        <v>32</v>
      </c>
      <c r="E655" s="1" t="inlineStr">
        <is>
          <t>CHO</t>
        </is>
      </c>
      <c r="F655" s="1" t="n">
        <v>2.4878</v>
      </c>
      <c r="G655" s="1" t="n">
        <v>0.015468</v>
      </c>
    </row>
    <row r="656">
      <c r="A656" s="2" t="inlineStr">
        <is>
          <t>B4</t>
        </is>
      </c>
      <c r="B656" s="2" t="n">
        <v>16</v>
      </c>
      <c r="C656" s="2">
        <f>_xlfn.XLOOKUP(B656,Results!$B$23:$B$119,Results!$D$23:$D$119)</f>
        <v/>
      </c>
      <c r="D656" s="2" t="n">
        <v>33</v>
      </c>
      <c r="E656" s="2" t="inlineStr">
        <is>
          <t>CHO</t>
        </is>
      </c>
      <c r="F656" s="2" t="n">
        <v>2.5089</v>
      </c>
      <c r="G656" s="2" t="n">
        <v>0.03173</v>
      </c>
    </row>
    <row r="657">
      <c r="A657" s="1" t="inlineStr">
        <is>
          <t>B4</t>
        </is>
      </c>
      <c r="B657" s="1" t="n">
        <v>16</v>
      </c>
      <c r="C657" s="2">
        <f>_xlfn.XLOOKUP(B657,Results!$B$23:$B$119,Results!$D$23:$D$119)</f>
        <v/>
      </c>
      <c r="D657" s="1" t="n">
        <v>34</v>
      </c>
      <c r="E657" s="1" t="inlineStr">
        <is>
          <t>CHO</t>
        </is>
      </c>
      <c r="F657" s="1" t="n">
        <v>2.5463</v>
      </c>
      <c r="G657" s="1" t="n">
        <v>0.064307</v>
      </c>
    </row>
    <row r="658">
      <c r="A658" s="2" t="inlineStr">
        <is>
          <t>B4</t>
        </is>
      </c>
      <c r="B658" s="2" t="n">
        <v>16</v>
      </c>
      <c r="C658" s="2">
        <f>_xlfn.XLOOKUP(B658,Results!$B$23:$B$119,Results!$D$23:$D$119)</f>
        <v/>
      </c>
      <c r="D658" s="2" t="n">
        <v>35</v>
      </c>
      <c r="E658" s="2" t="inlineStr">
        <is>
          <t>CHO</t>
        </is>
      </c>
      <c r="F658" s="2" t="n">
        <v>2.6157</v>
      </c>
      <c r="G658" s="2" t="n">
        <v>0.128863</v>
      </c>
    </row>
    <row r="659">
      <c r="A659" s="1" t="inlineStr">
        <is>
          <t>B4</t>
        </is>
      </c>
      <c r="B659" s="1" t="n">
        <v>16</v>
      </c>
      <c r="C659" s="2">
        <f>_xlfn.XLOOKUP(B659,Results!$B$23:$B$119,Results!$D$23:$D$119)</f>
        <v/>
      </c>
      <c r="D659" s="1" t="n">
        <v>36</v>
      </c>
      <c r="E659" s="1" t="inlineStr">
        <is>
          <t>CHO</t>
        </is>
      </c>
      <c r="F659" s="1" t="n">
        <v>2.7351</v>
      </c>
      <c r="G659" s="1" t="n">
        <v>0.243399</v>
      </c>
    </row>
    <row r="660">
      <c r="A660" s="2" t="inlineStr">
        <is>
          <t>B4</t>
        </is>
      </c>
      <c r="B660" s="2" t="n">
        <v>16</v>
      </c>
      <c r="C660" s="2">
        <f>_xlfn.XLOOKUP(B660,Results!$B$23:$B$119,Results!$D$23:$D$119)</f>
        <v/>
      </c>
      <c r="D660" s="2" t="n">
        <v>37</v>
      </c>
      <c r="E660" s="2" t="inlineStr">
        <is>
          <t>CHO</t>
        </is>
      </c>
      <c r="F660" s="2" t="n">
        <v>2.9313</v>
      </c>
      <c r="G660" s="2" t="n">
        <v>0.434761</v>
      </c>
    </row>
    <row r="661">
      <c r="A661" s="1" t="inlineStr">
        <is>
          <t>B4</t>
        </is>
      </c>
      <c r="B661" s="1" t="n">
        <v>16</v>
      </c>
      <c r="C661" s="2">
        <f>_xlfn.XLOOKUP(B661,Results!$B$23:$B$119,Results!$D$23:$D$119)</f>
        <v/>
      </c>
      <c r="D661" s="1" t="n">
        <v>38</v>
      </c>
      <c r="E661" s="1" t="inlineStr">
        <is>
          <t>CHO</t>
        </is>
      </c>
      <c r="F661" s="1" t="n">
        <v>3.2216</v>
      </c>
      <c r="G661" s="1" t="n">
        <v>0.720224</v>
      </c>
    </row>
    <row r="662">
      <c r="A662" s="2" t="inlineStr">
        <is>
          <t>B4</t>
        </is>
      </c>
      <c r="B662" s="2" t="n">
        <v>16</v>
      </c>
      <c r="C662" s="2">
        <f>_xlfn.XLOOKUP(B662,Results!$B$23:$B$119,Results!$D$23:$D$119)</f>
        <v/>
      </c>
      <c r="D662" s="2" t="n">
        <v>39</v>
      </c>
      <c r="E662" s="2" t="inlineStr">
        <is>
          <t>CHO</t>
        </is>
      </c>
      <c r="F662" s="2" t="n">
        <v>3.5826</v>
      </c>
      <c r="G662" s="2" t="n">
        <v>1.076368</v>
      </c>
    </row>
    <row r="663">
      <c r="A663" s="1" t="inlineStr">
        <is>
          <t>B4</t>
        </is>
      </c>
      <c r="B663" s="1" t="n">
        <v>16</v>
      </c>
      <c r="C663" s="2">
        <f>_xlfn.XLOOKUP(B663,Results!$B$23:$B$119,Results!$D$23:$D$119)</f>
        <v/>
      </c>
      <c r="D663" s="1" t="n">
        <v>40</v>
      </c>
      <c r="E663" s="1" t="inlineStr">
        <is>
          <t>CHO</t>
        </is>
      </c>
      <c r="F663" s="1" t="n">
        <v>3.9175</v>
      </c>
      <c r="G663" s="1" t="n">
        <v>1.406344</v>
      </c>
    </row>
    <row r="664">
      <c r="A664" s="2" t="inlineStr">
        <is>
          <t>B5</t>
        </is>
      </c>
      <c r="B664" s="2" t="n">
        <v>17</v>
      </c>
      <c r="C664" s="2">
        <f>_xlfn.XLOOKUP(B664,Results!$B$23:$B$119,Results!$D$23:$D$119)</f>
        <v/>
      </c>
      <c r="D664" s="2" t="n">
        <v>1</v>
      </c>
      <c r="E664" s="2" t="inlineStr">
        <is>
          <t>CHO</t>
        </is>
      </c>
      <c r="F664" s="2" t="n">
        <v>2.3392</v>
      </c>
      <c r="G664" s="2" t="n">
        <v>0.010111</v>
      </c>
    </row>
    <row r="665">
      <c r="A665" s="1" t="inlineStr">
        <is>
          <t>B5</t>
        </is>
      </c>
      <c r="B665" s="1" t="n">
        <v>17</v>
      </c>
      <c r="C665" s="2">
        <f>_xlfn.XLOOKUP(B665,Results!$B$23:$B$119,Results!$D$23:$D$119)</f>
        <v/>
      </c>
      <c r="D665" s="1" t="n">
        <v>2</v>
      </c>
      <c r="E665" s="1" t="inlineStr">
        <is>
          <t>CHO</t>
        </is>
      </c>
      <c r="F665" s="1" t="n">
        <v>2.3361</v>
      </c>
      <c r="G665" s="1" t="n">
        <v>0.001967</v>
      </c>
    </row>
    <row r="666">
      <c r="A666" s="2" t="inlineStr">
        <is>
          <t>B5</t>
        </is>
      </c>
      <c r="B666" s="2" t="n">
        <v>17</v>
      </c>
      <c r="C666" s="2">
        <f>_xlfn.XLOOKUP(B666,Results!$B$23:$B$119,Results!$D$23:$D$119)</f>
        <v/>
      </c>
      <c r="D666" s="2" t="n">
        <v>3</v>
      </c>
      <c r="E666" s="2" t="inlineStr">
        <is>
          <t>CHO</t>
        </is>
      </c>
      <c r="F666" s="2" t="n">
        <v>2.3376</v>
      </c>
      <c r="G666" s="2" t="n">
        <v>-0.001645</v>
      </c>
    </row>
    <row r="667">
      <c r="A667" s="1" t="inlineStr">
        <is>
          <t>B5</t>
        </is>
      </c>
      <c r="B667" s="1" t="n">
        <v>17</v>
      </c>
      <c r="C667" s="2">
        <f>_xlfn.XLOOKUP(B667,Results!$B$23:$B$119,Results!$D$23:$D$119)</f>
        <v/>
      </c>
      <c r="D667" s="1" t="n">
        <v>4</v>
      </c>
      <c r="E667" s="1" t="inlineStr">
        <is>
          <t>CHO</t>
        </is>
      </c>
      <c r="F667" s="1" t="n">
        <v>2.3455</v>
      </c>
      <c r="G667" s="1" t="n">
        <v>0.001253</v>
      </c>
    </row>
    <row r="668">
      <c r="A668" s="2" t="inlineStr">
        <is>
          <t>B5</t>
        </is>
      </c>
      <c r="B668" s="2" t="n">
        <v>17</v>
      </c>
      <c r="C668" s="2">
        <f>_xlfn.XLOOKUP(B668,Results!$B$23:$B$119,Results!$D$23:$D$119)</f>
        <v/>
      </c>
      <c r="D668" s="2" t="n">
        <v>5</v>
      </c>
      <c r="E668" s="2" t="inlineStr">
        <is>
          <t>CHO</t>
        </is>
      </c>
      <c r="F668" s="2" t="n">
        <v>2.3537</v>
      </c>
      <c r="G668" s="2" t="n">
        <v>0.004332</v>
      </c>
    </row>
    <row r="669">
      <c r="A669" s="1" t="inlineStr">
        <is>
          <t>B5</t>
        </is>
      </c>
      <c r="B669" s="1" t="n">
        <v>17</v>
      </c>
      <c r="C669" s="2">
        <f>_xlfn.XLOOKUP(B669,Results!$B$23:$B$119,Results!$D$23:$D$119)</f>
        <v/>
      </c>
      <c r="D669" s="1" t="n">
        <v>6</v>
      </c>
      <c r="E669" s="1" t="inlineStr">
        <is>
          <t>CHO</t>
        </is>
      </c>
      <c r="F669" s="1" t="n">
        <v>2.3574</v>
      </c>
      <c r="G669" s="1" t="n">
        <v>0.002968</v>
      </c>
    </row>
    <row r="670">
      <c r="A670" s="2" t="inlineStr">
        <is>
          <t>B5</t>
        </is>
      </c>
      <c r="B670" s="2" t="n">
        <v>17</v>
      </c>
      <c r="C670" s="2">
        <f>_xlfn.XLOOKUP(B670,Results!$B$23:$B$119,Results!$D$23:$D$119)</f>
        <v/>
      </c>
      <c r="D670" s="2" t="n">
        <v>7</v>
      </c>
      <c r="E670" s="2" t="inlineStr">
        <is>
          <t>CHO</t>
        </is>
      </c>
      <c r="F670" s="2" t="n">
        <v>2.3603</v>
      </c>
      <c r="G670" s="2" t="n">
        <v>0.000816</v>
      </c>
    </row>
    <row r="671">
      <c r="A671" s="1" t="inlineStr">
        <is>
          <t>B5</t>
        </is>
      </c>
      <c r="B671" s="1" t="n">
        <v>17</v>
      </c>
      <c r="C671" s="2">
        <f>_xlfn.XLOOKUP(B671,Results!$B$23:$B$119,Results!$D$23:$D$119)</f>
        <v/>
      </c>
      <c r="D671" s="1" t="n">
        <v>8</v>
      </c>
      <c r="E671" s="1" t="inlineStr">
        <is>
          <t>CHO</t>
        </is>
      </c>
      <c r="F671" s="1" t="n">
        <v>2.3632</v>
      </c>
      <c r="G671" s="1" t="n">
        <v>-0.001397</v>
      </c>
    </row>
    <row r="672">
      <c r="A672" s="2" t="inlineStr">
        <is>
          <t>B5</t>
        </is>
      </c>
      <c r="B672" s="2" t="n">
        <v>17</v>
      </c>
      <c r="C672" s="2">
        <f>_xlfn.XLOOKUP(B672,Results!$B$23:$B$119,Results!$D$23:$D$119)</f>
        <v/>
      </c>
      <c r="D672" s="2" t="n">
        <v>9</v>
      </c>
      <c r="E672" s="2" t="inlineStr">
        <is>
          <t>CHO</t>
        </is>
      </c>
      <c r="F672" s="2" t="n">
        <v>2.3678</v>
      </c>
      <c r="G672" s="2" t="n">
        <v>-0.001863</v>
      </c>
    </row>
    <row r="673">
      <c r="A673" s="1" t="inlineStr">
        <is>
          <t>B5</t>
        </is>
      </c>
      <c r="B673" s="1" t="n">
        <v>17</v>
      </c>
      <c r="C673" s="2">
        <f>_xlfn.XLOOKUP(B673,Results!$B$23:$B$119,Results!$D$23:$D$119)</f>
        <v/>
      </c>
      <c r="D673" s="1" t="n">
        <v>10</v>
      </c>
      <c r="E673" s="1" t="inlineStr">
        <is>
          <t>CHO</t>
        </is>
      </c>
      <c r="F673" s="1" t="n">
        <v>2.3726</v>
      </c>
      <c r="G673" s="1" t="n">
        <v>-0.00215</v>
      </c>
    </row>
    <row r="674">
      <c r="A674" s="2" t="inlineStr">
        <is>
          <t>B5</t>
        </is>
      </c>
      <c r="B674" s="2" t="n">
        <v>17</v>
      </c>
      <c r="C674" s="2">
        <f>_xlfn.XLOOKUP(B674,Results!$B$23:$B$119,Results!$D$23:$D$119)</f>
        <v/>
      </c>
      <c r="D674" s="2" t="n">
        <v>11</v>
      </c>
      <c r="E674" s="2" t="inlineStr">
        <is>
          <t>CHO</t>
        </is>
      </c>
      <c r="F674" s="2" t="n">
        <v>2.3796</v>
      </c>
      <c r="G674" s="2" t="n">
        <v>-0.00024</v>
      </c>
    </row>
    <row r="675">
      <c r="A675" s="1" t="inlineStr">
        <is>
          <t>B5</t>
        </is>
      </c>
      <c r="B675" s="1" t="n">
        <v>17</v>
      </c>
      <c r="C675" s="2">
        <f>_xlfn.XLOOKUP(B675,Results!$B$23:$B$119,Results!$D$23:$D$119)</f>
        <v/>
      </c>
      <c r="D675" s="1" t="n">
        <v>12</v>
      </c>
      <c r="E675" s="1" t="inlineStr">
        <is>
          <t>CHO</t>
        </is>
      </c>
      <c r="F675" s="1" t="n">
        <v>2.3871</v>
      </c>
      <c r="G675" s="1" t="n">
        <v>0.002146</v>
      </c>
    </row>
    <row r="676">
      <c r="A676" s="2" t="inlineStr">
        <is>
          <t>B5</t>
        </is>
      </c>
      <c r="B676" s="2" t="n">
        <v>17</v>
      </c>
      <c r="C676" s="2">
        <f>_xlfn.XLOOKUP(B676,Results!$B$23:$B$119,Results!$D$23:$D$119)</f>
        <v/>
      </c>
      <c r="D676" s="2" t="n">
        <v>13</v>
      </c>
      <c r="E676" s="2" t="inlineStr">
        <is>
          <t>CHO</t>
        </is>
      </c>
      <c r="F676" s="2" t="n">
        <v>2.3915</v>
      </c>
      <c r="G676" s="2" t="n">
        <v>0.001553</v>
      </c>
    </row>
    <row r="677">
      <c r="A677" s="1" t="inlineStr">
        <is>
          <t>B5</t>
        </is>
      </c>
      <c r="B677" s="1" t="n">
        <v>17</v>
      </c>
      <c r="C677" s="2">
        <f>_xlfn.XLOOKUP(B677,Results!$B$23:$B$119,Results!$D$23:$D$119)</f>
        <v/>
      </c>
      <c r="D677" s="1" t="n">
        <v>14</v>
      </c>
      <c r="E677" s="1" t="inlineStr">
        <is>
          <t>CHO</t>
        </is>
      </c>
      <c r="F677" s="1" t="n">
        <v>2.394</v>
      </c>
      <c r="G677" s="1" t="n">
        <v>-0.001055</v>
      </c>
    </row>
    <row r="678">
      <c r="A678" s="2" t="inlineStr">
        <is>
          <t>B5</t>
        </is>
      </c>
      <c r="B678" s="2" t="n">
        <v>17</v>
      </c>
      <c r="C678" s="2">
        <f>_xlfn.XLOOKUP(B678,Results!$B$23:$B$119,Results!$D$23:$D$119)</f>
        <v/>
      </c>
      <c r="D678" s="2" t="n">
        <v>15</v>
      </c>
      <c r="E678" s="2" t="inlineStr">
        <is>
          <t>CHO</t>
        </is>
      </c>
      <c r="F678" s="2" t="n">
        <v>2.4007</v>
      </c>
      <c r="G678" s="2" t="n">
        <v>0.000584</v>
      </c>
    </row>
    <row r="679">
      <c r="A679" s="1" t="inlineStr">
        <is>
          <t>B5</t>
        </is>
      </c>
      <c r="B679" s="1" t="n">
        <v>17</v>
      </c>
      <c r="C679" s="2">
        <f>_xlfn.XLOOKUP(B679,Results!$B$23:$B$119,Results!$D$23:$D$119)</f>
        <v/>
      </c>
      <c r="D679" s="1" t="n">
        <v>16</v>
      </c>
      <c r="E679" s="1" t="inlineStr">
        <is>
          <t>CHO</t>
        </is>
      </c>
      <c r="F679" s="1" t="n">
        <v>2.4053</v>
      </c>
      <c r="G679" s="1" t="n">
        <v>5.5e-05</v>
      </c>
    </row>
    <row r="680">
      <c r="A680" s="2" t="inlineStr">
        <is>
          <t>B5</t>
        </is>
      </c>
      <c r="B680" s="2" t="n">
        <v>17</v>
      </c>
      <c r="C680" s="2">
        <f>_xlfn.XLOOKUP(B680,Results!$B$23:$B$119,Results!$D$23:$D$119)</f>
        <v/>
      </c>
      <c r="D680" s="2" t="n">
        <v>17</v>
      </c>
      <c r="E680" s="2" t="inlineStr">
        <is>
          <t>CHO</t>
        </is>
      </c>
      <c r="F680" s="2" t="n">
        <v>2.4101</v>
      </c>
      <c r="G680" s="2" t="n">
        <v>-0.000199</v>
      </c>
    </row>
    <row r="681">
      <c r="A681" s="1" t="inlineStr">
        <is>
          <t>B5</t>
        </is>
      </c>
      <c r="B681" s="1" t="n">
        <v>17</v>
      </c>
      <c r="C681" s="2">
        <f>_xlfn.XLOOKUP(B681,Results!$B$23:$B$119,Results!$D$23:$D$119)</f>
        <v/>
      </c>
      <c r="D681" s="1" t="n">
        <v>18</v>
      </c>
      <c r="E681" s="1" t="inlineStr">
        <is>
          <t>CHO</t>
        </is>
      </c>
      <c r="F681" s="1" t="n">
        <v>2.4123</v>
      </c>
      <c r="G681" s="1" t="n">
        <v>-0.003127</v>
      </c>
    </row>
    <row r="682">
      <c r="A682" s="2" t="inlineStr">
        <is>
          <t>B5</t>
        </is>
      </c>
      <c r="B682" s="2" t="n">
        <v>17</v>
      </c>
      <c r="C682" s="2">
        <f>_xlfn.XLOOKUP(B682,Results!$B$23:$B$119,Results!$D$23:$D$119)</f>
        <v/>
      </c>
      <c r="D682" s="2" t="n">
        <v>19</v>
      </c>
      <c r="E682" s="2" t="inlineStr">
        <is>
          <t>CHO</t>
        </is>
      </c>
      <c r="F682" s="2" t="n">
        <v>2.4164</v>
      </c>
      <c r="G682" s="2" t="n">
        <v>-0.004078</v>
      </c>
    </row>
    <row r="683">
      <c r="A683" s="1" t="inlineStr">
        <is>
          <t>B5</t>
        </is>
      </c>
      <c r="B683" s="1" t="n">
        <v>17</v>
      </c>
      <c r="C683" s="2">
        <f>_xlfn.XLOOKUP(B683,Results!$B$23:$B$119,Results!$D$23:$D$119)</f>
        <v/>
      </c>
      <c r="D683" s="1" t="n">
        <v>20</v>
      </c>
      <c r="E683" s="1" t="inlineStr">
        <is>
          <t>CHO</t>
        </is>
      </c>
      <c r="F683" s="1" t="n">
        <v>2.4238</v>
      </c>
      <c r="G683" s="1" t="n">
        <v>-0.00169</v>
      </c>
    </row>
    <row r="684">
      <c r="A684" s="2" t="inlineStr">
        <is>
          <t>B5</t>
        </is>
      </c>
      <c r="B684" s="2" t="n">
        <v>17</v>
      </c>
      <c r="C684" s="2">
        <f>_xlfn.XLOOKUP(B684,Results!$B$23:$B$119,Results!$D$23:$D$119)</f>
        <v/>
      </c>
      <c r="D684" s="2" t="n">
        <v>21</v>
      </c>
      <c r="E684" s="2" t="inlineStr">
        <is>
          <t>CHO</t>
        </is>
      </c>
      <c r="F684" s="2" t="n">
        <v>2.4298</v>
      </c>
      <c r="G684" s="2" t="n">
        <v>-0.000816</v>
      </c>
    </row>
    <row r="685">
      <c r="A685" s="1" t="inlineStr">
        <is>
          <t>B5</t>
        </is>
      </c>
      <c r="B685" s="1" t="n">
        <v>17</v>
      </c>
      <c r="C685" s="2">
        <f>_xlfn.XLOOKUP(B685,Results!$B$23:$B$119,Results!$D$23:$D$119)</f>
        <v/>
      </c>
      <c r="D685" s="1" t="n">
        <v>22</v>
      </c>
      <c r="E685" s="1" t="inlineStr">
        <is>
          <t>CHO</t>
        </is>
      </c>
      <c r="F685" s="1" t="n">
        <v>2.4332</v>
      </c>
      <c r="G685" s="1" t="n">
        <v>-0.002508</v>
      </c>
    </row>
    <row r="686">
      <c r="A686" s="2" t="inlineStr">
        <is>
          <t>B5</t>
        </is>
      </c>
      <c r="B686" s="2" t="n">
        <v>17</v>
      </c>
      <c r="C686" s="2">
        <f>_xlfn.XLOOKUP(B686,Results!$B$23:$B$119,Results!$D$23:$D$119)</f>
        <v/>
      </c>
      <c r="D686" s="2" t="n">
        <v>23</v>
      </c>
      <c r="E686" s="2" t="inlineStr">
        <is>
          <t>CHO</t>
        </is>
      </c>
      <c r="F686" s="2" t="n">
        <v>2.4408</v>
      </c>
      <c r="G686" s="2" t="n">
        <v>4.8e-05</v>
      </c>
    </row>
    <row r="687">
      <c r="A687" s="1" t="inlineStr">
        <is>
          <t>B5</t>
        </is>
      </c>
      <c r="B687" s="1" t="n">
        <v>17</v>
      </c>
      <c r="C687" s="2">
        <f>_xlfn.XLOOKUP(B687,Results!$B$23:$B$119,Results!$D$23:$D$119)</f>
        <v/>
      </c>
      <c r="D687" s="1" t="n">
        <v>24</v>
      </c>
      <c r="E687" s="1" t="inlineStr">
        <is>
          <t>CHO</t>
        </is>
      </c>
      <c r="F687" s="1" t="n">
        <v>2.4466</v>
      </c>
      <c r="G687" s="1" t="n">
        <v>0.000793</v>
      </c>
    </row>
    <row r="688">
      <c r="A688" s="2" t="inlineStr">
        <is>
          <t>B5</t>
        </is>
      </c>
      <c r="B688" s="2" t="n">
        <v>17</v>
      </c>
      <c r="C688" s="2">
        <f>_xlfn.XLOOKUP(B688,Results!$B$23:$B$119,Results!$D$23:$D$119)</f>
        <v/>
      </c>
      <c r="D688" s="2" t="n">
        <v>25</v>
      </c>
      <c r="E688" s="2" t="inlineStr">
        <is>
          <t>CHO</t>
        </is>
      </c>
      <c r="F688" s="2" t="n">
        <v>2.452</v>
      </c>
      <c r="G688" s="2" t="n">
        <v>0.001112</v>
      </c>
    </row>
    <row r="689">
      <c r="A689" s="1" t="inlineStr">
        <is>
          <t>B5</t>
        </is>
      </c>
      <c r="B689" s="1" t="n">
        <v>17</v>
      </c>
      <c r="C689" s="2">
        <f>_xlfn.XLOOKUP(B689,Results!$B$23:$B$119,Results!$D$23:$D$119)</f>
        <v/>
      </c>
      <c r="D689" s="1" t="n">
        <v>26</v>
      </c>
      <c r="E689" s="1" t="inlineStr">
        <is>
          <t>CHO</t>
        </is>
      </c>
      <c r="F689" s="1" t="n">
        <v>2.4554</v>
      </c>
      <c r="G689" s="1" t="n">
        <v>-0.000593</v>
      </c>
    </row>
    <row r="690">
      <c r="A690" s="2" t="inlineStr">
        <is>
          <t>B5</t>
        </is>
      </c>
      <c r="B690" s="2" t="n">
        <v>17</v>
      </c>
      <c r="C690" s="2">
        <f>_xlfn.XLOOKUP(B690,Results!$B$23:$B$119,Results!$D$23:$D$119)</f>
        <v/>
      </c>
      <c r="D690" s="2" t="n">
        <v>27</v>
      </c>
      <c r="E690" s="2" t="inlineStr">
        <is>
          <t>CHO</t>
        </is>
      </c>
      <c r="F690" s="2" t="n">
        <v>2.4587</v>
      </c>
      <c r="G690" s="2" t="n">
        <v>-0.002426</v>
      </c>
    </row>
    <row r="691">
      <c r="A691" s="1" t="inlineStr">
        <is>
          <t>B5</t>
        </is>
      </c>
      <c r="B691" s="1" t="n">
        <v>17</v>
      </c>
      <c r="C691" s="2">
        <f>_xlfn.XLOOKUP(B691,Results!$B$23:$B$119,Results!$D$23:$D$119)</f>
        <v/>
      </c>
      <c r="D691" s="1" t="n">
        <v>28</v>
      </c>
      <c r="E691" s="1" t="inlineStr">
        <is>
          <t>CHO</t>
        </is>
      </c>
      <c r="F691" s="1" t="n">
        <v>2.4658</v>
      </c>
      <c r="G691" s="1" t="n">
        <v>-0.000321</v>
      </c>
    </row>
    <row r="692">
      <c r="A692" s="2" t="inlineStr">
        <is>
          <t>B5</t>
        </is>
      </c>
      <c r="B692" s="2" t="n">
        <v>17</v>
      </c>
      <c r="C692" s="2">
        <f>_xlfn.XLOOKUP(B692,Results!$B$23:$B$119,Results!$D$23:$D$119)</f>
        <v/>
      </c>
      <c r="D692" s="2" t="n">
        <v>29</v>
      </c>
      <c r="E692" s="2" t="inlineStr">
        <is>
          <t>CHO</t>
        </is>
      </c>
      <c r="F692" s="2" t="n">
        <v>2.4734</v>
      </c>
      <c r="G692" s="2" t="n">
        <v>0.002198</v>
      </c>
    </row>
    <row r="693">
      <c r="A693" s="1" t="inlineStr">
        <is>
          <t>B5</t>
        </is>
      </c>
      <c r="B693" s="1" t="n">
        <v>17</v>
      </c>
      <c r="C693" s="2">
        <f>_xlfn.XLOOKUP(B693,Results!$B$23:$B$119,Results!$D$23:$D$119)</f>
        <v/>
      </c>
      <c r="D693" s="1" t="n">
        <v>30</v>
      </c>
      <c r="E693" s="1" t="inlineStr">
        <is>
          <t>CHO</t>
        </is>
      </c>
      <c r="F693" s="1" t="n">
        <v>2.4826</v>
      </c>
      <c r="G693" s="1" t="n">
        <v>0.006249</v>
      </c>
    </row>
    <row r="694">
      <c r="A694" s="2" t="inlineStr">
        <is>
          <t>B5</t>
        </is>
      </c>
      <c r="B694" s="2" t="n">
        <v>17</v>
      </c>
      <c r="C694" s="2">
        <f>_xlfn.XLOOKUP(B694,Results!$B$23:$B$119,Results!$D$23:$D$119)</f>
        <v/>
      </c>
      <c r="D694" s="2" t="n">
        <v>31</v>
      </c>
      <c r="E694" s="2" t="inlineStr">
        <is>
          <t>CHO</t>
        </is>
      </c>
      <c r="F694" s="2" t="n">
        <v>2.4914</v>
      </c>
      <c r="G694" s="2" t="n">
        <v>0.010049</v>
      </c>
    </row>
    <row r="695">
      <c r="A695" s="1" t="inlineStr">
        <is>
          <t>B5</t>
        </is>
      </c>
      <c r="B695" s="1" t="n">
        <v>17</v>
      </c>
      <c r="C695" s="2">
        <f>_xlfn.XLOOKUP(B695,Results!$B$23:$B$119,Results!$D$23:$D$119)</f>
        <v/>
      </c>
      <c r="D695" s="1" t="n">
        <v>32</v>
      </c>
      <c r="E695" s="1" t="inlineStr">
        <is>
          <t>CHO</t>
        </is>
      </c>
      <c r="F695" s="1" t="n">
        <v>2.5055</v>
      </c>
      <c r="G695" s="1" t="n">
        <v>0.019068</v>
      </c>
    </row>
    <row r="696">
      <c r="A696" s="2" t="inlineStr">
        <is>
          <t>B5</t>
        </is>
      </c>
      <c r="B696" s="2" t="n">
        <v>17</v>
      </c>
      <c r="C696" s="2">
        <f>_xlfn.XLOOKUP(B696,Results!$B$23:$B$119,Results!$D$23:$D$119)</f>
        <v/>
      </c>
      <c r="D696" s="2" t="n">
        <v>33</v>
      </c>
      <c r="E696" s="2" t="inlineStr">
        <is>
          <t>CHO</t>
        </is>
      </c>
      <c r="F696" s="2" t="n">
        <v>2.5323</v>
      </c>
      <c r="G696" s="2" t="n">
        <v>0.040801</v>
      </c>
    </row>
    <row r="697">
      <c r="A697" s="1" t="inlineStr">
        <is>
          <t>B5</t>
        </is>
      </c>
      <c r="B697" s="1" t="n">
        <v>17</v>
      </c>
      <c r="C697" s="2">
        <f>_xlfn.XLOOKUP(B697,Results!$B$23:$B$119,Results!$D$23:$D$119)</f>
        <v/>
      </c>
      <c r="D697" s="1" t="n">
        <v>34</v>
      </c>
      <c r="E697" s="1" t="inlineStr">
        <is>
          <t>CHO</t>
        </is>
      </c>
      <c r="F697" s="1" t="n">
        <v>2.5732</v>
      </c>
      <c r="G697" s="1" t="n">
        <v>0.0766</v>
      </c>
    </row>
    <row r="698">
      <c r="A698" s="2" t="inlineStr">
        <is>
          <t>B5</t>
        </is>
      </c>
      <c r="B698" s="2" t="n">
        <v>17</v>
      </c>
      <c r="C698" s="2">
        <f>_xlfn.XLOOKUP(B698,Results!$B$23:$B$119,Results!$D$23:$D$119)</f>
        <v/>
      </c>
      <c r="D698" s="2" t="n">
        <v>35</v>
      </c>
      <c r="E698" s="2" t="inlineStr">
        <is>
          <t>CHO</t>
        </is>
      </c>
      <c r="F698" s="2" t="n">
        <v>2.6451</v>
      </c>
      <c r="G698" s="2" t="n">
        <v>0.143403</v>
      </c>
    </row>
    <row r="699">
      <c r="A699" s="1" t="inlineStr">
        <is>
          <t>B5</t>
        </is>
      </c>
      <c r="B699" s="1" t="n">
        <v>17</v>
      </c>
      <c r="C699" s="2">
        <f>_xlfn.XLOOKUP(B699,Results!$B$23:$B$119,Results!$D$23:$D$119)</f>
        <v/>
      </c>
      <c r="D699" s="1" t="n">
        <v>36</v>
      </c>
      <c r="E699" s="1" t="inlineStr">
        <is>
          <t>CHO</t>
        </is>
      </c>
      <c r="F699" s="1" t="n">
        <v>2.7735</v>
      </c>
      <c r="G699" s="1" t="n">
        <v>0.266749</v>
      </c>
    </row>
    <row r="700">
      <c r="A700" s="2" t="inlineStr">
        <is>
          <t>B5</t>
        </is>
      </c>
      <c r="B700" s="2" t="n">
        <v>17</v>
      </c>
      <c r="C700" s="2">
        <f>_xlfn.XLOOKUP(B700,Results!$B$23:$B$119,Results!$D$23:$D$119)</f>
        <v/>
      </c>
      <c r="D700" s="2" t="n">
        <v>37</v>
      </c>
      <c r="E700" s="2" t="inlineStr">
        <is>
          <t>CHO</t>
        </is>
      </c>
      <c r="F700" s="2" t="n">
        <v>2.9792</v>
      </c>
      <c r="G700" s="2" t="n">
        <v>0.467331</v>
      </c>
    </row>
    <row r="701">
      <c r="A701" s="1" t="inlineStr">
        <is>
          <t>B5</t>
        </is>
      </c>
      <c r="B701" s="1" t="n">
        <v>17</v>
      </c>
      <c r="C701" s="2">
        <f>_xlfn.XLOOKUP(B701,Results!$B$23:$B$119,Results!$D$23:$D$119)</f>
        <v/>
      </c>
      <c r="D701" s="1" t="n">
        <v>38</v>
      </c>
      <c r="E701" s="1" t="inlineStr">
        <is>
          <t>CHO</t>
        </is>
      </c>
      <c r="F701" s="1" t="n">
        <v>3.2656</v>
      </c>
      <c r="G701" s="1" t="n">
        <v>0.748641</v>
      </c>
    </row>
    <row r="702">
      <c r="A702" s="2" t="inlineStr">
        <is>
          <t>B5</t>
        </is>
      </c>
      <c r="B702" s="2" t="n">
        <v>17</v>
      </c>
      <c r="C702" s="2">
        <f>_xlfn.XLOOKUP(B702,Results!$B$23:$B$119,Results!$D$23:$D$119)</f>
        <v/>
      </c>
      <c r="D702" s="2" t="n">
        <v>39</v>
      </c>
      <c r="E702" s="2" t="inlineStr">
        <is>
          <t>CHO</t>
        </is>
      </c>
      <c r="F702" s="2" t="n">
        <v>3.6051</v>
      </c>
      <c r="G702" s="2" t="n">
        <v>1.08311</v>
      </c>
    </row>
    <row r="703">
      <c r="A703" s="1" t="inlineStr">
        <is>
          <t>B5</t>
        </is>
      </c>
      <c r="B703" s="1" t="n">
        <v>17</v>
      </c>
      <c r="C703" s="2">
        <f>_xlfn.XLOOKUP(B703,Results!$B$23:$B$119,Results!$D$23:$D$119)</f>
        <v/>
      </c>
      <c r="D703" s="1" t="n">
        <v>40</v>
      </c>
      <c r="E703" s="1" t="inlineStr">
        <is>
          <t>CHO</t>
        </is>
      </c>
      <c r="F703" s="1" t="n">
        <v>3.9109</v>
      </c>
      <c r="G703" s="1" t="n">
        <v>1.383831</v>
      </c>
    </row>
    <row r="704">
      <c r="A704" s="2" t="inlineStr">
        <is>
          <t>B6</t>
        </is>
      </c>
      <c r="B704" s="2" t="n">
        <v>18</v>
      </c>
      <c r="C704" s="2">
        <f>_xlfn.XLOOKUP(B704,Results!$B$23:$B$119,Results!$D$23:$D$119)</f>
        <v/>
      </c>
      <c r="D704" s="2" t="n">
        <v>1</v>
      </c>
      <c r="E704" s="2" t="inlineStr">
        <is>
          <t>CHO</t>
        </is>
      </c>
      <c r="F704" s="2" t="n">
        <v>2.3639</v>
      </c>
      <c r="G704" s="2" t="n">
        <v>0.028138</v>
      </c>
    </row>
    <row r="705">
      <c r="A705" s="1" t="inlineStr">
        <is>
          <t>B6</t>
        </is>
      </c>
      <c r="B705" s="1" t="n">
        <v>18</v>
      </c>
      <c r="C705" s="2">
        <f>_xlfn.XLOOKUP(B705,Results!$B$23:$B$119,Results!$D$23:$D$119)</f>
        <v/>
      </c>
      <c r="D705" s="1" t="n">
        <v>2</v>
      </c>
      <c r="E705" s="1" t="inlineStr">
        <is>
          <t>CHO</t>
        </is>
      </c>
      <c r="F705" s="1" t="n">
        <v>2.3497</v>
      </c>
      <c r="G705" s="1" t="n">
        <v>0.008704999999999999</v>
      </c>
    </row>
    <row r="706">
      <c r="A706" s="2" t="inlineStr">
        <is>
          <t>B6</t>
        </is>
      </c>
      <c r="B706" s="2" t="n">
        <v>18</v>
      </c>
      <c r="C706" s="2">
        <f>_xlfn.XLOOKUP(B706,Results!$B$23:$B$119,Results!$D$23:$D$119)</f>
        <v/>
      </c>
      <c r="D706" s="2" t="n">
        <v>3</v>
      </c>
      <c r="E706" s="2" t="inlineStr">
        <is>
          <t>CHO</t>
        </is>
      </c>
      <c r="F706" s="2" t="n">
        <v>2.3427</v>
      </c>
      <c r="G706" s="2" t="n">
        <v>-0.003516</v>
      </c>
    </row>
    <row r="707">
      <c r="A707" s="1" t="inlineStr">
        <is>
          <t>B6</t>
        </is>
      </c>
      <c r="B707" s="1" t="n">
        <v>18</v>
      </c>
      <c r="C707" s="2">
        <f>_xlfn.XLOOKUP(B707,Results!$B$23:$B$119,Results!$D$23:$D$119)</f>
        <v/>
      </c>
      <c r="D707" s="1" t="n">
        <v>4</v>
      </c>
      <c r="E707" s="1" t="inlineStr">
        <is>
          <t>CHO</t>
        </is>
      </c>
      <c r="F707" s="1" t="n">
        <v>2.3452</v>
      </c>
      <c r="G707" s="1" t="n">
        <v>-0.006322</v>
      </c>
    </row>
    <row r="708">
      <c r="A708" s="2" t="inlineStr">
        <is>
          <t>B6</t>
        </is>
      </c>
      <c r="B708" s="2" t="n">
        <v>18</v>
      </c>
      <c r="C708" s="2">
        <f>_xlfn.XLOOKUP(B708,Results!$B$23:$B$119,Results!$D$23:$D$119)</f>
        <v/>
      </c>
      <c r="D708" s="2" t="n">
        <v>5</v>
      </c>
      <c r="E708" s="2" t="inlineStr">
        <is>
          <t>CHO</t>
        </is>
      </c>
      <c r="F708" s="2" t="n">
        <v>2.3523</v>
      </c>
      <c r="G708" s="2" t="n">
        <v>-0.004502</v>
      </c>
    </row>
    <row r="709">
      <c r="A709" s="1" t="inlineStr">
        <is>
          <t>B6</t>
        </is>
      </c>
      <c r="B709" s="1" t="n">
        <v>18</v>
      </c>
      <c r="C709" s="2">
        <f>_xlfn.XLOOKUP(B709,Results!$B$23:$B$119,Results!$D$23:$D$119)</f>
        <v/>
      </c>
      <c r="D709" s="1" t="n">
        <v>6</v>
      </c>
      <c r="E709" s="1" t="inlineStr">
        <is>
          <t>CHO</t>
        </is>
      </c>
      <c r="F709" s="1" t="n">
        <v>2.3602</v>
      </c>
      <c r="G709" s="1" t="n">
        <v>-0.001797</v>
      </c>
    </row>
    <row r="710">
      <c r="A710" s="2" t="inlineStr">
        <is>
          <t>B6</t>
        </is>
      </c>
      <c r="B710" s="2" t="n">
        <v>18</v>
      </c>
      <c r="C710" s="2">
        <f>_xlfn.XLOOKUP(B710,Results!$B$23:$B$119,Results!$D$23:$D$119)</f>
        <v/>
      </c>
      <c r="D710" s="2" t="n">
        <v>7</v>
      </c>
      <c r="E710" s="2" t="inlineStr">
        <is>
          <t>CHO</t>
        </is>
      </c>
      <c r="F710" s="2" t="n">
        <v>2.3685</v>
      </c>
      <c r="G710" s="2" t="n">
        <v>0.001281</v>
      </c>
    </row>
    <row r="711">
      <c r="A711" s="1" t="inlineStr">
        <is>
          <t>B6</t>
        </is>
      </c>
      <c r="B711" s="1" t="n">
        <v>18</v>
      </c>
      <c r="C711" s="2">
        <f>_xlfn.XLOOKUP(B711,Results!$B$23:$B$119,Results!$D$23:$D$119)</f>
        <v/>
      </c>
      <c r="D711" s="1" t="n">
        <v>8</v>
      </c>
      <c r="E711" s="1" t="inlineStr">
        <is>
          <t>CHO</t>
        </is>
      </c>
      <c r="F711" s="1" t="n">
        <v>2.3738</v>
      </c>
      <c r="G711" s="1" t="n">
        <v>0.001289</v>
      </c>
    </row>
    <row r="712">
      <c r="A712" s="2" t="inlineStr">
        <is>
          <t>B6</t>
        </is>
      </c>
      <c r="B712" s="2" t="n">
        <v>18</v>
      </c>
      <c r="C712" s="2">
        <f>_xlfn.XLOOKUP(B712,Results!$B$23:$B$119,Results!$D$23:$D$119)</f>
        <v/>
      </c>
      <c r="D712" s="2" t="n">
        <v>9</v>
      </c>
      <c r="E712" s="2" t="inlineStr">
        <is>
          <t>CHO</t>
        </is>
      </c>
      <c r="F712" s="2" t="n">
        <v>2.3797</v>
      </c>
      <c r="G712" s="2" t="n">
        <v>0.001928</v>
      </c>
    </row>
    <row r="713">
      <c r="A713" s="1" t="inlineStr">
        <is>
          <t>B6</t>
        </is>
      </c>
      <c r="B713" s="1" t="n">
        <v>18</v>
      </c>
      <c r="C713" s="2">
        <f>_xlfn.XLOOKUP(B713,Results!$B$23:$B$119,Results!$D$23:$D$119)</f>
        <v/>
      </c>
      <c r="D713" s="1" t="n">
        <v>10</v>
      </c>
      <c r="E713" s="1" t="inlineStr">
        <is>
          <t>CHO</t>
        </is>
      </c>
      <c r="F713" s="1" t="n">
        <v>2.3839</v>
      </c>
      <c r="G713" s="1" t="n">
        <v>0.0008899999999999999</v>
      </c>
    </row>
    <row r="714">
      <c r="A714" s="2" t="inlineStr">
        <is>
          <t>B6</t>
        </is>
      </c>
      <c r="B714" s="2" t="n">
        <v>18</v>
      </c>
      <c r="C714" s="2">
        <f>_xlfn.XLOOKUP(B714,Results!$B$23:$B$119,Results!$D$23:$D$119)</f>
        <v/>
      </c>
      <c r="D714" s="2" t="n">
        <v>11</v>
      </c>
      <c r="E714" s="2" t="inlineStr">
        <is>
          <t>CHO</t>
        </is>
      </c>
      <c r="F714" s="2" t="n">
        <v>2.3902</v>
      </c>
      <c r="G714" s="2" t="n">
        <v>0.001965</v>
      </c>
    </row>
    <row r="715">
      <c r="A715" s="1" t="inlineStr">
        <is>
          <t>B6</t>
        </is>
      </c>
      <c r="B715" s="1" t="n">
        <v>18</v>
      </c>
      <c r="C715" s="2">
        <f>_xlfn.XLOOKUP(B715,Results!$B$23:$B$119,Results!$D$23:$D$119)</f>
        <v/>
      </c>
      <c r="D715" s="1" t="n">
        <v>12</v>
      </c>
      <c r="E715" s="1" t="inlineStr">
        <is>
          <t>CHO</t>
        </is>
      </c>
      <c r="F715" s="1" t="n">
        <v>2.3973</v>
      </c>
      <c r="G715" s="1" t="n">
        <v>0.003888</v>
      </c>
    </row>
    <row r="716">
      <c r="A716" s="2" t="inlineStr">
        <is>
          <t>B6</t>
        </is>
      </c>
      <c r="B716" s="2" t="n">
        <v>18</v>
      </c>
      <c r="C716" s="2">
        <f>_xlfn.XLOOKUP(B716,Results!$B$23:$B$119,Results!$D$23:$D$119)</f>
        <v/>
      </c>
      <c r="D716" s="2" t="n">
        <v>13</v>
      </c>
      <c r="E716" s="2" t="inlineStr">
        <is>
          <t>CHO</t>
        </is>
      </c>
      <c r="F716" s="2" t="n">
        <v>2.4016</v>
      </c>
      <c r="G716" s="2" t="n">
        <v>0.002919</v>
      </c>
    </row>
    <row r="717">
      <c r="A717" s="1" t="inlineStr">
        <is>
          <t>B6</t>
        </is>
      </c>
      <c r="B717" s="1" t="n">
        <v>18</v>
      </c>
      <c r="C717" s="2">
        <f>_xlfn.XLOOKUP(B717,Results!$B$23:$B$119,Results!$D$23:$D$119)</f>
        <v/>
      </c>
      <c r="D717" s="1" t="n">
        <v>14</v>
      </c>
      <c r="E717" s="1" t="inlineStr">
        <is>
          <t>CHO</t>
        </is>
      </c>
      <c r="F717" s="1" t="n">
        <v>2.4074</v>
      </c>
      <c r="G717" s="1" t="n">
        <v>0.003415</v>
      </c>
    </row>
    <row r="718">
      <c r="A718" s="2" t="inlineStr">
        <is>
          <t>B6</t>
        </is>
      </c>
      <c r="B718" s="2" t="n">
        <v>18</v>
      </c>
      <c r="C718" s="2">
        <f>_xlfn.XLOOKUP(B718,Results!$B$23:$B$119,Results!$D$23:$D$119)</f>
        <v/>
      </c>
      <c r="D718" s="2" t="n">
        <v>15</v>
      </c>
      <c r="E718" s="2" t="inlineStr">
        <is>
          <t>CHO</t>
        </is>
      </c>
      <c r="F718" s="2" t="n">
        <v>2.4139</v>
      </c>
      <c r="G718" s="2" t="n">
        <v>0.00472</v>
      </c>
    </row>
    <row r="719">
      <c r="A719" s="1" t="inlineStr">
        <is>
          <t>B6</t>
        </is>
      </c>
      <c r="B719" s="1" t="n">
        <v>18</v>
      </c>
      <c r="C719" s="2">
        <f>_xlfn.XLOOKUP(B719,Results!$B$23:$B$119,Results!$D$23:$D$119)</f>
        <v/>
      </c>
      <c r="D719" s="1" t="n">
        <v>16</v>
      </c>
      <c r="E719" s="1" t="inlineStr">
        <is>
          <t>CHO</t>
        </is>
      </c>
      <c r="F719" s="1" t="n">
        <v>2.4157</v>
      </c>
      <c r="G719" s="1" t="n">
        <v>0.001306</v>
      </c>
    </row>
    <row r="720">
      <c r="A720" s="2" t="inlineStr">
        <is>
          <t>B6</t>
        </is>
      </c>
      <c r="B720" s="2" t="n">
        <v>18</v>
      </c>
      <c r="C720" s="2">
        <f>_xlfn.XLOOKUP(B720,Results!$B$23:$B$119,Results!$D$23:$D$119)</f>
        <v/>
      </c>
      <c r="D720" s="2" t="n">
        <v>17</v>
      </c>
      <c r="E720" s="2" t="inlineStr">
        <is>
          <t>CHO</t>
        </is>
      </c>
      <c r="F720" s="2" t="n">
        <v>2.4191</v>
      </c>
      <c r="G720" s="2" t="n">
        <v>-0.000592</v>
      </c>
    </row>
    <row r="721">
      <c r="A721" s="1" t="inlineStr">
        <is>
          <t>B6</t>
        </is>
      </c>
      <c r="B721" s="1" t="n">
        <v>18</v>
      </c>
      <c r="C721" s="2">
        <f>_xlfn.XLOOKUP(B721,Results!$B$23:$B$119,Results!$D$23:$D$119)</f>
        <v/>
      </c>
      <c r="D721" s="1" t="n">
        <v>18</v>
      </c>
      <c r="E721" s="1" t="inlineStr">
        <is>
          <t>CHO</t>
        </is>
      </c>
      <c r="F721" s="1" t="n">
        <v>2.4251</v>
      </c>
      <c r="G721" s="1" t="n">
        <v>0.000128</v>
      </c>
    </row>
    <row r="722">
      <c r="A722" s="2" t="inlineStr">
        <is>
          <t>B6</t>
        </is>
      </c>
      <c r="B722" s="2" t="n">
        <v>18</v>
      </c>
      <c r="C722" s="2">
        <f>_xlfn.XLOOKUP(B722,Results!$B$23:$B$119,Results!$D$23:$D$119)</f>
        <v/>
      </c>
      <c r="D722" s="2" t="n">
        <v>19</v>
      </c>
      <c r="E722" s="2" t="inlineStr">
        <is>
          <t>CHO</t>
        </is>
      </c>
      <c r="F722" s="2" t="n">
        <v>2.429</v>
      </c>
      <c r="G722" s="2" t="n">
        <v>-0.001169</v>
      </c>
    </row>
    <row r="723">
      <c r="A723" s="1" t="inlineStr">
        <is>
          <t>B6</t>
        </is>
      </c>
      <c r="B723" s="1" t="n">
        <v>18</v>
      </c>
      <c r="C723" s="2">
        <f>_xlfn.XLOOKUP(B723,Results!$B$23:$B$119,Results!$D$23:$D$119)</f>
        <v/>
      </c>
      <c r="D723" s="1" t="n">
        <v>20</v>
      </c>
      <c r="E723" s="1" t="inlineStr">
        <is>
          <t>CHO</t>
        </is>
      </c>
      <c r="F723" s="1" t="n">
        <v>2.4365</v>
      </c>
      <c r="G723" s="1" t="n">
        <v>0.001134</v>
      </c>
    </row>
    <row r="724">
      <c r="A724" s="2" t="inlineStr">
        <is>
          <t>B6</t>
        </is>
      </c>
      <c r="B724" s="2" t="n">
        <v>18</v>
      </c>
      <c r="C724" s="2">
        <f>_xlfn.XLOOKUP(B724,Results!$B$23:$B$119,Results!$D$23:$D$119)</f>
        <v/>
      </c>
      <c r="D724" s="2" t="n">
        <v>21</v>
      </c>
      <c r="E724" s="2" t="inlineStr">
        <is>
          <t>CHO</t>
        </is>
      </c>
      <c r="F724" s="2" t="n">
        <v>2.4405</v>
      </c>
      <c r="G724" s="2" t="n">
        <v>-0.000196</v>
      </c>
    </row>
    <row r="725">
      <c r="A725" s="1" t="inlineStr">
        <is>
          <t>B6</t>
        </is>
      </c>
      <c r="B725" s="1" t="n">
        <v>18</v>
      </c>
      <c r="C725" s="2">
        <f>_xlfn.XLOOKUP(B725,Results!$B$23:$B$119,Results!$D$23:$D$119)</f>
        <v/>
      </c>
      <c r="D725" s="1" t="n">
        <v>22</v>
      </c>
      <c r="E725" s="1" t="inlineStr">
        <is>
          <t>CHO</t>
        </is>
      </c>
      <c r="F725" s="1" t="n">
        <v>2.4464</v>
      </c>
      <c r="G725" s="1" t="n">
        <v>0.000471</v>
      </c>
    </row>
    <row r="726">
      <c r="A726" s="2" t="inlineStr">
        <is>
          <t>B6</t>
        </is>
      </c>
      <c r="B726" s="2" t="n">
        <v>18</v>
      </c>
      <c r="C726" s="2">
        <f>_xlfn.XLOOKUP(B726,Results!$B$23:$B$119,Results!$D$23:$D$119)</f>
        <v/>
      </c>
      <c r="D726" s="2" t="n">
        <v>23</v>
      </c>
      <c r="E726" s="2" t="inlineStr">
        <is>
          <t>CHO</t>
        </is>
      </c>
      <c r="F726" s="2" t="n">
        <v>2.4531</v>
      </c>
      <c r="G726" s="2" t="n">
        <v>0.001932</v>
      </c>
    </row>
    <row r="727">
      <c r="A727" s="1" t="inlineStr">
        <is>
          <t>B6</t>
        </is>
      </c>
      <c r="B727" s="1" t="n">
        <v>18</v>
      </c>
      <c r="C727" s="2">
        <f>_xlfn.XLOOKUP(B727,Results!$B$23:$B$119,Results!$D$23:$D$119)</f>
        <v/>
      </c>
      <c r="D727" s="1" t="n">
        <v>24</v>
      </c>
      <c r="E727" s="1" t="inlineStr">
        <is>
          <t>CHO</t>
        </is>
      </c>
      <c r="F727" s="1" t="n">
        <v>2.4584</v>
      </c>
      <c r="G727" s="1" t="n">
        <v>0.002033</v>
      </c>
    </row>
    <row r="728">
      <c r="A728" s="2" t="inlineStr">
        <is>
          <t>B6</t>
        </is>
      </c>
      <c r="B728" s="2" t="n">
        <v>18</v>
      </c>
      <c r="C728" s="2">
        <f>_xlfn.XLOOKUP(B728,Results!$B$23:$B$119,Results!$D$23:$D$119)</f>
        <v/>
      </c>
      <c r="D728" s="2" t="n">
        <v>25</v>
      </c>
      <c r="E728" s="2" t="inlineStr">
        <is>
          <t>CHO</t>
        </is>
      </c>
      <c r="F728" s="2" t="n">
        <v>2.459</v>
      </c>
      <c r="G728" s="2" t="n">
        <v>-0.002619</v>
      </c>
    </row>
    <row r="729">
      <c r="A729" s="1" t="inlineStr">
        <is>
          <t>B6</t>
        </is>
      </c>
      <c r="B729" s="1" t="n">
        <v>18</v>
      </c>
      <c r="C729" s="2">
        <f>_xlfn.XLOOKUP(B729,Results!$B$23:$B$119,Results!$D$23:$D$119)</f>
        <v/>
      </c>
      <c r="D729" s="1" t="n">
        <v>26</v>
      </c>
      <c r="E729" s="1" t="inlineStr">
        <is>
          <t>CHO</t>
        </is>
      </c>
      <c r="F729" s="1" t="n">
        <v>2.4674</v>
      </c>
      <c r="G729" s="1" t="n">
        <v>0.000546</v>
      </c>
    </row>
    <row r="730">
      <c r="A730" s="2" t="inlineStr">
        <is>
          <t>B6</t>
        </is>
      </c>
      <c r="B730" s="2" t="n">
        <v>18</v>
      </c>
      <c r="C730" s="2">
        <f>_xlfn.XLOOKUP(B730,Results!$B$23:$B$119,Results!$D$23:$D$119)</f>
        <v/>
      </c>
      <c r="D730" s="2" t="n">
        <v>27</v>
      </c>
      <c r="E730" s="2" t="inlineStr">
        <is>
          <t>CHO</t>
        </is>
      </c>
      <c r="F730" s="2" t="n">
        <v>2.4721</v>
      </c>
      <c r="G730" s="2" t="n">
        <v>-5.4e-05</v>
      </c>
    </row>
    <row r="731">
      <c r="A731" s="1" t="inlineStr">
        <is>
          <t>B6</t>
        </is>
      </c>
      <c r="B731" s="1" t="n">
        <v>18</v>
      </c>
      <c r="C731" s="2">
        <f>_xlfn.XLOOKUP(B731,Results!$B$23:$B$119,Results!$D$23:$D$119)</f>
        <v/>
      </c>
      <c r="D731" s="1" t="n">
        <v>28</v>
      </c>
      <c r="E731" s="1" t="inlineStr">
        <is>
          <t>CHO</t>
        </is>
      </c>
      <c r="F731" s="1" t="n">
        <v>2.4741</v>
      </c>
      <c r="G731" s="1" t="n">
        <v>-0.003313</v>
      </c>
    </row>
    <row r="732">
      <c r="A732" s="2" t="inlineStr">
        <is>
          <t>B6</t>
        </is>
      </c>
      <c r="B732" s="2" t="n">
        <v>18</v>
      </c>
      <c r="C732" s="2">
        <f>_xlfn.XLOOKUP(B732,Results!$B$23:$B$119,Results!$D$23:$D$119)</f>
        <v/>
      </c>
      <c r="D732" s="2" t="n">
        <v>29</v>
      </c>
      <c r="E732" s="2" t="inlineStr">
        <is>
          <t>CHO</t>
        </is>
      </c>
      <c r="F732" s="2" t="n">
        <v>2.4785</v>
      </c>
      <c r="G732" s="2" t="n">
        <v>-0.004132</v>
      </c>
    </row>
    <row r="733">
      <c r="A733" s="1" t="inlineStr">
        <is>
          <t>B6</t>
        </is>
      </c>
      <c r="B733" s="1" t="n">
        <v>18</v>
      </c>
      <c r="C733" s="2">
        <f>_xlfn.XLOOKUP(B733,Results!$B$23:$B$119,Results!$D$23:$D$119)</f>
        <v/>
      </c>
      <c r="D733" s="1" t="n">
        <v>30</v>
      </c>
      <c r="E733" s="1" t="inlineStr">
        <is>
          <t>CHO</t>
        </is>
      </c>
      <c r="F733" s="1" t="n">
        <v>2.4862</v>
      </c>
      <c r="G733" s="1" t="n">
        <v>-0.001632</v>
      </c>
    </row>
    <row r="734">
      <c r="A734" s="2" t="inlineStr">
        <is>
          <t>B6</t>
        </is>
      </c>
      <c r="B734" s="2" t="n">
        <v>18</v>
      </c>
      <c r="C734" s="2">
        <f>_xlfn.XLOOKUP(B734,Results!$B$23:$B$119,Results!$D$23:$D$119)</f>
        <v/>
      </c>
      <c r="D734" s="2" t="n">
        <v>31</v>
      </c>
      <c r="E734" s="2" t="inlineStr">
        <is>
          <t>CHO</t>
        </is>
      </c>
      <c r="F734" s="2" t="n">
        <v>2.498</v>
      </c>
      <c r="G734" s="2" t="n">
        <v>0.004936</v>
      </c>
    </row>
    <row r="735">
      <c r="A735" s="1" t="inlineStr">
        <is>
          <t>B6</t>
        </is>
      </c>
      <c r="B735" s="1" t="n">
        <v>18</v>
      </c>
      <c r="C735" s="2">
        <f>_xlfn.XLOOKUP(B735,Results!$B$23:$B$119,Results!$D$23:$D$119)</f>
        <v/>
      </c>
      <c r="D735" s="1" t="n">
        <v>32</v>
      </c>
      <c r="E735" s="1" t="inlineStr">
        <is>
          <t>CHO</t>
        </is>
      </c>
      <c r="F735" s="1" t="n">
        <v>2.5096</v>
      </c>
      <c r="G735" s="1" t="n">
        <v>0.011302</v>
      </c>
    </row>
    <row r="736">
      <c r="A736" s="2" t="inlineStr">
        <is>
          <t>B6</t>
        </is>
      </c>
      <c r="B736" s="2" t="n">
        <v>18</v>
      </c>
      <c r="C736" s="2">
        <f>_xlfn.XLOOKUP(B736,Results!$B$23:$B$119,Results!$D$23:$D$119)</f>
        <v/>
      </c>
      <c r="D736" s="2" t="n">
        <v>33</v>
      </c>
      <c r="E736" s="2" t="inlineStr">
        <is>
          <t>CHO</t>
        </is>
      </c>
      <c r="F736" s="2" t="n">
        <v>2.5248</v>
      </c>
      <c r="G736" s="2" t="n">
        <v>0.021186</v>
      </c>
    </row>
    <row r="737">
      <c r="A737" s="1" t="inlineStr">
        <is>
          <t>B6</t>
        </is>
      </c>
      <c r="B737" s="1" t="n">
        <v>18</v>
      </c>
      <c r="C737" s="2">
        <f>_xlfn.XLOOKUP(B737,Results!$B$23:$B$119,Results!$D$23:$D$119)</f>
        <v/>
      </c>
      <c r="D737" s="1" t="n">
        <v>34</v>
      </c>
      <c r="E737" s="1" t="inlineStr">
        <is>
          <t>CHO</t>
        </is>
      </c>
      <c r="F737" s="1" t="n">
        <v>2.5559</v>
      </c>
      <c r="G737" s="1" t="n">
        <v>0.047047</v>
      </c>
    </row>
    <row r="738">
      <c r="A738" s="2" t="inlineStr">
        <is>
          <t>B6</t>
        </is>
      </c>
      <c r="B738" s="2" t="n">
        <v>18</v>
      </c>
      <c r="C738" s="2">
        <f>_xlfn.XLOOKUP(B738,Results!$B$23:$B$119,Results!$D$23:$D$119)</f>
        <v/>
      </c>
      <c r="D738" s="2" t="n">
        <v>35</v>
      </c>
      <c r="E738" s="2" t="inlineStr">
        <is>
          <t>CHO</t>
        </is>
      </c>
      <c r="F738" s="2" t="n">
        <v>2.606</v>
      </c>
      <c r="G738" s="2" t="n">
        <v>0.091906</v>
      </c>
    </row>
    <row r="739">
      <c r="A739" s="1" t="inlineStr">
        <is>
          <t>B6</t>
        </is>
      </c>
      <c r="B739" s="1" t="n">
        <v>18</v>
      </c>
      <c r="C739" s="2">
        <f>_xlfn.XLOOKUP(B739,Results!$B$23:$B$119,Results!$D$23:$D$119)</f>
        <v/>
      </c>
      <c r="D739" s="1" t="n">
        <v>36</v>
      </c>
      <c r="E739" s="1" t="inlineStr">
        <is>
          <t>CHO</t>
        </is>
      </c>
      <c r="F739" s="1" t="n">
        <v>2.6951</v>
      </c>
      <c r="G739" s="1" t="n">
        <v>0.175758</v>
      </c>
    </row>
    <row r="740">
      <c r="A740" s="2" t="inlineStr">
        <is>
          <t>B6</t>
        </is>
      </c>
      <c r="B740" s="2" t="n">
        <v>18</v>
      </c>
      <c r="C740" s="2">
        <f>_xlfn.XLOOKUP(B740,Results!$B$23:$B$119,Results!$D$23:$D$119)</f>
        <v/>
      </c>
      <c r="D740" s="2" t="n">
        <v>37</v>
      </c>
      <c r="E740" s="2" t="inlineStr">
        <is>
          <t>CHO</t>
        </is>
      </c>
      <c r="F740" s="2" t="n">
        <v>2.8576</v>
      </c>
      <c r="G740" s="2" t="n">
        <v>0.333053</v>
      </c>
    </row>
    <row r="741">
      <c r="A741" s="1" t="inlineStr">
        <is>
          <t>B6</t>
        </is>
      </c>
      <c r="B741" s="1" t="n">
        <v>18</v>
      </c>
      <c r="C741" s="2">
        <f>_xlfn.XLOOKUP(B741,Results!$B$23:$B$119,Results!$D$23:$D$119)</f>
        <v/>
      </c>
      <c r="D741" s="1" t="n">
        <v>38</v>
      </c>
      <c r="E741" s="1" t="inlineStr">
        <is>
          <t>CHO</t>
        </is>
      </c>
      <c r="F741" s="1" t="n">
        <v>3.1065</v>
      </c>
      <c r="G741" s="1" t="n">
        <v>0.5766559999999999</v>
      </c>
    </row>
    <row r="742">
      <c r="A742" s="2" t="inlineStr">
        <is>
          <t>B6</t>
        </is>
      </c>
      <c r="B742" s="2" t="n">
        <v>18</v>
      </c>
      <c r="C742" s="2">
        <f>_xlfn.XLOOKUP(B742,Results!$B$23:$B$119,Results!$D$23:$D$119)</f>
        <v/>
      </c>
      <c r="D742" s="2" t="n">
        <v>39</v>
      </c>
      <c r="E742" s="2" t="inlineStr">
        <is>
          <t>CHO</t>
        </is>
      </c>
      <c r="F742" s="2" t="n">
        <v>3.4222</v>
      </c>
      <c r="G742" s="2" t="n">
        <v>0.88717</v>
      </c>
    </row>
    <row r="743">
      <c r="A743" s="1" t="inlineStr">
        <is>
          <t>B6</t>
        </is>
      </c>
      <c r="B743" s="1" t="n">
        <v>18</v>
      </c>
      <c r="C743" s="2">
        <f>_xlfn.XLOOKUP(B743,Results!$B$23:$B$119,Results!$D$23:$D$119)</f>
        <v/>
      </c>
      <c r="D743" s="1" t="n">
        <v>40</v>
      </c>
      <c r="E743" s="1" t="inlineStr">
        <is>
          <t>CHO</t>
        </is>
      </c>
      <c r="F743" s="1" t="n">
        <v>3.7244</v>
      </c>
      <c r="G743" s="1" t="n">
        <v>1.184152</v>
      </c>
    </row>
    <row r="744">
      <c r="A744" s="2" t="inlineStr">
        <is>
          <t>B7</t>
        </is>
      </c>
      <c r="B744" s="2" t="n">
        <v>19</v>
      </c>
      <c r="C744" s="2">
        <f>_xlfn.XLOOKUP(B744,Results!$B$23:$B$119,Results!$D$23:$D$119)</f>
        <v/>
      </c>
      <c r="D744" s="2" t="n">
        <v>1</v>
      </c>
      <c r="E744" s="2" t="inlineStr">
        <is>
          <t>CHO</t>
        </is>
      </c>
      <c r="F744" s="2" t="n">
        <v>2.4595</v>
      </c>
      <c r="G744" s="2" t="n">
        <v>0.01129</v>
      </c>
    </row>
    <row r="745">
      <c r="A745" s="1" t="inlineStr">
        <is>
          <t>B7</t>
        </is>
      </c>
      <c r="B745" s="1" t="n">
        <v>19</v>
      </c>
      <c r="C745" s="2">
        <f>_xlfn.XLOOKUP(B745,Results!$B$23:$B$119,Results!$D$23:$D$119)</f>
        <v/>
      </c>
      <c r="D745" s="1" t="n">
        <v>2</v>
      </c>
      <c r="E745" s="1" t="inlineStr">
        <is>
          <t>CHO</t>
        </is>
      </c>
      <c r="F745" s="1" t="n">
        <v>2.4609</v>
      </c>
      <c r="G745" s="1" t="n">
        <v>0.004123</v>
      </c>
    </row>
    <row r="746">
      <c r="A746" s="2" t="inlineStr">
        <is>
          <t>B7</t>
        </is>
      </c>
      <c r="B746" s="2" t="n">
        <v>19</v>
      </c>
      <c r="C746" s="2">
        <f>_xlfn.XLOOKUP(B746,Results!$B$23:$B$119,Results!$D$23:$D$119)</f>
        <v/>
      </c>
      <c r="D746" s="2" t="n">
        <v>3</v>
      </c>
      <c r="E746" s="2" t="inlineStr">
        <is>
          <t>CHO</t>
        </is>
      </c>
      <c r="F746" s="2" t="n">
        <v>2.4642</v>
      </c>
      <c r="G746" s="2" t="n">
        <v>-0.001271</v>
      </c>
    </row>
    <row r="747">
      <c r="A747" s="1" t="inlineStr">
        <is>
          <t>B7</t>
        </is>
      </c>
      <c r="B747" s="1" t="n">
        <v>19</v>
      </c>
      <c r="C747" s="2">
        <f>_xlfn.XLOOKUP(B747,Results!$B$23:$B$119,Results!$D$23:$D$119)</f>
        <v/>
      </c>
      <c r="D747" s="1" t="n">
        <v>4</v>
      </c>
      <c r="E747" s="1" t="inlineStr">
        <is>
          <t>CHO</t>
        </is>
      </c>
      <c r="F747" s="1" t="n">
        <v>2.4728</v>
      </c>
      <c r="G747" s="1" t="n">
        <v>-0.001313</v>
      </c>
    </row>
    <row r="748">
      <c r="A748" s="2" t="inlineStr">
        <is>
          <t>B7</t>
        </is>
      </c>
      <c r="B748" s="2" t="n">
        <v>19</v>
      </c>
      <c r="C748" s="2">
        <f>_xlfn.XLOOKUP(B748,Results!$B$23:$B$119,Results!$D$23:$D$119)</f>
        <v/>
      </c>
      <c r="D748" s="2" t="n">
        <v>5</v>
      </c>
      <c r="E748" s="2" t="inlineStr">
        <is>
          <t>CHO</t>
        </is>
      </c>
      <c r="F748" s="2" t="n">
        <v>2.4829</v>
      </c>
      <c r="G748" s="2" t="n">
        <v>0.000215</v>
      </c>
    </row>
    <row r="749">
      <c r="A749" s="1" t="inlineStr">
        <is>
          <t>B7</t>
        </is>
      </c>
      <c r="B749" s="1" t="n">
        <v>19</v>
      </c>
      <c r="C749" s="2">
        <f>_xlfn.XLOOKUP(B749,Results!$B$23:$B$119,Results!$D$23:$D$119)</f>
        <v/>
      </c>
      <c r="D749" s="1" t="n">
        <v>6</v>
      </c>
      <c r="E749" s="1" t="inlineStr">
        <is>
          <t>CHO</t>
        </is>
      </c>
      <c r="F749" s="1" t="n">
        <v>2.4918</v>
      </c>
      <c r="G749" s="1" t="n">
        <v>0.000403</v>
      </c>
    </row>
    <row r="750">
      <c r="A750" s="2" t="inlineStr">
        <is>
          <t>B7</t>
        </is>
      </c>
      <c r="B750" s="2" t="n">
        <v>19</v>
      </c>
      <c r="C750" s="2">
        <f>_xlfn.XLOOKUP(B750,Results!$B$23:$B$119,Results!$D$23:$D$119)</f>
        <v/>
      </c>
      <c r="D750" s="2" t="n">
        <v>7</v>
      </c>
      <c r="E750" s="2" t="inlineStr">
        <is>
          <t>CHO</t>
        </is>
      </c>
      <c r="F750" s="2" t="n">
        <v>2.5025</v>
      </c>
      <c r="G750" s="2" t="n">
        <v>0.002549</v>
      </c>
    </row>
    <row r="751">
      <c r="A751" s="1" t="inlineStr">
        <is>
          <t>B7</t>
        </is>
      </c>
      <c r="B751" s="1" t="n">
        <v>19</v>
      </c>
      <c r="C751" s="2">
        <f>_xlfn.XLOOKUP(B751,Results!$B$23:$B$119,Results!$D$23:$D$119)</f>
        <v/>
      </c>
      <c r="D751" s="1" t="n">
        <v>8</v>
      </c>
      <c r="E751" s="1" t="inlineStr">
        <is>
          <t>CHO</t>
        </is>
      </c>
      <c r="F751" s="1" t="n">
        <v>2.511</v>
      </c>
      <c r="G751" s="1" t="n">
        <v>0.002398</v>
      </c>
    </row>
    <row r="752">
      <c r="A752" s="2" t="inlineStr">
        <is>
          <t>B7</t>
        </is>
      </c>
      <c r="B752" s="2" t="n">
        <v>19</v>
      </c>
      <c r="C752" s="2">
        <f>_xlfn.XLOOKUP(B752,Results!$B$23:$B$119,Results!$D$23:$D$119)</f>
        <v/>
      </c>
      <c r="D752" s="2" t="n">
        <v>9</v>
      </c>
      <c r="E752" s="2" t="inlineStr">
        <is>
          <t>CHO</t>
        </is>
      </c>
      <c r="F752" s="2" t="n">
        <v>2.5173</v>
      </c>
      <c r="G752" s="2" t="n">
        <v>1.4e-05</v>
      </c>
    </row>
    <row r="753">
      <c r="A753" s="1" t="inlineStr">
        <is>
          <t>B7</t>
        </is>
      </c>
      <c r="B753" s="1" t="n">
        <v>19</v>
      </c>
      <c r="C753" s="2">
        <f>_xlfn.XLOOKUP(B753,Results!$B$23:$B$119,Results!$D$23:$D$119)</f>
        <v/>
      </c>
      <c r="D753" s="1" t="n">
        <v>10</v>
      </c>
      <c r="E753" s="1" t="inlineStr">
        <is>
          <t>CHO</t>
        </is>
      </c>
      <c r="F753" s="1" t="n">
        <v>2.5249</v>
      </c>
      <c r="G753" s="1" t="n">
        <v>-0.000969</v>
      </c>
    </row>
    <row r="754">
      <c r="A754" s="2" t="inlineStr">
        <is>
          <t>B7</t>
        </is>
      </c>
      <c r="B754" s="2" t="n">
        <v>19</v>
      </c>
      <c r="C754" s="2">
        <f>_xlfn.XLOOKUP(B754,Results!$B$23:$B$119,Results!$D$23:$D$119)</f>
        <v/>
      </c>
      <c r="D754" s="2" t="n">
        <v>11</v>
      </c>
      <c r="E754" s="2" t="inlineStr">
        <is>
          <t>CHO</t>
        </is>
      </c>
      <c r="F754" s="2" t="n">
        <v>2.5321</v>
      </c>
      <c r="G754" s="2" t="n">
        <v>-0.002415</v>
      </c>
    </row>
    <row r="755">
      <c r="A755" s="1" t="inlineStr">
        <is>
          <t>B7</t>
        </is>
      </c>
      <c r="B755" s="1" t="n">
        <v>19</v>
      </c>
      <c r="C755" s="2">
        <f>_xlfn.XLOOKUP(B755,Results!$B$23:$B$119,Results!$D$23:$D$119)</f>
        <v/>
      </c>
      <c r="D755" s="1" t="n">
        <v>12</v>
      </c>
      <c r="E755" s="1" t="inlineStr">
        <is>
          <t>CHO</t>
        </is>
      </c>
      <c r="F755" s="1" t="n">
        <v>2.5435</v>
      </c>
      <c r="G755" s="1" t="n">
        <v>0.00039</v>
      </c>
    </row>
    <row r="756">
      <c r="A756" s="2" t="inlineStr">
        <is>
          <t>B7</t>
        </is>
      </c>
      <c r="B756" s="2" t="n">
        <v>19</v>
      </c>
      <c r="C756" s="2">
        <f>_xlfn.XLOOKUP(B756,Results!$B$23:$B$119,Results!$D$23:$D$119)</f>
        <v/>
      </c>
      <c r="D756" s="2" t="n">
        <v>13</v>
      </c>
      <c r="E756" s="2" t="inlineStr">
        <is>
          <t>CHO</t>
        </is>
      </c>
      <c r="F756" s="2" t="n">
        <v>2.5594</v>
      </c>
      <c r="G756" s="2" t="n">
        <v>0.007623</v>
      </c>
    </row>
    <row r="757">
      <c r="A757" s="1" t="inlineStr">
        <is>
          <t>B7</t>
        </is>
      </c>
      <c r="B757" s="1" t="n">
        <v>19</v>
      </c>
      <c r="C757" s="2">
        <f>_xlfn.XLOOKUP(B757,Results!$B$23:$B$119,Results!$D$23:$D$119)</f>
        <v/>
      </c>
      <c r="D757" s="1" t="n">
        <v>14</v>
      </c>
      <c r="E757" s="1" t="inlineStr">
        <is>
          <t>CHO</t>
        </is>
      </c>
      <c r="F757" s="1" t="n">
        <v>2.5796</v>
      </c>
      <c r="G757" s="1" t="n">
        <v>0.019129</v>
      </c>
    </row>
    <row r="758">
      <c r="A758" s="2" t="inlineStr">
        <is>
          <t>B7</t>
        </is>
      </c>
      <c r="B758" s="2" t="n">
        <v>19</v>
      </c>
      <c r="C758" s="2">
        <f>_xlfn.XLOOKUP(B758,Results!$B$23:$B$119,Results!$D$23:$D$119)</f>
        <v/>
      </c>
      <c r="D758" s="2" t="n">
        <v>15</v>
      </c>
      <c r="E758" s="2" t="inlineStr">
        <is>
          <t>CHO</t>
        </is>
      </c>
      <c r="F758" s="2" t="n">
        <v>2.6128</v>
      </c>
      <c r="G758" s="2" t="n">
        <v>0.043763</v>
      </c>
    </row>
    <row r="759">
      <c r="A759" s="1" t="inlineStr">
        <is>
          <t>B7</t>
        </is>
      </c>
      <c r="B759" s="1" t="n">
        <v>19</v>
      </c>
      <c r="C759" s="2">
        <f>_xlfn.XLOOKUP(B759,Results!$B$23:$B$119,Results!$D$23:$D$119)</f>
        <v/>
      </c>
      <c r="D759" s="1" t="n">
        <v>16</v>
      </c>
      <c r="E759" s="1" t="inlineStr">
        <is>
          <t>CHO</t>
        </is>
      </c>
      <c r="F759" s="1" t="n">
        <v>2.6759</v>
      </c>
      <c r="G759" s="1" t="n">
        <v>0.098192</v>
      </c>
    </row>
    <row r="760">
      <c r="A760" s="2" t="inlineStr">
        <is>
          <t>B7</t>
        </is>
      </c>
      <c r="B760" s="2" t="n">
        <v>19</v>
      </c>
      <c r="C760" s="2">
        <f>_xlfn.XLOOKUP(B760,Results!$B$23:$B$119,Results!$D$23:$D$119)</f>
        <v/>
      </c>
      <c r="D760" s="2" t="n">
        <v>17</v>
      </c>
      <c r="E760" s="2" t="inlineStr">
        <is>
          <t>CHO</t>
        </is>
      </c>
      <c r="F760" s="2" t="n">
        <v>2.7847</v>
      </c>
      <c r="G760" s="2" t="n">
        <v>0.198379</v>
      </c>
    </row>
    <row r="761">
      <c r="A761" s="1" t="inlineStr">
        <is>
          <t>B7</t>
        </is>
      </c>
      <c r="B761" s="1" t="n">
        <v>19</v>
      </c>
      <c r="C761" s="2">
        <f>_xlfn.XLOOKUP(B761,Results!$B$23:$B$119,Results!$D$23:$D$119)</f>
        <v/>
      </c>
      <c r="D761" s="1" t="n">
        <v>18</v>
      </c>
      <c r="E761" s="1" t="inlineStr">
        <is>
          <t>CHO</t>
        </is>
      </c>
      <c r="F761" s="1" t="n">
        <v>2.9674</v>
      </c>
      <c r="G761" s="1" t="n">
        <v>0.372447</v>
      </c>
    </row>
    <row r="762">
      <c r="A762" s="2" t="inlineStr">
        <is>
          <t>B7</t>
        </is>
      </c>
      <c r="B762" s="2" t="n">
        <v>19</v>
      </c>
      <c r="C762" s="2">
        <f>_xlfn.XLOOKUP(B762,Results!$B$23:$B$119,Results!$D$23:$D$119)</f>
        <v/>
      </c>
      <c r="D762" s="2" t="n">
        <v>19</v>
      </c>
      <c r="E762" s="2" t="inlineStr">
        <is>
          <t>CHO</t>
        </is>
      </c>
      <c r="F762" s="2" t="n">
        <v>3.2473</v>
      </c>
      <c r="G762" s="2" t="n">
        <v>0.643686</v>
      </c>
    </row>
    <row r="763">
      <c r="A763" s="1" t="inlineStr">
        <is>
          <t>B7</t>
        </is>
      </c>
      <c r="B763" s="1" t="n">
        <v>19</v>
      </c>
      <c r="C763" s="2">
        <f>_xlfn.XLOOKUP(B763,Results!$B$23:$B$119,Results!$D$23:$D$119)</f>
        <v/>
      </c>
      <c r="D763" s="1" t="n">
        <v>20</v>
      </c>
      <c r="E763" s="1" t="inlineStr">
        <is>
          <t>CHO</t>
        </is>
      </c>
      <c r="F763" s="1" t="n">
        <v>3.6156</v>
      </c>
      <c r="G763" s="1" t="n">
        <v>1.003408</v>
      </c>
    </row>
    <row r="764">
      <c r="A764" s="2" t="inlineStr">
        <is>
          <t>B7</t>
        </is>
      </c>
      <c r="B764" s="2" t="n">
        <v>19</v>
      </c>
      <c r="C764" s="2">
        <f>_xlfn.XLOOKUP(B764,Results!$B$23:$B$119,Results!$D$23:$D$119)</f>
        <v/>
      </c>
      <c r="D764" s="2" t="n">
        <v>21</v>
      </c>
      <c r="E764" s="2" t="inlineStr">
        <is>
          <t>CHO</t>
        </is>
      </c>
      <c r="F764" s="2" t="n">
        <v>4.0469</v>
      </c>
      <c r="G764" s="2" t="n">
        <v>1.426046</v>
      </c>
    </row>
    <row r="765">
      <c r="A765" s="1" t="inlineStr">
        <is>
          <t>B7</t>
        </is>
      </c>
      <c r="B765" s="1" t="n">
        <v>19</v>
      </c>
      <c r="C765" s="2">
        <f>_xlfn.XLOOKUP(B765,Results!$B$23:$B$119,Results!$D$23:$D$119)</f>
        <v/>
      </c>
      <c r="D765" s="1" t="n">
        <v>22</v>
      </c>
      <c r="E765" s="1" t="inlineStr">
        <is>
          <t>CHO</t>
        </is>
      </c>
      <c r="F765" s="1" t="n">
        <v>4.4956</v>
      </c>
      <c r="G765" s="1" t="n">
        <v>1.866055</v>
      </c>
    </row>
    <row r="766">
      <c r="A766" s="2" t="inlineStr">
        <is>
          <t>B7</t>
        </is>
      </c>
      <c r="B766" s="2" t="n">
        <v>19</v>
      </c>
      <c r="C766" s="2">
        <f>_xlfn.XLOOKUP(B766,Results!$B$23:$B$119,Results!$D$23:$D$119)</f>
        <v/>
      </c>
      <c r="D766" s="2" t="n">
        <v>23</v>
      </c>
      <c r="E766" s="2" t="inlineStr">
        <is>
          <t>CHO</t>
        </is>
      </c>
      <c r="F766" s="2" t="n">
        <v>4.9306</v>
      </c>
      <c r="G766" s="2" t="n">
        <v>2.292453</v>
      </c>
    </row>
    <row r="767">
      <c r="A767" s="1" t="inlineStr">
        <is>
          <t>B7</t>
        </is>
      </c>
      <c r="B767" s="1" t="n">
        <v>19</v>
      </c>
      <c r="C767" s="2">
        <f>_xlfn.XLOOKUP(B767,Results!$B$23:$B$119,Results!$D$23:$D$119)</f>
        <v/>
      </c>
      <c r="D767" s="1" t="n">
        <v>24</v>
      </c>
      <c r="E767" s="1" t="inlineStr">
        <is>
          <t>CHO</t>
        </is>
      </c>
      <c r="F767" s="1" t="n">
        <v>5.3316</v>
      </c>
      <c r="G767" s="1" t="n">
        <v>2.684873</v>
      </c>
    </row>
    <row r="768">
      <c r="A768" s="2" t="inlineStr">
        <is>
          <t>B7</t>
        </is>
      </c>
      <c r="B768" s="2" t="n">
        <v>19</v>
      </c>
      <c r="C768" s="2">
        <f>_xlfn.XLOOKUP(B768,Results!$B$23:$B$119,Results!$D$23:$D$119)</f>
        <v/>
      </c>
      <c r="D768" s="2" t="n">
        <v>25</v>
      </c>
      <c r="E768" s="2" t="inlineStr">
        <is>
          <t>CHO</t>
        </is>
      </c>
      <c r="F768" s="2" t="n">
        <v>5.6877</v>
      </c>
      <c r="G768" s="2" t="n">
        <v>3.032305</v>
      </c>
    </row>
    <row r="769">
      <c r="A769" s="1" t="inlineStr">
        <is>
          <t>B7</t>
        </is>
      </c>
      <c r="B769" s="1" t="n">
        <v>19</v>
      </c>
      <c r="C769" s="2">
        <f>_xlfn.XLOOKUP(B769,Results!$B$23:$B$119,Results!$D$23:$D$119)</f>
        <v/>
      </c>
      <c r="D769" s="1" t="n">
        <v>26</v>
      </c>
      <c r="E769" s="1" t="inlineStr">
        <is>
          <t>CHO</t>
        </is>
      </c>
      <c r="F769" s="1" t="n">
        <v>6.0105</v>
      </c>
      <c r="G769" s="1" t="n">
        <v>3.346486</v>
      </c>
    </row>
    <row r="770">
      <c r="A770" s="2" t="inlineStr">
        <is>
          <t>B7</t>
        </is>
      </c>
      <c r="B770" s="2" t="n">
        <v>19</v>
      </c>
      <c r="C770" s="2">
        <f>_xlfn.XLOOKUP(B770,Results!$B$23:$B$119,Results!$D$23:$D$119)</f>
        <v/>
      </c>
      <c r="D770" s="2" t="n">
        <v>27</v>
      </c>
      <c r="E770" s="2" t="inlineStr">
        <is>
          <t>CHO</t>
        </is>
      </c>
      <c r="F770" s="2" t="n">
        <v>6.2856</v>
      </c>
      <c r="G770" s="2" t="n">
        <v>3.612933</v>
      </c>
    </row>
    <row r="771">
      <c r="A771" s="1" t="inlineStr">
        <is>
          <t>B7</t>
        </is>
      </c>
      <c r="B771" s="1" t="n">
        <v>19</v>
      </c>
      <c r="C771" s="2">
        <f>_xlfn.XLOOKUP(B771,Results!$B$23:$B$119,Results!$D$23:$D$119)</f>
        <v/>
      </c>
      <c r="D771" s="1" t="n">
        <v>28</v>
      </c>
      <c r="E771" s="1" t="inlineStr">
        <is>
          <t>CHO</t>
        </is>
      </c>
      <c r="F771" s="1" t="n">
        <v>6.5335</v>
      </c>
      <c r="G771" s="1" t="n">
        <v>3.852193</v>
      </c>
    </row>
    <row r="772">
      <c r="A772" s="2" t="inlineStr">
        <is>
          <t>B7</t>
        </is>
      </c>
      <c r="B772" s="2" t="n">
        <v>19</v>
      </c>
      <c r="C772" s="2">
        <f>_xlfn.XLOOKUP(B772,Results!$B$23:$B$119,Results!$D$23:$D$119)</f>
        <v/>
      </c>
      <c r="D772" s="2" t="n">
        <v>29</v>
      </c>
      <c r="E772" s="2" t="inlineStr">
        <is>
          <t>CHO</t>
        </is>
      </c>
      <c r="F772" s="2" t="n">
        <v>6.7535</v>
      </c>
      <c r="G772" s="2" t="n">
        <v>4.063511</v>
      </c>
    </row>
    <row r="773">
      <c r="A773" s="1" t="inlineStr">
        <is>
          <t>B7</t>
        </is>
      </c>
      <c r="B773" s="1" t="n">
        <v>19</v>
      </c>
      <c r="C773" s="2">
        <f>_xlfn.XLOOKUP(B773,Results!$B$23:$B$119,Results!$D$23:$D$119)</f>
        <v/>
      </c>
      <c r="D773" s="1" t="n">
        <v>30</v>
      </c>
      <c r="E773" s="1" t="inlineStr">
        <is>
          <t>CHO</t>
        </is>
      </c>
      <c r="F773" s="1" t="n">
        <v>6.93</v>
      </c>
      <c r="G773" s="1" t="n">
        <v>4.231373</v>
      </c>
    </row>
    <row r="774">
      <c r="A774" s="2" t="inlineStr">
        <is>
          <t>B7</t>
        </is>
      </c>
      <c r="B774" s="2" t="n">
        <v>19</v>
      </c>
      <c r="C774" s="2">
        <f>_xlfn.XLOOKUP(B774,Results!$B$23:$B$119,Results!$D$23:$D$119)</f>
        <v/>
      </c>
      <c r="D774" s="2" t="n">
        <v>31</v>
      </c>
      <c r="E774" s="2" t="inlineStr">
        <is>
          <t>CHO</t>
        </is>
      </c>
      <c r="F774" s="2" t="n">
        <v>7.0895</v>
      </c>
      <c r="G774" s="2" t="n">
        <v>4.382256</v>
      </c>
    </row>
    <row r="775">
      <c r="A775" s="1" t="inlineStr">
        <is>
          <t>B7</t>
        </is>
      </c>
      <c r="B775" s="1" t="n">
        <v>19</v>
      </c>
      <c r="C775" s="2">
        <f>_xlfn.XLOOKUP(B775,Results!$B$23:$B$119,Results!$D$23:$D$119)</f>
        <v/>
      </c>
      <c r="D775" s="1" t="n">
        <v>32</v>
      </c>
      <c r="E775" s="1" t="inlineStr">
        <is>
          <t>CHO</t>
        </is>
      </c>
      <c r="F775" s="1" t="n">
        <v>7.2322</v>
      </c>
      <c r="G775" s="1" t="n">
        <v>4.516294</v>
      </c>
    </row>
    <row r="776">
      <c r="A776" s="2" t="inlineStr">
        <is>
          <t>B7</t>
        </is>
      </c>
      <c r="B776" s="2" t="n">
        <v>19</v>
      </c>
      <c r="C776" s="2">
        <f>_xlfn.XLOOKUP(B776,Results!$B$23:$B$119,Results!$D$23:$D$119)</f>
        <v/>
      </c>
      <c r="D776" s="2" t="n">
        <v>33</v>
      </c>
      <c r="E776" s="2" t="inlineStr">
        <is>
          <t>CHO</t>
        </is>
      </c>
      <c r="F776" s="2" t="n">
        <v>7.359</v>
      </c>
      <c r="G776" s="2" t="n">
        <v>4.63449</v>
      </c>
    </row>
    <row r="777">
      <c r="A777" s="1" t="inlineStr">
        <is>
          <t>B7</t>
        </is>
      </c>
      <c r="B777" s="1" t="n">
        <v>19</v>
      </c>
      <c r="C777" s="2">
        <f>_xlfn.XLOOKUP(B777,Results!$B$23:$B$119,Results!$D$23:$D$119)</f>
        <v/>
      </c>
      <c r="D777" s="1" t="n">
        <v>34</v>
      </c>
      <c r="E777" s="1" t="inlineStr">
        <is>
          <t>CHO</t>
        </is>
      </c>
      <c r="F777" s="1" t="n">
        <v>7.4827</v>
      </c>
      <c r="G777" s="1" t="n">
        <v>4.749567</v>
      </c>
    </row>
    <row r="778">
      <c r="A778" s="2" t="inlineStr">
        <is>
          <t>B7</t>
        </is>
      </c>
      <c r="B778" s="2" t="n">
        <v>19</v>
      </c>
      <c r="C778" s="2">
        <f>_xlfn.XLOOKUP(B778,Results!$B$23:$B$119,Results!$D$23:$D$119)</f>
        <v/>
      </c>
      <c r="D778" s="2" t="n">
        <v>35</v>
      </c>
      <c r="E778" s="2" t="inlineStr">
        <is>
          <t>CHO</t>
        </is>
      </c>
      <c r="F778" s="2" t="n">
        <v>7.5781</v>
      </c>
      <c r="G778" s="2" t="n">
        <v>4.836377</v>
      </c>
    </row>
    <row r="779">
      <c r="A779" s="1" t="inlineStr">
        <is>
          <t>B7</t>
        </is>
      </c>
      <c r="B779" s="1" t="n">
        <v>19</v>
      </c>
      <c r="C779" s="2">
        <f>_xlfn.XLOOKUP(B779,Results!$B$23:$B$119,Results!$D$23:$D$119)</f>
        <v/>
      </c>
      <c r="D779" s="1" t="n">
        <v>36</v>
      </c>
      <c r="E779" s="1" t="inlineStr">
        <is>
          <t>CHO</t>
        </is>
      </c>
      <c r="F779" s="1" t="n">
        <v>7.6574</v>
      </c>
      <c r="G779" s="1" t="n">
        <v>4.907013</v>
      </c>
    </row>
    <row r="780">
      <c r="A780" s="2" t="inlineStr">
        <is>
          <t>B7</t>
        </is>
      </c>
      <c r="B780" s="2" t="n">
        <v>19</v>
      </c>
      <c r="C780" s="2">
        <f>_xlfn.XLOOKUP(B780,Results!$B$23:$B$119,Results!$D$23:$D$119)</f>
        <v/>
      </c>
      <c r="D780" s="2" t="n">
        <v>37</v>
      </c>
      <c r="E780" s="2" t="inlineStr">
        <is>
          <t>CHO</t>
        </is>
      </c>
      <c r="F780" s="2" t="n">
        <v>7.7408</v>
      </c>
      <c r="G780" s="2" t="n">
        <v>4.981792</v>
      </c>
    </row>
    <row r="781">
      <c r="A781" s="1" t="inlineStr">
        <is>
          <t>B7</t>
        </is>
      </c>
      <c r="B781" s="1" t="n">
        <v>19</v>
      </c>
      <c r="C781" s="2">
        <f>_xlfn.XLOOKUP(B781,Results!$B$23:$B$119,Results!$D$23:$D$119)</f>
        <v/>
      </c>
      <c r="D781" s="1" t="n">
        <v>38</v>
      </c>
      <c r="E781" s="1" t="inlineStr">
        <is>
          <t>CHO</t>
        </is>
      </c>
      <c r="F781" s="1" t="n">
        <v>7.8244</v>
      </c>
      <c r="G781" s="1" t="n">
        <v>5.056737</v>
      </c>
    </row>
    <row r="782">
      <c r="A782" s="2" t="inlineStr">
        <is>
          <t>B7</t>
        </is>
      </c>
      <c r="B782" s="2" t="n">
        <v>19</v>
      </c>
      <c r="C782" s="2">
        <f>_xlfn.XLOOKUP(B782,Results!$B$23:$B$119,Results!$D$23:$D$119)</f>
        <v/>
      </c>
      <c r="D782" s="2" t="n">
        <v>39</v>
      </c>
      <c r="E782" s="2" t="inlineStr">
        <is>
          <t>CHO</t>
        </is>
      </c>
      <c r="F782" s="2" t="n">
        <v>7.898</v>
      </c>
      <c r="G782" s="2" t="n">
        <v>5.121678</v>
      </c>
    </row>
    <row r="783">
      <c r="A783" s="1" t="inlineStr">
        <is>
          <t>B7</t>
        </is>
      </c>
      <c r="B783" s="1" t="n">
        <v>19</v>
      </c>
      <c r="C783" s="2">
        <f>_xlfn.XLOOKUP(B783,Results!$B$23:$B$119,Results!$D$23:$D$119)</f>
        <v/>
      </c>
      <c r="D783" s="1" t="n">
        <v>40</v>
      </c>
      <c r="E783" s="1" t="inlineStr">
        <is>
          <t>CHO</t>
        </is>
      </c>
      <c r="F783" s="1" t="n">
        <v>7.9427</v>
      </c>
      <c r="G783" s="1" t="n">
        <v>5.15778</v>
      </c>
    </row>
    <row r="784">
      <c r="A784" s="2" t="inlineStr">
        <is>
          <t>B8</t>
        </is>
      </c>
      <c r="B784" s="2" t="n">
        <v>20</v>
      </c>
      <c r="C784" s="2">
        <f>_xlfn.XLOOKUP(B784,Results!$B$23:$B$119,Results!$D$23:$D$119)</f>
        <v/>
      </c>
      <c r="D784" s="2" t="n">
        <v>1</v>
      </c>
      <c r="E784" s="2" t="inlineStr">
        <is>
          <t>CHO</t>
        </is>
      </c>
      <c r="F784" s="2" t="n">
        <v>2.4718</v>
      </c>
      <c r="G784" s="2" t="n">
        <v>0.004135</v>
      </c>
    </row>
    <row r="785">
      <c r="A785" s="1" t="inlineStr">
        <is>
          <t>B8</t>
        </is>
      </c>
      <c r="B785" s="1" t="n">
        <v>20</v>
      </c>
      <c r="C785" s="2">
        <f>_xlfn.XLOOKUP(B785,Results!$B$23:$B$119,Results!$D$23:$D$119)</f>
        <v/>
      </c>
      <c r="D785" s="1" t="n">
        <v>2</v>
      </c>
      <c r="E785" s="1" t="inlineStr">
        <is>
          <t>CHO</t>
        </is>
      </c>
      <c r="F785" s="1" t="n">
        <v>2.4736</v>
      </c>
      <c r="G785" s="1" t="n">
        <v>-0.002626</v>
      </c>
    </row>
    <row r="786">
      <c r="A786" s="2" t="inlineStr">
        <is>
          <t>B8</t>
        </is>
      </c>
      <c r="B786" s="2" t="n">
        <v>20</v>
      </c>
      <c r="C786" s="2">
        <f>_xlfn.XLOOKUP(B786,Results!$B$23:$B$119,Results!$D$23:$D$119)</f>
        <v/>
      </c>
      <c r="D786" s="2" t="n">
        <v>3</v>
      </c>
      <c r="E786" s="2" t="inlineStr">
        <is>
          <t>CHO</t>
        </is>
      </c>
      <c r="F786" s="2" t="n">
        <v>2.4834</v>
      </c>
      <c r="G786" s="2" t="n">
        <v>-0.00148</v>
      </c>
    </row>
    <row r="787">
      <c r="A787" s="1" t="inlineStr">
        <is>
          <t>B8</t>
        </is>
      </c>
      <c r="B787" s="1" t="n">
        <v>20</v>
      </c>
      <c r="C787" s="2">
        <f>_xlfn.XLOOKUP(B787,Results!$B$23:$B$119,Results!$D$23:$D$119)</f>
        <v/>
      </c>
      <c r="D787" s="1" t="n">
        <v>4</v>
      </c>
      <c r="E787" s="1" t="inlineStr">
        <is>
          <t>CHO</t>
        </is>
      </c>
      <c r="F787" s="1" t="n">
        <v>2.4935</v>
      </c>
      <c r="G787" s="1" t="n">
        <v>5.3e-05</v>
      </c>
    </row>
    <row r="788">
      <c r="A788" s="2" t="inlineStr">
        <is>
          <t>B8</t>
        </is>
      </c>
      <c r="B788" s="2" t="n">
        <v>20</v>
      </c>
      <c r="C788" s="2">
        <f>_xlfn.XLOOKUP(B788,Results!$B$23:$B$119,Results!$D$23:$D$119)</f>
        <v/>
      </c>
      <c r="D788" s="2" t="n">
        <v>5</v>
      </c>
      <c r="E788" s="2" t="inlineStr">
        <is>
          <t>CHO</t>
        </is>
      </c>
      <c r="F788" s="2" t="n">
        <v>2.5041</v>
      </c>
      <c r="G788" s="2" t="n">
        <v>0.002037</v>
      </c>
    </row>
    <row r="789">
      <c r="A789" s="1" t="inlineStr">
        <is>
          <t>B8</t>
        </is>
      </c>
      <c r="B789" s="1" t="n">
        <v>20</v>
      </c>
      <c r="C789" s="2">
        <f>_xlfn.XLOOKUP(B789,Results!$B$23:$B$119,Results!$D$23:$D$119)</f>
        <v/>
      </c>
      <c r="D789" s="1" t="n">
        <v>6</v>
      </c>
      <c r="E789" s="1" t="inlineStr">
        <is>
          <t>CHO</t>
        </is>
      </c>
      <c r="F789" s="1" t="n">
        <v>2.5129</v>
      </c>
      <c r="G789" s="1" t="n">
        <v>0.002186</v>
      </c>
    </row>
    <row r="790">
      <c r="A790" s="2" t="inlineStr">
        <is>
          <t>B8</t>
        </is>
      </c>
      <c r="B790" s="2" t="n">
        <v>20</v>
      </c>
      <c r="C790" s="2">
        <f>_xlfn.XLOOKUP(B790,Results!$B$23:$B$119,Results!$D$23:$D$119)</f>
        <v/>
      </c>
      <c r="D790" s="2" t="n">
        <v>7</v>
      </c>
      <c r="E790" s="2" t="inlineStr">
        <is>
          <t>CHO</t>
        </is>
      </c>
      <c r="F790" s="2" t="n">
        <v>2.5186</v>
      </c>
      <c r="G790" s="2" t="n">
        <v>-0.000672</v>
      </c>
    </row>
    <row r="791">
      <c r="A791" s="1" t="inlineStr">
        <is>
          <t>B8</t>
        </is>
      </c>
      <c r="B791" s="1" t="n">
        <v>20</v>
      </c>
      <c r="C791" s="2">
        <f>_xlfn.XLOOKUP(B791,Results!$B$23:$B$119,Results!$D$23:$D$119)</f>
        <v/>
      </c>
      <c r="D791" s="1" t="n">
        <v>8</v>
      </c>
      <c r="E791" s="1" t="inlineStr">
        <is>
          <t>CHO</t>
        </is>
      </c>
      <c r="F791" s="1" t="n">
        <v>2.5253</v>
      </c>
      <c r="G791" s="1" t="n">
        <v>-0.002643</v>
      </c>
    </row>
    <row r="792">
      <c r="A792" s="2" t="inlineStr">
        <is>
          <t>B8</t>
        </is>
      </c>
      <c r="B792" s="2" t="n">
        <v>20</v>
      </c>
      <c r="C792" s="2">
        <f>_xlfn.XLOOKUP(B792,Results!$B$23:$B$119,Results!$D$23:$D$119)</f>
        <v/>
      </c>
      <c r="D792" s="2" t="n">
        <v>9</v>
      </c>
      <c r="E792" s="2" t="inlineStr">
        <is>
          <t>CHO</t>
        </is>
      </c>
      <c r="F792" s="2" t="n">
        <v>2.5355</v>
      </c>
      <c r="G792" s="2" t="n">
        <v>-0.001046</v>
      </c>
    </row>
    <row r="793">
      <c r="A793" s="1" t="inlineStr">
        <is>
          <t>B8</t>
        </is>
      </c>
      <c r="B793" s="1" t="n">
        <v>20</v>
      </c>
      <c r="C793" s="2">
        <f>_xlfn.XLOOKUP(B793,Results!$B$23:$B$119,Results!$D$23:$D$119)</f>
        <v/>
      </c>
      <c r="D793" s="1" t="n">
        <v>10</v>
      </c>
      <c r="E793" s="1" t="inlineStr">
        <is>
          <t>CHO</t>
        </is>
      </c>
      <c r="F793" s="1" t="n">
        <v>2.5465</v>
      </c>
      <c r="G793" s="1" t="n">
        <v>0.001394</v>
      </c>
    </row>
    <row r="794">
      <c r="A794" s="2" t="inlineStr">
        <is>
          <t>B8</t>
        </is>
      </c>
      <c r="B794" s="2" t="n">
        <v>20</v>
      </c>
      <c r="C794" s="2">
        <f>_xlfn.XLOOKUP(B794,Results!$B$23:$B$119,Results!$D$23:$D$119)</f>
        <v/>
      </c>
      <c r="D794" s="2" t="n">
        <v>11</v>
      </c>
      <c r="E794" s="2" t="inlineStr">
        <is>
          <t>CHO</t>
        </is>
      </c>
      <c r="F794" s="2" t="n">
        <v>2.5536</v>
      </c>
      <c r="G794" s="2" t="n">
        <v>-0.0002</v>
      </c>
    </row>
    <row r="795">
      <c r="A795" s="1" t="inlineStr">
        <is>
          <t>B8</t>
        </is>
      </c>
      <c r="B795" s="1" t="n">
        <v>20</v>
      </c>
      <c r="C795" s="2">
        <f>_xlfn.XLOOKUP(B795,Results!$B$23:$B$119,Results!$D$23:$D$119)</f>
        <v/>
      </c>
      <c r="D795" s="1" t="n">
        <v>12</v>
      </c>
      <c r="E795" s="1" t="inlineStr">
        <is>
          <t>CHO</t>
        </is>
      </c>
      <c r="F795" s="1" t="n">
        <v>2.5627</v>
      </c>
      <c r="G795" s="1" t="n">
        <v>0.000371</v>
      </c>
    </row>
    <row r="796">
      <c r="A796" s="2" t="inlineStr">
        <is>
          <t>B8</t>
        </is>
      </c>
      <c r="B796" s="2" t="n">
        <v>20</v>
      </c>
      <c r="C796" s="2">
        <f>_xlfn.XLOOKUP(B796,Results!$B$23:$B$119,Results!$D$23:$D$119)</f>
        <v/>
      </c>
      <c r="D796" s="2" t="n">
        <v>13</v>
      </c>
      <c r="E796" s="2" t="inlineStr">
        <is>
          <t>CHO</t>
        </is>
      </c>
      <c r="F796" s="2" t="n">
        <v>2.5789</v>
      </c>
      <c r="G796" s="2" t="n">
        <v>0.00793</v>
      </c>
    </row>
    <row r="797">
      <c r="A797" s="1" t="inlineStr">
        <is>
          <t>B8</t>
        </is>
      </c>
      <c r="B797" s="1" t="n">
        <v>20</v>
      </c>
      <c r="C797" s="2">
        <f>_xlfn.XLOOKUP(B797,Results!$B$23:$B$119,Results!$D$23:$D$119)</f>
        <v/>
      </c>
      <c r="D797" s="1" t="n">
        <v>14</v>
      </c>
      <c r="E797" s="1" t="inlineStr">
        <is>
          <t>CHO</t>
        </is>
      </c>
      <c r="F797" s="1" t="n">
        <v>2.5981</v>
      </c>
      <c r="G797" s="1" t="n">
        <v>0.018526</v>
      </c>
    </row>
    <row r="798">
      <c r="A798" s="2" t="inlineStr">
        <is>
          <t>B8</t>
        </is>
      </c>
      <c r="B798" s="2" t="n">
        <v>20</v>
      </c>
      <c r="C798" s="2">
        <f>_xlfn.XLOOKUP(B798,Results!$B$23:$B$119,Results!$D$23:$D$119)</f>
        <v/>
      </c>
      <c r="D798" s="2" t="n">
        <v>15</v>
      </c>
      <c r="E798" s="2" t="inlineStr">
        <is>
          <t>CHO</t>
        </is>
      </c>
      <c r="F798" s="2" t="n">
        <v>2.6336</v>
      </c>
      <c r="G798" s="2" t="n">
        <v>0.045395</v>
      </c>
    </row>
    <row r="799">
      <c r="A799" s="1" t="inlineStr">
        <is>
          <t>B8</t>
        </is>
      </c>
      <c r="B799" s="1" t="n">
        <v>20</v>
      </c>
      <c r="C799" s="2">
        <f>_xlfn.XLOOKUP(B799,Results!$B$23:$B$119,Results!$D$23:$D$119)</f>
        <v/>
      </c>
      <c r="D799" s="1" t="n">
        <v>16</v>
      </c>
      <c r="E799" s="1" t="inlineStr">
        <is>
          <t>CHO</t>
        </is>
      </c>
      <c r="F799" s="1" t="n">
        <v>2.694</v>
      </c>
      <c r="G799" s="1" t="n">
        <v>0.09715600000000001</v>
      </c>
    </row>
    <row r="800">
      <c r="A800" s="2" t="inlineStr">
        <is>
          <t>B8</t>
        </is>
      </c>
      <c r="B800" s="2" t="n">
        <v>20</v>
      </c>
      <c r="C800" s="2">
        <f>_xlfn.XLOOKUP(B800,Results!$B$23:$B$119,Results!$D$23:$D$119)</f>
        <v/>
      </c>
      <c r="D800" s="2" t="n">
        <v>17</v>
      </c>
      <c r="E800" s="2" t="inlineStr">
        <is>
          <t>CHO</t>
        </is>
      </c>
      <c r="F800" s="2" t="n">
        <v>2.8051</v>
      </c>
      <c r="G800" s="2" t="n">
        <v>0.199644</v>
      </c>
    </row>
    <row r="801">
      <c r="A801" s="1" t="inlineStr">
        <is>
          <t>B8</t>
        </is>
      </c>
      <c r="B801" s="1" t="n">
        <v>20</v>
      </c>
      <c r="C801" s="2">
        <f>_xlfn.XLOOKUP(B801,Results!$B$23:$B$119,Results!$D$23:$D$119)</f>
        <v/>
      </c>
      <c r="D801" s="1" t="n">
        <v>18</v>
      </c>
      <c r="E801" s="1" t="inlineStr">
        <is>
          <t>CHO</t>
        </is>
      </c>
      <c r="F801" s="1" t="n">
        <v>2.9975</v>
      </c>
      <c r="G801" s="1" t="n">
        <v>0.383471</v>
      </c>
    </row>
    <row r="802">
      <c r="A802" s="2" t="inlineStr">
        <is>
          <t>B8</t>
        </is>
      </c>
      <c r="B802" s="2" t="n">
        <v>20</v>
      </c>
      <c r="C802" s="2">
        <f>_xlfn.XLOOKUP(B802,Results!$B$23:$B$119,Results!$D$23:$D$119)</f>
        <v/>
      </c>
      <c r="D802" s="2" t="n">
        <v>19</v>
      </c>
      <c r="E802" s="2" t="inlineStr">
        <is>
          <t>CHO</t>
        </is>
      </c>
      <c r="F802" s="2" t="n">
        <v>3.2748</v>
      </c>
      <c r="G802" s="2" t="n">
        <v>0.652115</v>
      </c>
    </row>
    <row r="803">
      <c r="A803" s="1" t="inlineStr">
        <is>
          <t>B8</t>
        </is>
      </c>
      <c r="B803" s="1" t="n">
        <v>20</v>
      </c>
      <c r="C803" s="2">
        <f>_xlfn.XLOOKUP(B803,Results!$B$23:$B$119,Results!$D$23:$D$119)</f>
        <v/>
      </c>
      <c r="D803" s="1" t="n">
        <v>20</v>
      </c>
      <c r="E803" s="1" t="inlineStr">
        <is>
          <t>CHO</t>
        </is>
      </c>
      <c r="F803" s="1" t="n">
        <v>3.6501</v>
      </c>
      <c r="G803" s="1" t="n">
        <v>1.01888</v>
      </c>
    </row>
    <row r="804">
      <c r="A804" s="2" t="inlineStr">
        <is>
          <t>B8</t>
        </is>
      </c>
      <c r="B804" s="2" t="n">
        <v>20</v>
      </c>
      <c r="C804" s="2">
        <f>_xlfn.XLOOKUP(B804,Results!$B$23:$B$119,Results!$D$23:$D$119)</f>
        <v/>
      </c>
      <c r="D804" s="2" t="n">
        <v>21</v>
      </c>
      <c r="E804" s="2" t="inlineStr">
        <is>
          <t>CHO</t>
        </is>
      </c>
      <c r="F804" s="2" t="n">
        <v>4.0908</v>
      </c>
      <c r="G804" s="2" t="n">
        <v>1.450913</v>
      </c>
    </row>
    <row r="805">
      <c r="A805" s="1" t="inlineStr">
        <is>
          <t>B8</t>
        </is>
      </c>
      <c r="B805" s="1" t="n">
        <v>20</v>
      </c>
      <c r="C805" s="2">
        <f>_xlfn.XLOOKUP(B805,Results!$B$23:$B$119,Results!$D$23:$D$119)</f>
        <v/>
      </c>
      <c r="D805" s="1" t="n">
        <v>22</v>
      </c>
      <c r="E805" s="1" t="inlineStr">
        <is>
          <t>CHO</t>
        </is>
      </c>
      <c r="F805" s="1" t="n">
        <v>4.5518</v>
      </c>
      <c r="G805" s="1" t="n">
        <v>1.903304</v>
      </c>
    </row>
    <row r="806">
      <c r="A806" s="2" t="inlineStr">
        <is>
          <t>B8</t>
        </is>
      </c>
      <c r="B806" s="2" t="n">
        <v>20</v>
      </c>
      <c r="C806" s="2">
        <f>_xlfn.XLOOKUP(B806,Results!$B$23:$B$119,Results!$D$23:$D$119)</f>
        <v/>
      </c>
      <c r="D806" s="2" t="n">
        <v>23</v>
      </c>
      <c r="E806" s="2" t="inlineStr">
        <is>
          <t>CHO</t>
        </is>
      </c>
      <c r="F806" s="2" t="n">
        <v>4.9912</v>
      </c>
      <c r="G806" s="2" t="n">
        <v>2.334136</v>
      </c>
    </row>
    <row r="807">
      <c r="A807" s="1" t="inlineStr">
        <is>
          <t>B8</t>
        </is>
      </c>
      <c r="B807" s="1" t="n">
        <v>20</v>
      </c>
      <c r="C807" s="2">
        <f>_xlfn.XLOOKUP(B807,Results!$B$23:$B$119,Results!$D$23:$D$119)</f>
        <v/>
      </c>
      <c r="D807" s="1" t="n">
        <v>24</v>
      </c>
      <c r="E807" s="1" t="inlineStr">
        <is>
          <t>CHO</t>
        </is>
      </c>
      <c r="F807" s="1" t="n">
        <v>5.39</v>
      </c>
      <c r="G807" s="1" t="n">
        <v>2.724281</v>
      </c>
    </row>
    <row r="808">
      <c r="A808" s="2" t="inlineStr">
        <is>
          <t>B8</t>
        </is>
      </c>
      <c r="B808" s="2" t="n">
        <v>20</v>
      </c>
      <c r="C808" s="2">
        <f>_xlfn.XLOOKUP(B808,Results!$B$23:$B$119,Results!$D$23:$D$119)</f>
        <v/>
      </c>
      <c r="D808" s="2" t="n">
        <v>25</v>
      </c>
      <c r="E808" s="2" t="inlineStr">
        <is>
          <t>CHO</t>
        </is>
      </c>
      <c r="F808" s="2" t="n">
        <v>5.7546</v>
      </c>
      <c r="G808" s="2" t="n">
        <v>3.080345</v>
      </c>
    </row>
    <row r="809">
      <c r="A809" s="1" t="inlineStr">
        <is>
          <t>B8</t>
        </is>
      </c>
      <c r="B809" s="1" t="n">
        <v>20</v>
      </c>
      <c r="C809" s="2">
        <f>_xlfn.XLOOKUP(B809,Results!$B$23:$B$119,Results!$D$23:$D$119)</f>
        <v/>
      </c>
      <c r="D809" s="1" t="n">
        <v>26</v>
      </c>
      <c r="E809" s="1" t="inlineStr">
        <is>
          <t>CHO</t>
        </is>
      </c>
      <c r="F809" s="1" t="n">
        <v>6.0749</v>
      </c>
      <c r="G809" s="1" t="n">
        <v>3.392021</v>
      </c>
    </row>
    <row r="810">
      <c r="A810" s="2" t="inlineStr">
        <is>
          <t>B8</t>
        </is>
      </c>
      <c r="B810" s="2" t="n">
        <v>20</v>
      </c>
      <c r="C810" s="2">
        <f>_xlfn.XLOOKUP(B810,Results!$B$23:$B$119,Results!$D$23:$D$119)</f>
        <v/>
      </c>
      <c r="D810" s="2" t="n">
        <v>27</v>
      </c>
      <c r="E810" s="2" t="inlineStr">
        <is>
          <t>CHO</t>
        </is>
      </c>
      <c r="F810" s="2" t="n">
        <v>6.3581</v>
      </c>
      <c r="G810" s="2" t="n">
        <v>3.66656</v>
      </c>
    </row>
    <row r="811">
      <c r="A811" s="1" t="inlineStr">
        <is>
          <t>B8</t>
        </is>
      </c>
      <c r="B811" s="1" t="n">
        <v>20</v>
      </c>
      <c r="C811" s="2">
        <f>_xlfn.XLOOKUP(B811,Results!$B$23:$B$119,Results!$D$23:$D$119)</f>
        <v/>
      </c>
      <c r="D811" s="1" t="n">
        <v>28</v>
      </c>
      <c r="E811" s="1" t="inlineStr">
        <is>
          <t>CHO</t>
        </is>
      </c>
      <c r="F811" s="1" t="n">
        <v>6.602</v>
      </c>
      <c r="G811" s="1" t="n">
        <v>3.901885</v>
      </c>
    </row>
    <row r="812">
      <c r="A812" s="2" t="inlineStr">
        <is>
          <t>B8</t>
        </is>
      </c>
      <c r="B812" s="2" t="n">
        <v>20</v>
      </c>
      <c r="C812" s="2">
        <f>_xlfn.XLOOKUP(B812,Results!$B$23:$B$119,Results!$D$23:$D$119)</f>
        <v/>
      </c>
      <c r="D812" s="2" t="n">
        <v>29</v>
      </c>
      <c r="E812" s="2" t="inlineStr">
        <is>
          <t>CHO</t>
        </is>
      </c>
      <c r="F812" s="2" t="n">
        <v>6.8186</v>
      </c>
      <c r="G812" s="2" t="n">
        <v>4.10989</v>
      </c>
    </row>
    <row r="813">
      <c r="A813" s="1" t="inlineStr">
        <is>
          <t>B8</t>
        </is>
      </c>
      <c r="B813" s="1" t="n">
        <v>20</v>
      </c>
      <c r="C813" s="2">
        <f>_xlfn.XLOOKUP(B813,Results!$B$23:$B$119,Results!$D$23:$D$119)</f>
        <v/>
      </c>
      <c r="D813" s="1" t="n">
        <v>30</v>
      </c>
      <c r="E813" s="1" t="inlineStr">
        <is>
          <t>CHO</t>
        </is>
      </c>
      <c r="F813" s="1" t="n">
        <v>7.0093</v>
      </c>
      <c r="G813" s="1" t="n">
        <v>4.291918</v>
      </c>
    </row>
    <row r="814">
      <c r="A814" s="2" t="inlineStr">
        <is>
          <t>B8</t>
        </is>
      </c>
      <c r="B814" s="2" t="n">
        <v>20</v>
      </c>
      <c r="C814" s="2">
        <f>_xlfn.XLOOKUP(B814,Results!$B$23:$B$119,Results!$D$23:$D$119)</f>
        <v/>
      </c>
      <c r="D814" s="2" t="n">
        <v>31</v>
      </c>
      <c r="E814" s="2" t="inlineStr">
        <is>
          <t>CHO</t>
        </is>
      </c>
      <c r="F814" s="2" t="n">
        <v>7.1868</v>
      </c>
      <c r="G814" s="2" t="n">
        <v>4.46082</v>
      </c>
    </row>
    <row r="815">
      <c r="A815" s="1" t="inlineStr">
        <is>
          <t>B8</t>
        </is>
      </c>
      <c r="B815" s="1" t="n">
        <v>20</v>
      </c>
      <c r="C815" s="2">
        <f>_xlfn.XLOOKUP(B815,Results!$B$23:$B$119,Results!$D$23:$D$119)</f>
        <v/>
      </c>
      <c r="D815" s="1" t="n">
        <v>32</v>
      </c>
      <c r="E815" s="1" t="inlineStr">
        <is>
          <t>CHO</t>
        </is>
      </c>
      <c r="F815" s="1" t="n">
        <v>7.3316</v>
      </c>
      <c r="G815" s="1" t="n">
        <v>4.59702</v>
      </c>
    </row>
    <row r="816">
      <c r="A816" s="2" t="inlineStr">
        <is>
          <t>B8</t>
        </is>
      </c>
      <c r="B816" s="2" t="n">
        <v>20</v>
      </c>
      <c r="C816" s="2">
        <f>_xlfn.XLOOKUP(B816,Results!$B$23:$B$119,Results!$D$23:$D$119)</f>
        <v/>
      </c>
      <c r="D816" s="2" t="n">
        <v>33</v>
      </c>
      <c r="E816" s="2" t="inlineStr">
        <is>
          <t>CHO</t>
        </is>
      </c>
      <c r="F816" s="2" t="n">
        <v>7.4416</v>
      </c>
      <c r="G816" s="2" t="n">
        <v>4.698415</v>
      </c>
    </row>
    <row r="817">
      <c r="A817" s="1" t="inlineStr">
        <is>
          <t>B8</t>
        </is>
      </c>
      <c r="B817" s="1" t="n">
        <v>20</v>
      </c>
      <c r="C817" s="2">
        <f>_xlfn.XLOOKUP(B817,Results!$B$23:$B$119,Results!$D$23:$D$119)</f>
        <v/>
      </c>
      <c r="D817" s="1" t="n">
        <v>34</v>
      </c>
      <c r="E817" s="1" t="inlineStr">
        <is>
          <t>CHO</t>
        </is>
      </c>
      <c r="F817" s="1" t="n">
        <v>7.5565</v>
      </c>
      <c r="G817" s="1" t="n">
        <v>4.804718</v>
      </c>
    </row>
    <row r="818">
      <c r="A818" s="2" t="inlineStr">
        <is>
          <t>B8</t>
        </is>
      </c>
      <c r="B818" s="2" t="n">
        <v>20</v>
      </c>
      <c r="C818" s="2">
        <f>_xlfn.XLOOKUP(B818,Results!$B$23:$B$119,Results!$D$23:$D$119)</f>
        <v/>
      </c>
      <c r="D818" s="2" t="n">
        <v>35</v>
      </c>
      <c r="E818" s="2" t="inlineStr">
        <is>
          <t>CHO</t>
        </is>
      </c>
      <c r="F818" s="2" t="n">
        <v>7.6563</v>
      </c>
      <c r="G818" s="2" t="n">
        <v>4.895888</v>
      </c>
    </row>
    <row r="819">
      <c r="A819" s="1" t="inlineStr">
        <is>
          <t>B8</t>
        </is>
      </c>
      <c r="B819" s="1" t="n">
        <v>20</v>
      </c>
      <c r="C819" s="2">
        <f>_xlfn.XLOOKUP(B819,Results!$B$23:$B$119,Results!$D$23:$D$119)</f>
        <v/>
      </c>
      <c r="D819" s="1" t="n">
        <v>36</v>
      </c>
      <c r="E819" s="1" t="inlineStr">
        <is>
          <t>CHO</t>
        </is>
      </c>
      <c r="F819" s="1" t="n">
        <v>7.76</v>
      </c>
      <c r="G819" s="1" t="n">
        <v>4.990999</v>
      </c>
    </row>
    <row r="820">
      <c r="A820" s="2" t="inlineStr">
        <is>
          <t>B8</t>
        </is>
      </c>
      <c r="B820" s="2" t="n">
        <v>20</v>
      </c>
      <c r="C820" s="2">
        <f>_xlfn.XLOOKUP(B820,Results!$B$23:$B$119,Results!$D$23:$D$119)</f>
        <v/>
      </c>
      <c r="D820" s="2" t="n">
        <v>37</v>
      </c>
      <c r="E820" s="2" t="inlineStr">
        <is>
          <t>CHO</t>
        </is>
      </c>
      <c r="F820" s="2" t="n">
        <v>7.823</v>
      </c>
      <c r="G820" s="2" t="n">
        <v>5.045397</v>
      </c>
    </row>
    <row r="821">
      <c r="A821" s="1" t="inlineStr">
        <is>
          <t>B8</t>
        </is>
      </c>
      <c r="B821" s="1" t="n">
        <v>20</v>
      </c>
      <c r="C821" s="2">
        <f>_xlfn.XLOOKUP(B821,Results!$B$23:$B$119,Results!$D$23:$D$119)</f>
        <v/>
      </c>
      <c r="D821" s="1" t="n">
        <v>38</v>
      </c>
      <c r="E821" s="1" t="inlineStr">
        <is>
          <t>CHO</t>
        </is>
      </c>
      <c r="F821" s="1" t="n">
        <v>7.9048</v>
      </c>
      <c r="G821" s="1" t="n">
        <v>5.11855</v>
      </c>
    </row>
    <row r="822">
      <c r="A822" s="2" t="inlineStr">
        <is>
          <t>B8</t>
        </is>
      </c>
      <c r="B822" s="2" t="n">
        <v>20</v>
      </c>
      <c r="C822" s="2">
        <f>_xlfn.XLOOKUP(B822,Results!$B$23:$B$119,Results!$D$23:$D$119)</f>
        <v/>
      </c>
      <c r="D822" s="2" t="n">
        <v>39</v>
      </c>
      <c r="E822" s="2" t="inlineStr">
        <is>
          <t>CHO</t>
        </is>
      </c>
      <c r="F822" s="2" t="n">
        <v>7.9757</v>
      </c>
      <c r="G822" s="2" t="n">
        <v>5.180885</v>
      </c>
    </row>
    <row r="823">
      <c r="A823" s="1" t="inlineStr">
        <is>
          <t>B8</t>
        </is>
      </c>
      <c r="B823" s="1" t="n">
        <v>20</v>
      </c>
      <c r="C823" s="2">
        <f>_xlfn.XLOOKUP(B823,Results!$B$23:$B$119,Results!$D$23:$D$119)</f>
        <v/>
      </c>
      <c r="D823" s="1" t="n">
        <v>40</v>
      </c>
      <c r="E823" s="1" t="inlineStr">
        <is>
          <t>CHO</t>
        </is>
      </c>
      <c r="F823" s="1" t="n">
        <v>8.0184</v>
      </c>
      <c r="G823" s="1" t="n">
        <v>5.214911</v>
      </c>
    </row>
    <row r="824">
      <c r="A824" s="2" t="inlineStr">
        <is>
          <t>B9</t>
        </is>
      </c>
      <c r="B824" s="2" t="n">
        <v>21</v>
      </c>
      <c r="C824" s="2">
        <f>_xlfn.XLOOKUP(B824,Results!$B$23:$B$119,Results!$D$23:$D$119)</f>
        <v/>
      </c>
      <c r="D824" s="2" t="n">
        <v>1</v>
      </c>
      <c r="E824" s="2" t="inlineStr">
        <is>
          <t>CHO</t>
        </is>
      </c>
      <c r="F824" s="2" t="n">
        <v>2.4032</v>
      </c>
      <c r="G824" s="2" t="n">
        <v>0.011291</v>
      </c>
    </row>
    <row r="825">
      <c r="A825" s="1" t="inlineStr">
        <is>
          <t>B9</t>
        </is>
      </c>
      <c r="B825" s="1" t="n">
        <v>21</v>
      </c>
      <c r="C825" s="2">
        <f>_xlfn.XLOOKUP(B825,Results!$B$23:$B$119,Results!$D$23:$D$119)</f>
        <v/>
      </c>
      <c r="D825" s="1" t="n">
        <v>2</v>
      </c>
      <c r="E825" s="1" t="inlineStr">
        <is>
          <t>CHO</t>
        </is>
      </c>
      <c r="F825" s="1" t="n">
        <v>2.3991</v>
      </c>
      <c r="G825" s="1" t="n">
        <v>0.000734</v>
      </c>
    </row>
    <row r="826">
      <c r="A826" s="2" t="inlineStr">
        <is>
          <t>B9</t>
        </is>
      </c>
      <c r="B826" s="2" t="n">
        <v>21</v>
      </c>
      <c r="C826" s="2">
        <f>_xlfn.XLOOKUP(B826,Results!$B$23:$B$119,Results!$D$23:$D$119)</f>
        <v/>
      </c>
      <c r="D826" s="2" t="n">
        <v>3</v>
      </c>
      <c r="E826" s="2" t="inlineStr">
        <is>
          <t>CHO</t>
        </is>
      </c>
      <c r="F826" s="2" t="n">
        <v>2.4035</v>
      </c>
      <c r="G826" s="2" t="n">
        <v>-0.001359</v>
      </c>
    </row>
    <row r="827">
      <c r="A827" s="1" t="inlineStr">
        <is>
          <t>B9</t>
        </is>
      </c>
      <c r="B827" s="1" t="n">
        <v>21</v>
      </c>
      <c r="C827" s="2">
        <f>_xlfn.XLOOKUP(B827,Results!$B$23:$B$119,Results!$D$23:$D$119)</f>
        <v/>
      </c>
      <c r="D827" s="1" t="n">
        <v>4</v>
      </c>
      <c r="E827" s="1" t="inlineStr">
        <is>
          <t>CHO</t>
        </is>
      </c>
      <c r="F827" s="1" t="n">
        <v>2.4133</v>
      </c>
      <c r="G827" s="1" t="n">
        <v>0.002027</v>
      </c>
    </row>
    <row r="828">
      <c r="A828" s="2" t="inlineStr">
        <is>
          <t>B9</t>
        </is>
      </c>
      <c r="B828" s="2" t="n">
        <v>21</v>
      </c>
      <c r="C828" s="2">
        <f>_xlfn.XLOOKUP(B828,Results!$B$23:$B$119,Results!$D$23:$D$119)</f>
        <v/>
      </c>
      <c r="D828" s="2" t="n">
        <v>5</v>
      </c>
      <c r="E828" s="2" t="inlineStr">
        <is>
          <t>CHO</t>
        </is>
      </c>
      <c r="F828" s="2" t="n">
        <v>2.4184</v>
      </c>
      <c r="G828" s="2" t="n">
        <v>0.000706</v>
      </c>
    </row>
    <row r="829">
      <c r="A829" s="1" t="inlineStr">
        <is>
          <t>B9</t>
        </is>
      </c>
      <c r="B829" s="1" t="n">
        <v>21</v>
      </c>
      <c r="C829" s="2">
        <f>_xlfn.XLOOKUP(B829,Results!$B$23:$B$119,Results!$D$23:$D$119)</f>
        <v/>
      </c>
      <c r="D829" s="1" t="n">
        <v>6</v>
      </c>
      <c r="E829" s="1" t="inlineStr">
        <is>
          <t>CHO</t>
        </is>
      </c>
      <c r="F829" s="1" t="n">
        <v>2.4263</v>
      </c>
      <c r="G829" s="1" t="n">
        <v>0.00219</v>
      </c>
    </row>
    <row r="830">
      <c r="A830" s="2" t="inlineStr">
        <is>
          <t>B9</t>
        </is>
      </c>
      <c r="B830" s="2" t="n">
        <v>21</v>
      </c>
      <c r="C830" s="2">
        <f>_xlfn.XLOOKUP(B830,Results!$B$23:$B$119,Results!$D$23:$D$119)</f>
        <v/>
      </c>
      <c r="D830" s="2" t="n">
        <v>7</v>
      </c>
      <c r="E830" s="2" t="inlineStr">
        <is>
          <t>CHO</t>
        </is>
      </c>
      <c r="F830" s="2" t="n">
        <v>2.4307</v>
      </c>
      <c r="G830" s="2" t="n">
        <v>0.000148</v>
      </c>
    </row>
    <row r="831">
      <c r="A831" s="1" t="inlineStr">
        <is>
          <t>B9</t>
        </is>
      </c>
      <c r="B831" s="1" t="n">
        <v>21</v>
      </c>
      <c r="C831" s="2">
        <f>_xlfn.XLOOKUP(B831,Results!$B$23:$B$119,Results!$D$23:$D$119)</f>
        <v/>
      </c>
      <c r="D831" s="1" t="n">
        <v>8</v>
      </c>
      <c r="E831" s="1" t="inlineStr">
        <is>
          <t>CHO</t>
        </is>
      </c>
      <c r="F831" s="1" t="n">
        <v>2.4348</v>
      </c>
      <c r="G831" s="1" t="n">
        <v>-0.002175</v>
      </c>
    </row>
    <row r="832">
      <c r="A832" s="2" t="inlineStr">
        <is>
          <t>B9</t>
        </is>
      </c>
      <c r="B832" s="2" t="n">
        <v>21</v>
      </c>
      <c r="C832" s="2">
        <f>_xlfn.XLOOKUP(B832,Results!$B$23:$B$119,Results!$D$23:$D$119)</f>
        <v/>
      </c>
      <c r="D832" s="2" t="n">
        <v>9</v>
      </c>
      <c r="E832" s="2" t="inlineStr">
        <is>
          <t>CHO</t>
        </is>
      </c>
      <c r="F832" s="2" t="n">
        <v>2.4403</v>
      </c>
      <c r="G832" s="2" t="n">
        <v>-0.003166</v>
      </c>
    </row>
    <row r="833">
      <c r="A833" s="1" t="inlineStr">
        <is>
          <t>B9</t>
        </is>
      </c>
      <c r="B833" s="1" t="n">
        <v>21</v>
      </c>
      <c r="C833" s="2">
        <f>_xlfn.XLOOKUP(B833,Results!$B$23:$B$119,Results!$D$23:$D$119)</f>
        <v/>
      </c>
      <c r="D833" s="1" t="n">
        <v>10</v>
      </c>
      <c r="E833" s="1" t="inlineStr">
        <is>
          <t>CHO</t>
        </is>
      </c>
      <c r="F833" s="1" t="n">
        <v>2.4475</v>
      </c>
      <c r="G833" s="1" t="n">
        <v>-0.002405</v>
      </c>
    </row>
    <row r="834">
      <c r="A834" s="2" t="inlineStr">
        <is>
          <t>B9</t>
        </is>
      </c>
      <c r="B834" s="2" t="n">
        <v>21</v>
      </c>
      <c r="C834" s="2">
        <f>_xlfn.XLOOKUP(B834,Results!$B$23:$B$119,Results!$D$23:$D$119)</f>
        <v/>
      </c>
      <c r="D834" s="2" t="n">
        <v>11</v>
      </c>
      <c r="E834" s="2" t="inlineStr">
        <is>
          <t>CHO</t>
        </is>
      </c>
      <c r="F834" s="2" t="n">
        <v>2.4565</v>
      </c>
      <c r="G834" s="2" t="n">
        <v>0.000198</v>
      </c>
    </row>
    <row r="835">
      <c r="A835" s="1" t="inlineStr">
        <is>
          <t>B9</t>
        </is>
      </c>
      <c r="B835" s="1" t="n">
        <v>21</v>
      </c>
      <c r="C835" s="2">
        <f>_xlfn.XLOOKUP(B835,Results!$B$23:$B$119,Results!$D$23:$D$119)</f>
        <v/>
      </c>
      <c r="D835" s="1" t="n">
        <v>12</v>
      </c>
      <c r="E835" s="1" t="inlineStr">
        <is>
          <t>CHO</t>
        </is>
      </c>
      <c r="F835" s="1" t="n">
        <v>2.4666</v>
      </c>
      <c r="G835" s="1" t="n">
        <v>0.003836</v>
      </c>
    </row>
    <row r="836">
      <c r="A836" s="2" t="inlineStr">
        <is>
          <t>B9</t>
        </is>
      </c>
      <c r="B836" s="2" t="n">
        <v>21</v>
      </c>
      <c r="C836" s="2">
        <f>_xlfn.XLOOKUP(B836,Results!$B$23:$B$119,Results!$D$23:$D$119)</f>
        <v/>
      </c>
      <c r="D836" s="2" t="n">
        <v>13</v>
      </c>
      <c r="E836" s="2" t="inlineStr">
        <is>
          <t>CHO</t>
        </is>
      </c>
      <c r="F836" s="2" t="n">
        <v>2.4791</v>
      </c>
      <c r="G836" s="2" t="n">
        <v>0.009875</v>
      </c>
    </row>
    <row r="837">
      <c r="A837" s="1" t="inlineStr">
        <is>
          <t>B9</t>
        </is>
      </c>
      <c r="B837" s="1" t="n">
        <v>21</v>
      </c>
      <c r="C837" s="2">
        <f>_xlfn.XLOOKUP(B837,Results!$B$23:$B$119,Results!$D$23:$D$119)</f>
        <v/>
      </c>
      <c r="D837" s="1" t="n">
        <v>14</v>
      </c>
      <c r="E837" s="1" t="inlineStr">
        <is>
          <t>CHO</t>
        </is>
      </c>
      <c r="F837" s="1" t="n">
        <v>2.5018</v>
      </c>
      <c r="G837" s="1" t="n">
        <v>0.026157</v>
      </c>
    </row>
    <row r="838">
      <c r="A838" s="2" t="inlineStr">
        <is>
          <t>B9</t>
        </is>
      </c>
      <c r="B838" s="2" t="n">
        <v>21</v>
      </c>
      <c r="C838" s="2">
        <f>_xlfn.XLOOKUP(B838,Results!$B$23:$B$119,Results!$D$23:$D$119)</f>
        <v/>
      </c>
      <c r="D838" s="2" t="n">
        <v>15</v>
      </c>
      <c r="E838" s="2" t="inlineStr">
        <is>
          <t>CHO</t>
        </is>
      </c>
      <c r="F838" s="2" t="n">
        <v>2.5336</v>
      </c>
      <c r="G838" s="2" t="n">
        <v>0.051568</v>
      </c>
    </row>
    <row r="839">
      <c r="A839" s="1" t="inlineStr">
        <is>
          <t>B9</t>
        </is>
      </c>
      <c r="B839" s="1" t="n">
        <v>21</v>
      </c>
      <c r="C839" s="2">
        <f>_xlfn.XLOOKUP(B839,Results!$B$23:$B$119,Results!$D$23:$D$119)</f>
        <v/>
      </c>
      <c r="D839" s="1" t="n">
        <v>16</v>
      </c>
      <c r="E839" s="1" t="inlineStr">
        <is>
          <t>CHO</t>
        </is>
      </c>
      <c r="F839" s="1" t="n">
        <v>2.595</v>
      </c>
      <c r="G839" s="1" t="n">
        <v>0.106446</v>
      </c>
    </row>
    <row r="840">
      <c r="A840" s="2" t="inlineStr">
        <is>
          <t>B9</t>
        </is>
      </c>
      <c r="B840" s="2" t="n">
        <v>21</v>
      </c>
      <c r="C840" s="2">
        <f>_xlfn.XLOOKUP(B840,Results!$B$23:$B$119,Results!$D$23:$D$119)</f>
        <v/>
      </c>
      <c r="D840" s="2" t="n">
        <v>17</v>
      </c>
      <c r="E840" s="2" t="inlineStr">
        <is>
          <t>CHO</t>
        </is>
      </c>
      <c r="F840" s="2" t="n">
        <v>2.6999</v>
      </c>
      <c r="G840" s="2" t="n">
        <v>0.204934</v>
      </c>
    </row>
    <row r="841">
      <c r="A841" s="1" t="inlineStr">
        <is>
          <t>B9</t>
        </is>
      </c>
      <c r="B841" s="1" t="n">
        <v>21</v>
      </c>
      <c r="C841" s="2">
        <f>_xlfn.XLOOKUP(B841,Results!$B$23:$B$119,Results!$D$23:$D$119)</f>
        <v/>
      </c>
      <c r="D841" s="1" t="n">
        <v>18</v>
      </c>
      <c r="E841" s="1" t="inlineStr">
        <is>
          <t>CHO</t>
        </is>
      </c>
      <c r="F841" s="1" t="n">
        <v>2.8777</v>
      </c>
      <c r="G841" s="1" t="n">
        <v>0.376288</v>
      </c>
    </row>
    <row r="842">
      <c r="A842" s="2" t="inlineStr">
        <is>
          <t>B9</t>
        </is>
      </c>
      <c r="B842" s="2" t="n">
        <v>21</v>
      </c>
      <c r="C842" s="2">
        <f>_xlfn.XLOOKUP(B842,Results!$B$23:$B$119,Results!$D$23:$D$119)</f>
        <v/>
      </c>
      <c r="D842" s="2" t="n">
        <v>19</v>
      </c>
      <c r="E842" s="2" t="inlineStr">
        <is>
          <t>CHO</t>
        </is>
      </c>
      <c r="F842" s="2" t="n">
        <v>3.1432</v>
      </c>
      <c r="G842" s="2" t="n">
        <v>0.63541</v>
      </c>
    </row>
    <row r="843">
      <c r="A843" s="1" t="inlineStr">
        <is>
          <t>B9</t>
        </is>
      </c>
      <c r="B843" s="1" t="n">
        <v>21</v>
      </c>
      <c r="C843" s="2">
        <f>_xlfn.XLOOKUP(B843,Results!$B$23:$B$119,Results!$D$23:$D$119)</f>
        <v/>
      </c>
      <c r="D843" s="1" t="n">
        <v>20</v>
      </c>
      <c r="E843" s="1" t="inlineStr">
        <is>
          <t>CHO</t>
        </is>
      </c>
      <c r="F843" s="1" t="n">
        <v>3.4905</v>
      </c>
      <c r="G843" s="1" t="n">
        <v>0.976244</v>
      </c>
    </row>
    <row r="844">
      <c r="A844" s="2" t="inlineStr">
        <is>
          <t>B9</t>
        </is>
      </c>
      <c r="B844" s="2" t="n">
        <v>21</v>
      </c>
      <c r="C844" s="2">
        <f>_xlfn.XLOOKUP(B844,Results!$B$23:$B$119,Results!$D$23:$D$119)</f>
        <v/>
      </c>
      <c r="D844" s="2" t="n">
        <v>21</v>
      </c>
      <c r="E844" s="2" t="inlineStr">
        <is>
          <t>CHO</t>
        </is>
      </c>
      <c r="F844" s="2" t="n">
        <v>3.8969</v>
      </c>
      <c r="G844" s="2" t="n">
        <v>1.376171</v>
      </c>
    </row>
    <row r="845">
      <c r="A845" s="1" t="inlineStr">
        <is>
          <t>B9</t>
        </is>
      </c>
      <c r="B845" s="1" t="n">
        <v>21</v>
      </c>
      <c r="C845" s="2">
        <f>_xlfn.XLOOKUP(B845,Results!$B$23:$B$119,Results!$D$23:$D$119)</f>
        <v/>
      </c>
      <c r="D845" s="1" t="n">
        <v>22</v>
      </c>
      <c r="E845" s="1" t="inlineStr">
        <is>
          <t>CHO</t>
        </is>
      </c>
      <c r="F845" s="1" t="n">
        <v>4.3186</v>
      </c>
      <c r="G845" s="1" t="n">
        <v>1.791491</v>
      </c>
    </row>
    <row r="846">
      <c r="A846" s="2" t="inlineStr">
        <is>
          <t>B9</t>
        </is>
      </c>
      <c r="B846" s="2" t="n">
        <v>21</v>
      </c>
      <c r="C846" s="2">
        <f>_xlfn.XLOOKUP(B846,Results!$B$23:$B$119,Results!$D$23:$D$119)</f>
        <v/>
      </c>
      <c r="D846" s="2" t="n">
        <v>23</v>
      </c>
      <c r="E846" s="2" t="inlineStr">
        <is>
          <t>CHO</t>
        </is>
      </c>
      <c r="F846" s="2" t="n">
        <v>4.7395</v>
      </c>
      <c r="G846" s="2" t="n">
        <v>2.205933</v>
      </c>
    </row>
    <row r="847">
      <c r="A847" s="1" t="inlineStr">
        <is>
          <t>B9</t>
        </is>
      </c>
      <c r="B847" s="1" t="n">
        <v>21</v>
      </c>
      <c r="C847" s="2">
        <f>_xlfn.XLOOKUP(B847,Results!$B$23:$B$119,Results!$D$23:$D$119)</f>
        <v/>
      </c>
      <c r="D847" s="1" t="n">
        <v>24</v>
      </c>
      <c r="E847" s="1" t="inlineStr">
        <is>
          <t>CHO</t>
        </is>
      </c>
      <c r="F847" s="1" t="n">
        <v>5.1168</v>
      </c>
      <c r="G847" s="1" t="n">
        <v>2.57677</v>
      </c>
    </row>
    <row r="848">
      <c r="A848" s="2" t="inlineStr">
        <is>
          <t>B9</t>
        </is>
      </c>
      <c r="B848" s="2" t="n">
        <v>21</v>
      </c>
      <c r="C848" s="2">
        <f>_xlfn.XLOOKUP(B848,Results!$B$23:$B$119,Results!$D$23:$D$119)</f>
        <v/>
      </c>
      <c r="D848" s="2" t="n">
        <v>25</v>
      </c>
      <c r="E848" s="2" t="inlineStr">
        <is>
          <t>CHO</t>
        </is>
      </c>
      <c r="F848" s="2" t="n">
        <v>5.4505</v>
      </c>
      <c r="G848" s="2" t="n">
        <v>2.904014</v>
      </c>
    </row>
    <row r="849">
      <c r="A849" s="1" t="inlineStr">
        <is>
          <t>B9</t>
        </is>
      </c>
      <c r="B849" s="1" t="n">
        <v>21</v>
      </c>
      <c r="C849" s="2">
        <f>_xlfn.XLOOKUP(B849,Results!$B$23:$B$119,Results!$D$23:$D$119)</f>
        <v/>
      </c>
      <c r="D849" s="1" t="n">
        <v>26</v>
      </c>
      <c r="E849" s="1" t="inlineStr">
        <is>
          <t>CHO</t>
        </is>
      </c>
      <c r="F849" s="1" t="n">
        <v>5.7443</v>
      </c>
      <c r="G849" s="1" t="n">
        <v>3.191362</v>
      </c>
    </row>
    <row r="850">
      <c r="A850" s="2" t="inlineStr">
        <is>
          <t>B9</t>
        </is>
      </c>
      <c r="B850" s="2" t="n">
        <v>21</v>
      </c>
      <c r="C850" s="2">
        <f>_xlfn.XLOOKUP(B850,Results!$B$23:$B$119,Results!$D$23:$D$119)</f>
        <v/>
      </c>
      <c r="D850" s="2" t="n">
        <v>27</v>
      </c>
      <c r="E850" s="2" t="inlineStr">
        <is>
          <t>CHO</t>
        </is>
      </c>
      <c r="F850" s="2" t="n">
        <v>6.0043</v>
      </c>
      <c r="G850" s="2" t="n">
        <v>3.444957</v>
      </c>
    </row>
    <row r="851">
      <c r="A851" s="1" t="inlineStr">
        <is>
          <t>B9</t>
        </is>
      </c>
      <c r="B851" s="1" t="n">
        <v>21</v>
      </c>
      <c r="C851" s="2">
        <f>_xlfn.XLOOKUP(B851,Results!$B$23:$B$119,Results!$D$23:$D$119)</f>
        <v/>
      </c>
      <c r="D851" s="1" t="n">
        <v>28</v>
      </c>
      <c r="E851" s="1" t="inlineStr">
        <is>
          <t>CHO</t>
        </is>
      </c>
      <c r="F851" s="1" t="n">
        <v>6.2347</v>
      </c>
      <c r="G851" s="1" t="n">
        <v>3.668957</v>
      </c>
    </row>
    <row r="852">
      <c r="A852" s="2" t="inlineStr">
        <is>
          <t>B9</t>
        </is>
      </c>
      <c r="B852" s="2" t="n">
        <v>21</v>
      </c>
      <c r="C852" s="2">
        <f>_xlfn.XLOOKUP(B852,Results!$B$23:$B$119,Results!$D$23:$D$119)</f>
        <v/>
      </c>
      <c r="D852" s="2" t="n">
        <v>29</v>
      </c>
      <c r="E852" s="2" t="inlineStr">
        <is>
          <t>CHO</t>
        </is>
      </c>
      <c r="F852" s="2" t="n">
        <v>6.4307</v>
      </c>
      <c r="G852" s="2" t="n">
        <v>3.858491</v>
      </c>
    </row>
    <row r="853">
      <c r="A853" s="1" t="inlineStr">
        <is>
          <t>B9</t>
        </is>
      </c>
      <c r="B853" s="1" t="n">
        <v>21</v>
      </c>
      <c r="C853" s="2">
        <f>_xlfn.XLOOKUP(B853,Results!$B$23:$B$119,Results!$D$23:$D$119)</f>
        <v/>
      </c>
      <c r="D853" s="1" t="n">
        <v>30</v>
      </c>
      <c r="E853" s="1" t="inlineStr">
        <is>
          <t>CHO</t>
        </is>
      </c>
      <c r="F853" s="1" t="n">
        <v>6.617</v>
      </c>
      <c r="G853" s="1" t="n">
        <v>4.038384</v>
      </c>
    </row>
    <row r="854">
      <c r="A854" s="2" t="inlineStr">
        <is>
          <t>B9</t>
        </is>
      </c>
      <c r="B854" s="2" t="n">
        <v>21</v>
      </c>
      <c r="C854" s="2">
        <f>_xlfn.XLOOKUP(B854,Results!$B$23:$B$119,Results!$D$23:$D$119)</f>
        <v/>
      </c>
      <c r="D854" s="2" t="n">
        <v>31</v>
      </c>
      <c r="E854" s="2" t="inlineStr">
        <is>
          <t>CHO</t>
        </is>
      </c>
      <c r="F854" s="2" t="n">
        <v>6.7663</v>
      </c>
      <c r="G854" s="2" t="n">
        <v>4.181253</v>
      </c>
    </row>
    <row r="855">
      <c r="A855" s="1" t="inlineStr">
        <is>
          <t>B9</t>
        </is>
      </c>
      <c r="B855" s="1" t="n">
        <v>21</v>
      </c>
      <c r="C855" s="2">
        <f>_xlfn.XLOOKUP(B855,Results!$B$23:$B$119,Results!$D$23:$D$119)</f>
        <v/>
      </c>
      <c r="D855" s="1" t="n">
        <v>32</v>
      </c>
      <c r="E855" s="1" t="inlineStr">
        <is>
          <t>CHO</t>
        </is>
      </c>
      <c r="F855" s="1" t="n">
        <v>6.8969</v>
      </c>
      <c r="G855" s="1" t="n">
        <v>4.305334</v>
      </c>
    </row>
    <row r="856">
      <c r="A856" s="2" t="inlineStr">
        <is>
          <t>B9</t>
        </is>
      </c>
      <c r="B856" s="2" t="n">
        <v>21</v>
      </c>
      <c r="C856" s="2">
        <f>_xlfn.XLOOKUP(B856,Results!$B$23:$B$119,Results!$D$23:$D$119)</f>
        <v/>
      </c>
      <c r="D856" s="2" t="n">
        <v>33</v>
      </c>
      <c r="E856" s="2" t="inlineStr">
        <is>
          <t>CHO</t>
        </is>
      </c>
      <c r="F856" s="2" t="n">
        <v>7.0264</v>
      </c>
      <c r="G856" s="2" t="n">
        <v>4.428446</v>
      </c>
    </row>
    <row r="857">
      <c r="A857" s="1" t="inlineStr">
        <is>
          <t>B9</t>
        </is>
      </c>
      <c r="B857" s="1" t="n">
        <v>21</v>
      </c>
      <c r="C857" s="2">
        <f>_xlfn.XLOOKUP(B857,Results!$B$23:$B$119,Results!$D$23:$D$119)</f>
        <v/>
      </c>
      <c r="D857" s="1" t="n">
        <v>34</v>
      </c>
      <c r="E857" s="1" t="inlineStr">
        <is>
          <t>CHO</t>
        </is>
      </c>
      <c r="F857" s="1" t="n">
        <v>7.1263</v>
      </c>
      <c r="G857" s="1" t="n">
        <v>4.521887</v>
      </c>
    </row>
    <row r="858">
      <c r="A858" s="2" t="inlineStr">
        <is>
          <t>B9</t>
        </is>
      </c>
      <c r="B858" s="2" t="n">
        <v>21</v>
      </c>
      <c r="C858" s="2">
        <f>_xlfn.XLOOKUP(B858,Results!$B$23:$B$119,Results!$D$23:$D$119)</f>
        <v/>
      </c>
      <c r="D858" s="2" t="n">
        <v>35</v>
      </c>
      <c r="E858" s="2" t="inlineStr">
        <is>
          <t>CHO</t>
        </is>
      </c>
      <c r="F858" s="2" t="n">
        <v>7.2288</v>
      </c>
      <c r="G858" s="2" t="n">
        <v>4.618012</v>
      </c>
    </row>
    <row r="859">
      <c r="A859" s="1" t="inlineStr">
        <is>
          <t>B9</t>
        </is>
      </c>
      <c r="B859" s="1" t="n">
        <v>21</v>
      </c>
      <c r="C859" s="2">
        <f>_xlfn.XLOOKUP(B859,Results!$B$23:$B$119,Results!$D$23:$D$119)</f>
        <v/>
      </c>
      <c r="D859" s="1" t="n">
        <v>36</v>
      </c>
      <c r="E859" s="1" t="inlineStr">
        <is>
          <t>CHO</t>
        </is>
      </c>
      <c r="F859" s="1" t="n">
        <v>7.3516</v>
      </c>
      <c r="G859" s="1" t="n">
        <v>4.734323</v>
      </c>
    </row>
    <row r="860">
      <c r="A860" s="2" t="inlineStr">
        <is>
          <t>B9</t>
        </is>
      </c>
      <c r="B860" s="2" t="n">
        <v>21</v>
      </c>
      <c r="C860" s="2">
        <f>_xlfn.XLOOKUP(B860,Results!$B$23:$B$119,Results!$D$23:$D$119)</f>
        <v/>
      </c>
      <c r="D860" s="2" t="n">
        <v>37</v>
      </c>
      <c r="E860" s="2" t="inlineStr">
        <is>
          <t>CHO</t>
        </is>
      </c>
      <c r="F860" s="2" t="n">
        <v>7.3886</v>
      </c>
      <c r="G860" s="2" t="n">
        <v>4.764893</v>
      </c>
    </row>
    <row r="861">
      <c r="A861" s="1" t="inlineStr">
        <is>
          <t>B9</t>
        </is>
      </c>
      <c r="B861" s="1" t="n">
        <v>21</v>
      </c>
      <c r="C861" s="2">
        <f>_xlfn.XLOOKUP(B861,Results!$B$23:$B$119,Results!$D$23:$D$119)</f>
        <v/>
      </c>
      <c r="D861" s="1" t="n">
        <v>38</v>
      </c>
      <c r="E861" s="1" t="inlineStr">
        <is>
          <t>CHO</t>
        </is>
      </c>
      <c r="F861" s="1" t="n">
        <v>7.441</v>
      </c>
      <c r="G861" s="1" t="n">
        <v>4.810811</v>
      </c>
    </row>
    <row r="862">
      <c r="A862" s="2" t="inlineStr">
        <is>
          <t>B9</t>
        </is>
      </c>
      <c r="B862" s="2" t="n">
        <v>21</v>
      </c>
      <c r="C862" s="2">
        <f>_xlfn.XLOOKUP(B862,Results!$B$23:$B$119,Results!$D$23:$D$119)</f>
        <v/>
      </c>
      <c r="D862" s="2" t="n">
        <v>39</v>
      </c>
      <c r="E862" s="2" t="inlineStr">
        <is>
          <t>CHO</t>
        </is>
      </c>
      <c r="F862" s="2" t="n">
        <v>7.4885</v>
      </c>
      <c r="G862" s="2" t="n">
        <v>4.851936</v>
      </c>
    </row>
    <row r="863">
      <c r="A863" s="1" t="inlineStr">
        <is>
          <t>B9</t>
        </is>
      </c>
      <c r="B863" s="1" t="n">
        <v>21</v>
      </c>
      <c r="C863" s="2">
        <f>_xlfn.XLOOKUP(B863,Results!$B$23:$B$119,Results!$D$23:$D$119)</f>
        <v/>
      </c>
      <c r="D863" s="1" t="n">
        <v>40</v>
      </c>
      <c r="E863" s="1" t="inlineStr">
        <is>
          <t>CHO</t>
        </is>
      </c>
      <c r="F863" s="1" t="n">
        <v>7.5526</v>
      </c>
      <c r="G863" s="1" t="n">
        <v>4.909571</v>
      </c>
    </row>
    <row r="864">
      <c r="A864" s="2" t="inlineStr">
        <is>
          <t>B10</t>
        </is>
      </c>
      <c r="B864" s="2" t="n">
        <v>22</v>
      </c>
      <c r="C864" s="2">
        <f>_xlfn.XLOOKUP(B864,Results!$B$23:$B$119,Results!$D$23:$D$119)</f>
        <v/>
      </c>
      <c r="D864" s="2" t="n">
        <v>1</v>
      </c>
      <c r="E864" s="2" t="inlineStr">
        <is>
          <t>CHO</t>
        </is>
      </c>
      <c r="F864" s="2" t="n">
        <v>2.2788</v>
      </c>
      <c r="G864" s="2" t="n">
        <v>0.006999</v>
      </c>
    </row>
    <row r="865">
      <c r="A865" s="1" t="inlineStr">
        <is>
          <t>B10</t>
        </is>
      </c>
      <c r="B865" s="1" t="n">
        <v>22</v>
      </c>
      <c r="C865" s="2">
        <f>_xlfn.XLOOKUP(B865,Results!$B$23:$B$119,Results!$D$23:$D$119)</f>
        <v/>
      </c>
      <c r="D865" s="1" t="n">
        <v>2</v>
      </c>
      <c r="E865" s="1" t="inlineStr">
        <is>
          <t>CHO</t>
        </is>
      </c>
      <c r="F865" s="1" t="n">
        <v>2.2814</v>
      </c>
      <c r="G865" s="1" t="n">
        <v>0.003758</v>
      </c>
    </row>
    <row r="866">
      <c r="A866" s="2" t="inlineStr">
        <is>
          <t>B10</t>
        </is>
      </c>
      <c r="B866" s="2" t="n">
        <v>22</v>
      </c>
      <c r="C866" s="2">
        <f>_xlfn.XLOOKUP(B866,Results!$B$23:$B$119,Results!$D$23:$D$119)</f>
        <v/>
      </c>
      <c r="D866" s="2" t="n">
        <v>3</v>
      </c>
      <c r="E866" s="2" t="inlineStr">
        <is>
          <t>CHO</t>
        </is>
      </c>
      <c r="F866" s="2" t="n">
        <v>2.284</v>
      </c>
      <c r="G866" s="2" t="n">
        <v>0.000603</v>
      </c>
    </row>
    <row r="867">
      <c r="A867" s="1" t="inlineStr">
        <is>
          <t>B10</t>
        </is>
      </c>
      <c r="B867" s="1" t="n">
        <v>22</v>
      </c>
      <c r="C867" s="2">
        <f>_xlfn.XLOOKUP(B867,Results!$B$23:$B$119,Results!$D$23:$D$119)</f>
        <v/>
      </c>
      <c r="D867" s="1" t="n">
        <v>4</v>
      </c>
      <c r="E867" s="1" t="inlineStr">
        <is>
          <t>CHO</t>
        </is>
      </c>
      <c r="F867" s="1" t="n">
        <v>2.2904</v>
      </c>
      <c r="G867" s="1" t="n">
        <v>0.001295</v>
      </c>
    </row>
    <row r="868">
      <c r="A868" s="2" t="inlineStr">
        <is>
          <t>B10</t>
        </is>
      </c>
      <c r="B868" s="2" t="n">
        <v>22</v>
      </c>
      <c r="C868" s="2">
        <f>_xlfn.XLOOKUP(B868,Results!$B$23:$B$119,Results!$D$23:$D$119)</f>
        <v/>
      </c>
      <c r="D868" s="2" t="n">
        <v>5</v>
      </c>
      <c r="E868" s="2" t="inlineStr">
        <is>
          <t>CHO</t>
        </is>
      </c>
      <c r="F868" s="2" t="n">
        <v>2.2949</v>
      </c>
      <c r="G868" s="2" t="n">
        <v>-7.9e-05</v>
      </c>
    </row>
    <row r="869">
      <c r="A869" s="1" t="inlineStr">
        <is>
          <t>B10</t>
        </is>
      </c>
      <c r="B869" s="1" t="n">
        <v>22</v>
      </c>
      <c r="C869" s="2">
        <f>_xlfn.XLOOKUP(B869,Results!$B$23:$B$119,Results!$D$23:$D$119)</f>
        <v/>
      </c>
      <c r="D869" s="1" t="n">
        <v>6</v>
      </c>
      <c r="E869" s="1" t="inlineStr">
        <is>
          <t>CHO</t>
        </is>
      </c>
      <c r="F869" s="1" t="n">
        <v>2.2988</v>
      </c>
      <c r="G869" s="1" t="n">
        <v>-0.001872</v>
      </c>
    </row>
    <row r="870">
      <c r="A870" s="2" t="inlineStr">
        <is>
          <t>B10</t>
        </is>
      </c>
      <c r="B870" s="2" t="n">
        <v>22</v>
      </c>
      <c r="C870" s="2">
        <f>_xlfn.XLOOKUP(B870,Results!$B$23:$B$119,Results!$D$23:$D$119)</f>
        <v/>
      </c>
      <c r="D870" s="2" t="n">
        <v>7</v>
      </c>
      <c r="E870" s="2" t="inlineStr">
        <is>
          <t>CHO</t>
        </is>
      </c>
      <c r="F870" s="2" t="n">
        <v>2.3064</v>
      </c>
      <c r="G870" s="2" t="n">
        <v>-9.000000000000001e-05</v>
      </c>
    </row>
    <row r="871">
      <c r="A871" s="1" t="inlineStr">
        <is>
          <t>B10</t>
        </is>
      </c>
      <c r="B871" s="1" t="n">
        <v>22</v>
      </c>
      <c r="C871" s="2">
        <f>_xlfn.XLOOKUP(B871,Results!$B$23:$B$119,Results!$D$23:$D$119)</f>
        <v/>
      </c>
      <c r="D871" s="1" t="n">
        <v>8</v>
      </c>
      <c r="E871" s="1" t="inlineStr">
        <is>
          <t>CHO</t>
        </is>
      </c>
      <c r="F871" s="1" t="n">
        <v>2.3109</v>
      </c>
      <c r="G871" s="1" t="n">
        <v>-0.00133</v>
      </c>
    </row>
    <row r="872">
      <c r="A872" s="2" t="inlineStr">
        <is>
          <t>B10</t>
        </is>
      </c>
      <c r="B872" s="2" t="n">
        <v>22</v>
      </c>
      <c r="C872" s="2">
        <f>_xlfn.XLOOKUP(B872,Results!$B$23:$B$119,Results!$D$23:$D$119)</f>
        <v/>
      </c>
      <c r="D872" s="2" t="n">
        <v>9</v>
      </c>
      <c r="E872" s="2" t="inlineStr">
        <is>
          <t>CHO</t>
        </is>
      </c>
      <c r="F872" s="2" t="n">
        <v>2.318</v>
      </c>
      <c r="G872" s="2" t="n">
        <v>-8.1e-05</v>
      </c>
    </row>
    <row r="873">
      <c r="A873" s="1" t="inlineStr">
        <is>
          <t>B10</t>
        </is>
      </c>
      <c r="B873" s="1" t="n">
        <v>22</v>
      </c>
      <c r="C873" s="2">
        <f>_xlfn.XLOOKUP(B873,Results!$B$23:$B$119,Results!$D$23:$D$119)</f>
        <v/>
      </c>
      <c r="D873" s="1" t="n">
        <v>10</v>
      </c>
      <c r="E873" s="1" t="inlineStr">
        <is>
          <t>CHO</t>
        </is>
      </c>
      <c r="F873" s="1" t="n">
        <v>2.3243</v>
      </c>
      <c r="G873" s="1" t="n">
        <v>0.000458</v>
      </c>
    </row>
    <row r="874">
      <c r="A874" s="2" t="inlineStr">
        <is>
          <t>B10</t>
        </is>
      </c>
      <c r="B874" s="2" t="n">
        <v>22</v>
      </c>
      <c r="C874" s="2">
        <f>_xlfn.XLOOKUP(B874,Results!$B$23:$B$119,Results!$D$23:$D$119)</f>
        <v/>
      </c>
      <c r="D874" s="2" t="n">
        <v>11</v>
      </c>
      <c r="E874" s="2" t="inlineStr">
        <is>
          <t>CHO</t>
        </is>
      </c>
      <c r="F874" s="2" t="n">
        <v>2.3307</v>
      </c>
      <c r="G874" s="2" t="n">
        <v>0.001095</v>
      </c>
    </row>
    <row r="875">
      <c r="A875" s="1" t="inlineStr">
        <is>
          <t>B10</t>
        </is>
      </c>
      <c r="B875" s="1" t="n">
        <v>22</v>
      </c>
      <c r="C875" s="2">
        <f>_xlfn.XLOOKUP(B875,Results!$B$23:$B$119,Results!$D$23:$D$119)</f>
        <v/>
      </c>
      <c r="D875" s="1" t="n">
        <v>12</v>
      </c>
      <c r="E875" s="1" t="inlineStr">
        <is>
          <t>CHO</t>
        </is>
      </c>
      <c r="F875" s="1" t="n">
        <v>2.3392</v>
      </c>
      <c r="G875" s="1" t="n">
        <v>0.003796</v>
      </c>
    </row>
    <row r="876">
      <c r="A876" s="2" t="inlineStr">
        <is>
          <t>B10</t>
        </is>
      </c>
      <c r="B876" s="2" t="n">
        <v>22</v>
      </c>
      <c r="C876" s="2">
        <f>_xlfn.XLOOKUP(B876,Results!$B$23:$B$119,Results!$D$23:$D$119)</f>
        <v/>
      </c>
      <c r="D876" s="2" t="n">
        <v>13</v>
      </c>
      <c r="E876" s="2" t="inlineStr">
        <is>
          <t>CHO</t>
        </is>
      </c>
      <c r="F876" s="2" t="n">
        <v>2.3544</v>
      </c>
      <c r="G876" s="2" t="n">
        <v>0.013276</v>
      </c>
    </row>
    <row r="877">
      <c r="A877" s="1" t="inlineStr">
        <is>
          <t>B10</t>
        </is>
      </c>
      <c r="B877" s="1" t="n">
        <v>22</v>
      </c>
      <c r="C877" s="2">
        <f>_xlfn.XLOOKUP(B877,Results!$B$23:$B$119,Results!$D$23:$D$119)</f>
        <v/>
      </c>
      <c r="D877" s="1" t="n">
        <v>14</v>
      </c>
      <c r="E877" s="1" t="inlineStr">
        <is>
          <t>CHO</t>
        </is>
      </c>
      <c r="F877" s="1" t="n">
        <v>2.3829</v>
      </c>
      <c r="G877" s="1" t="n">
        <v>0.035907</v>
      </c>
    </row>
    <row r="878">
      <c r="A878" s="2" t="inlineStr">
        <is>
          <t>B10</t>
        </is>
      </c>
      <c r="B878" s="2" t="n">
        <v>22</v>
      </c>
      <c r="C878" s="2">
        <f>_xlfn.XLOOKUP(B878,Results!$B$23:$B$119,Results!$D$23:$D$119)</f>
        <v/>
      </c>
      <c r="D878" s="2" t="n">
        <v>15</v>
      </c>
      <c r="E878" s="2" t="inlineStr">
        <is>
          <t>CHO</t>
        </is>
      </c>
      <c r="F878" s="2" t="n">
        <v>2.4301</v>
      </c>
      <c r="G878" s="2" t="n">
        <v>0.077333</v>
      </c>
    </row>
    <row r="879">
      <c r="A879" s="1" t="inlineStr">
        <is>
          <t>B10</t>
        </is>
      </c>
      <c r="B879" s="1" t="n">
        <v>22</v>
      </c>
      <c r="C879" s="2">
        <f>_xlfn.XLOOKUP(B879,Results!$B$23:$B$119,Results!$D$23:$D$119)</f>
        <v/>
      </c>
      <c r="D879" s="1" t="n">
        <v>16</v>
      </c>
      <c r="E879" s="1" t="inlineStr">
        <is>
          <t>CHO</t>
        </is>
      </c>
      <c r="F879" s="1" t="n">
        <v>2.5154</v>
      </c>
      <c r="G879" s="1" t="n">
        <v>0.156894</v>
      </c>
    </row>
    <row r="880">
      <c r="A880" s="2" t="inlineStr">
        <is>
          <t>B10</t>
        </is>
      </c>
      <c r="B880" s="2" t="n">
        <v>22</v>
      </c>
      <c r="C880" s="2">
        <f>_xlfn.XLOOKUP(B880,Results!$B$23:$B$119,Results!$D$23:$D$119)</f>
        <v/>
      </c>
      <c r="D880" s="2" t="n">
        <v>17</v>
      </c>
      <c r="E880" s="2" t="inlineStr">
        <is>
          <t>CHO</t>
        </is>
      </c>
      <c r="F880" s="2" t="n">
        <v>2.666</v>
      </c>
      <c r="G880" s="2" t="n">
        <v>0.301739</v>
      </c>
    </row>
    <row r="881">
      <c r="A881" s="1" t="inlineStr">
        <is>
          <t>B10</t>
        </is>
      </c>
      <c r="B881" s="1" t="n">
        <v>22</v>
      </c>
      <c r="C881" s="2">
        <f>_xlfn.XLOOKUP(B881,Results!$B$23:$B$119,Results!$D$23:$D$119)</f>
        <v/>
      </c>
      <c r="D881" s="1" t="n">
        <v>18</v>
      </c>
      <c r="E881" s="1" t="inlineStr">
        <is>
          <t>CHO</t>
        </is>
      </c>
      <c r="F881" s="1" t="n">
        <v>2.9048</v>
      </c>
      <c r="G881" s="1" t="n">
        <v>0.534769</v>
      </c>
    </row>
    <row r="882">
      <c r="A882" s="2" t="inlineStr">
        <is>
          <t>B10</t>
        </is>
      </c>
      <c r="B882" s="2" t="n">
        <v>22</v>
      </c>
      <c r="C882" s="2">
        <f>_xlfn.XLOOKUP(B882,Results!$B$23:$B$119,Results!$D$23:$D$119)</f>
        <v/>
      </c>
      <c r="D882" s="2" t="n">
        <v>19</v>
      </c>
      <c r="E882" s="2" t="inlineStr">
        <is>
          <t>CHO</t>
        </is>
      </c>
      <c r="F882" s="2" t="n">
        <v>3.2358</v>
      </c>
      <c r="G882" s="2" t="n">
        <v>0.859964</v>
      </c>
    </row>
    <row r="883">
      <c r="A883" s="1" t="inlineStr">
        <is>
          <t>B10</t>
        </is>
      </c>
      <c r="B883" s="1" t="n">
        <v>22</v>
      </c>
      <c r="C883" s="2">
        <f>_xlfn.XLOOKUP(B883,Results!$B$23:$B$119,Results!$D$23:$D$119)</f>
        <v/>
      </c>
      <c r="D883" s="1" t="n">
        <v>20</v>
      </c>
      <c r="E883" s="1" t="inlineStr">
        <is>
          <t>CHO</t>
        </is>
      </c>
      <c r="F883" s="1" t="n">
        <v>3.6388</v>
      </c>
      <c r="G883" s="1" t="n">
        <v>1.257154</v>
      </c>
    </row>
    <row r="884">
      <c r="A884" s="2" t="inlineStr">
        <is>
          <t>B10</t>
        </is>
      </c>
      <c r="B884" s="2" t="n">
        <v>22</v>
      </c>
      <c r="C884" s="2">
        <f>_xlfn.XLOOKUP(B884,Results!$B$23:$B$119,Results!$D$23:$D$119)</f>
        <v/>
      </c>
      <c r="D884" s="2" t="n">
        <v>21</v>
      </c>
      <c r="E884" s="2" t="inlineStr">
        <is>
          <t>CHO</t>
        </is>
      </c>
      <c r="F884" s="2" t="n">
        <v>4.0863</v>
      </c>
      <c r="G884" s="2" t="n">
        <v>1.698943</v>
      </c>
    </row>
    <row r="885">
      <c r="A885" s="1" t="inlineStr">
        <is>
          <t>B10</t>
        </is>
      </c>
      <c r="B885" s="1" t="n">
        <v>22</v>
      </c>
      <c r="C885" s="2">
        <f>_xlfn.XLOOKUP(B885,Results!$B$23:$B$119,Results!$D$23:$D$119)</f>
        <v/>
      </c>
      <c r="D885" s="1" t="n">
        <v>22</v>
      </c>
      <c r="E885" s="1" t="inlineStr">
        <is>
          <t>CHO</t>
        </is>
      </c>
      <c r="F885" s="1" t="n">
        <v>4.5235</v>
      </c>
      <c r="G885" s="1" t="n">
        <v>2.13037</v>
      </c>
    </row>
    <row r="886">
      <c r="A886" s="2" t="inlineStr">
        <is>
          <t>B10</t>
        </is>
      </c>
      <c r="B886" s="2" t="n">
        <v>22</v>
      </c>
      <c r="C886" s="2">
        <f>_xlfn.XLOOKUP(B886,Results!$B$23:$B$119,Results!$D$23:$D$119)</f>
        <v/>
      </c>
      <c r="D886" s="2" t="n">
        <v>23</v>
      </c>
      <c r="E886" s="2" t="inlineStr">
        <is>
          <t>CHO</t>
        </is>
      </c>
      <c r="F886" s="2" t="n">
        <v>4.9301</v>
      </c>
      <c r="G886" s="2" t="n">
        <v>2.531189</v>
      </c>
    </row>
    <row r="887">
      <c r="A887" s="1" t="inlineStr">
        <is>
          <t>B10</t>
        </is>
      </c>
      <c r="B887" s="1" t="n">
        <v>22</v>
      </c>
      <c r="C887" s="2">
        <f>_xlfn.XLOOKUP(B887,Results!$B$23:$B$119,Results!$D$23:$D$119)</f>
        <v/>
      </c>
      <c r="D887" s="1" t="n">
        <v>24</v>
      </c>
      <c r="E887" s="1" t="inlineStr">
        <is>
          <t>CHO</t>
        </is>
      </c>
      <c r="F887" s="1" t="n">
        <v>5.2963</v>
      </c>
      <c r="G887" s="1" t="n">
        <v>2.891553</v>
      </c>
    </row>
    <row r="888">
      <c r="A888" s="2" t="inlineStr">
        <is>
          <t>B10</t>
        </is>
      </c>
      <c r="B888" s="2" t="n">
        <v>22</v>
      </c>
      <c r="C888" s="2">
        <f>_xlfn.XLOOKUP(B888,Results!$B$23:$B$119,Results!$D$23:$D$119)</f>
        <v/>
      </c>
      <c r="D888" s="2" t="n">
        <v>25</v>
      </c>
      <c r="E888" s="2" t="inlineStr">
        <is>
          <t>CHO</t>
        </is>
      </c>
      <c r="F888" s="2" t="n">
        <v>5.6127</v>
      </c>
      <c r="G888" s="2" t="n">
        <v>3.202228</v>
      </c>
    </row>
    <row r="889">
      <c r="A889" s="1" t="inlineStr">
        <is>
          <t>B10</t>
        </is>
      </c>
      <c r="B889" s="1" t="n">
        <v>22</v>
      </c>
      <c r="C889" s="2">
        <f>_xlfn.XLOOKUP(B889,Results!$B$23:$B$119,Results!$D$23:$D$119)</f>
        <v/>
      </c>
      <c r="D889" s="1" t="n">
        <v>26</v>
      </c>
      <c r="E889" s="1" t="inlineStr">
        <is>
          <t>CHO</t>
        </is>
      </c>
      <c r="F889" s="1" t="n">
        <v>5.8853</v>
      </c>
      <c r="G889" s="1" t="n">
        <v>3.46901</v>
      </c>
    </row>
    <row r="890">
      <c r="A890" s="2" t="inlineStr">
        <is>
          <t>B10</t>
        </is>
      </c>
      <c r="B890" s="2" t="n">
        <v>22</v>
      </c>
      <c r="C890" s="2">
        <f>_xlfn.XLOOKUP(B890,Results!$B$23:$B$119,Results!$D$23:$D$119)</f>
        <v/>
      </c>
      <c r="D890" s="2" t="n">
        <v>27</v>
      </c>
      <c r="E890" s="2" t="inlineStr">
        <is>
          <t>CHO</t>
        </is>
      </c>
      <c r="F890" s="2" t="n">
        <v>6.1252</v>
      </c>
      <c r="G890" s="2" t="n">
        <v>3.703173</v>
      </c>
    </row>
    <row r="891">
      <c r="A891" s="1" t="inlineStr">
        <is>
          <t>B10</t>
        </is>
      </c>
      <c r="B891" s="1" t="n">
        <v>22</v>
      </c>
      <c r="C891" s="2">
        <f>_xlfn.XLOOKUP(B891,Results!$B$23:$B$119,Results!$D$23:$D$119)</f>
        <v/>
      </c>
      <c r="D891" s="1" t="n">
        <v>28</v>
      </c>
      <c r="E891" s="1" t="inlineStr">
        <is>
          <t>CHO</t>
        </is>
      </c>
      <c r="F891" s="1" t="n">
        <v>6.3221</v>
      </c>
      <c r="G891" s="1" t="n">
        <v>3.894233</v>
      </c>
    </row>
    <row r="892">
      <c r="A892" s="2" t="inlineStr">
        <is>
          <t>B10</t>
        </is>
      </c>
      <c r="B892" s="2" t="n">
        <v>22</v>
      </c>
      <c r="C892" s="2">
        <f>_xlfn.XLOOKUP(B892,Results!$B$23:$B$119,Results!$D$23:$D$119)</f>
        <v/>
      </c>
      <c r="D892" s="2" t="n">
        <v>29</v>
      </c>
      <c r="E892" s="2" t="inlineStr">
        <is>
          <t>CHO</t>
        </is>
      </c>
      <c r="F892" s="2" t="n">
        <v>6.4921</v>
      </c>
      <c r="G892" s="2" t="n">
        <v>4.058483</v>
      </c>
    </row>
    <row r="893">
      <c r="A893" s="1" t="inlineStr">
        <is>
          <t>B10</t>
        </is>
      </c>
      <c r="B893" s="1" t="n">
        <v>22</v>
      </c>
      <c r="C893" s="2">
        <f>_xlfn.XLOOKUP(B893,Results!$B$23:$B$119,Results!$D$23:$D$119)</f>
        <v/>
      </c>
      <c r="D893" s="1" t="n">
        <v>30</v>
      </c>
      <c r="E893" s="1" t="inlineStr">
        <is>
          <t>CHO</t>
        </is>
      </c>
      <c r="F893" s="1" t="n">
        <v>6.6419</v>
      </c>
      <c r="G893" s="1" t="n">
        <v>4.202508</v>
      </c>
    </row>
    <row r="894">
      <c r="A894" s="2" t="inlineStr">
        <is>
          <t>B10</t>
        </is>
      </c>
      <c r="B894" s="2" t="n">
        <v>22</v>
      </c>
      <c r="C894" s="2">
        <f>_xlfn.XLOOKUP(B894,Results!$B$23:$B$119,Results!$D$23:$D$119)</f>
        <v/>
      </c>
      <c r="D894" s="2" t="n">
        <v>31</v>
      </c>
      <c r="E894" s="2" t="inlineStr">
        <is>
          <t>CHO</t>
        </is>
      </c>
      <c r="F894" s="2" t="n">
        <v>6.7693</v>
      </c>
      <c r="G894" s="2" t="n">
        <v>4.32407</v>
      </c>
    </row>
    <row r="895">
      <c r="A895" s="1" t="inlineStr">
        <is>
          <t>B10</t>
        </is>
      </c>
      <c r="B895" s="1" t="n">
        <v>22</v>
      </c>
      <c r="C895" s="2">
        <f>_xlfn.XLOOKUP(B895,Results!$B$23:$B$119,Results!$D$23:$D$119)</f>
        <v/>
      </c>
      <c r="D895" s="1" t="n">
        <v>32</v>
      </c>
      <c r="E895" s="1" t="inlineStr">
        <is>
          <t>CHO</t>
        </is>
      </c>
      <c r="F895" s="1" t="n">
        <v>6.8734</v>
      </c>
      <c r="G895" s="1" t="n">
        <v>4.42239</v>
      </c>
    </row>
    <row r="896">
      <c r="A896" s="2" t="inlineStr">
        <is>
          <t>B10</t>
        </is>
      </c>
      <c r="B896" s="2" t="n">
        <v>22</v>
      </c>
      <c r="C896" s="2">
        <f>_xlfn.XLOOKUP(B896,Results!$B$23:$B$119,Results!$D$23:$D$119)</f>
        <v/>
      </c>
      <c r="D896" s="2" t="n">
        <v>33</v>
      </c>
      <c r="E896" s="2" t="inlineStr">
        <is>
          <t>CHO</t>
        </is>
      </c>
      <c r="F896" s="2" t="n">
        <v>6.9612</v>
      </c>
      <c r="G896" s="2" t="n">
        <v>4.504425</v>
      </c>
    </row>
    <row r="897">
      <c r="A897" s="1" t="inlineStr">
        <is>
          <t>B10</t>
        </is>
      </c>
      <c r="B897" s="1" t="n">
        <v>22</v>
      </c>
      <c r="C897" s="2">
        <f>_xlfn.XLOOKUP(B897,Results!$B$23:$B$119,Results!$D$23:$D$119)</f>
        <v/>
      </c>
      <c r="D897" s="1" t="n">
        <v>34</v>
      </c>
      <c r="E897" s="1" t="inlineStr">
        <is>
          <t>CHO</t>
        </is>
      </c>
      <c r="F897" s="1" t="n">
        <v>7.0536</v>
      </c>
      <c r="G897" s="1" t="n">
        <v>4.591046</v>
      </c>
    </row>
    <row r="898">
      <c r="A898" s="2" t="inlineStr">
        <is>
          <t>B10</t>
        </is>
      </c>
      <c r="B898" s="2" t="n">
        <v>22</v>
      </c>
      <c r="C898" s="2">
        <f>_xlfn.XLOOKUP(B898,Results!$B$23:$B$119,Results!$D$23:$D$119)</f>
        <v/>
      </c>
      <c r="D898" s="2" t="n">
        <v>35</v>
      </c>
      <c r="E898" s="2" t="inlineStr">
        <is>
          <t>CHO</t>
        </is>
      </c>
      <c r="F898" s="2" t="n">
        <v>7.1349</v>
      </c>
      <c r="G898" s="2" t="n">
        <v>4.666543</v>
      </c>
    </row>
    <row r="899">
      <c r="A899" s="1" t="inlineStr">
        <is>
          <t>B10</t>
        </is>
      </c>
      <c r="B899" s="1" t="n">
        <v>22</v>
      </c>
      <c r="C899" s="2">
        <f>_xlfn.XLOOKUP(B899,Results!$B$23:$B$119,Results!$D$23:$D$119)</f>
        <v/>
      </c>
      <c r="D899" s="1" t="n">
        <v>36</v>
      </c>
      <c r="E899" s="1" t="inlineStr">
        <is>
          <t>CHO</t>
        </is>
      </c>
      <c r="F899" s="1" t="n">
        <v>7.2008</v>
      </c>
      <c r="G899" s="1" t="n">
        <v>4.726734</v>
      </c>
    </row>
    <row r="900">
      <c r="A900" s="2" t="inlineStr">
        <is>
          <t>B10</t>
        </is>
      </c>
      <c r="B900" s="2" t="n">
        <v>22</v>
      </c>
      <c r="C900" s="2">
        <f>_xlfn.XLOOKUP(B900,Results!$B$23:$B$119,Results!$D$23:$D$119)</f>
        <v/>
      </c>
      <c r="D900" s="2" t="n">
        <v>37</v>
      </c>
      <c r="E900" s="2" t="inlineStr">
        <is>
          <t>CHO</t>
        </is>
      </c>
      <c r="F900" s="2" t="n">
        <v>7.2519</v>
      </c>
      <c r="G900" s="2" t="n">
        <v>4.772015</v>
      </c>
    </row>
    <row r="901">
      <c r="A901" s="1" t="inlineStr">
        <is>
          <t>B10</t>
        </is>
      </c>
      <c r="B901" s="1" t="n">
        <v>22</v>
      </c>
      <c r="C901" s="2">
        <f>_xlfn.XLOOKUP(B901,Results!$B$23:$B$119,Results!$D$23:$D$119)</f>
        <v/>
      </c>
      <c r="D901" s="1" t="n">
        <v>38</v>
      </c>
      <c r="E901" s="1" t="inlineStr">
        <is>
          <t>CHO</t>
        </is>
      </c>
      <c r="F901" s="1" t="n">
        <v>7.3059</v>
      </c>
      <c r="G901" s="1" t="n">
        <v>4.820298</v>
      </c>
    </row>
    <row r="902">
      <c r="A902" s="2" t="inlineStr">
        <is>
          <t>B10</t>
        </is>
      </c>
      <c r="B902" s="2" t="n">
        <v>22</v>
      </c>
      <c r="C902" s="2">
        <f>_xlfn.XLOOKUP(B902,Results!$B$23:$B$119,Results!$D$23:$D$119)</f>
        <v/>
      </c>
      <c r="D902" s="2" t="n">
        <v>39</v>
      </c>
      <c r="E902" s="2" t="inlineStr">
        <is>
          <t>CHO</t>
        </is>
      </c>
      <c r="F902" s="2" t="n">
        <v>7.3518</v>
      </c>
      <c r="G902" s="2" t="n">
        <v>4.860406</v>
      </c>
    </row>
    <row r="903">
      <c r="A903" s="1" t="inlineStr">
        <is>
          <t>B10</t>
        </is>
      </c>
      <c r="B903" s="1" t="n">
        <v>22</v>
      </c>
      <c r="C903" s="2">
        <f>_xlfn.XLOOKUP(B903,Results!$B$23:$B$119,Results!$D$23:$D$119)</f>
        <v/>
      </c>
      <c r="D903" s="1" t="n">
        <v>40</v>
      </c>
      <c r="E903" s="1" t="inlineStr">
        <is>
          <t>CHO</t>
        </is>
      </c>
      <c r="F903" s="1" t="n">
        <v>7.3985</v>
      </c>
      <c r="G903" s="1" t="n">
        <v>4.901285</v>
      </c>
    </row>
    <row r="904">
      <c r="A904" s="2" t="inlineStr">
        <is>
          <t>B11</t>
        </is>
      </c>
      <c r="B904" s="2" t="n">
        <v>23</v>
      </c>
      <c r="C904" s="2">
        <f>_xlfn.XLOOKUP(B904,Results!$B$23:$B$119,Results!$D$23:$D$119)</f>
        <v/>
      </c>
      <c r="D904" s="2" t="n">
        <v>1</v>
      </c>
      <c r="E904" s="2" t="inlineStr">
        <is>
          <t>CHO</t>
        </is>
      </c>
      <c r="F904" s="2" t="n">
        <v>2.1995</v>
      </c>
      <c r="G904" s="2" t="n">
        <v>-0.012555</v>
      </c>
    </row>
    <row r="905">
      <c r="A905" s="1" t="inlineStr">
        <is>
          <t>B11</t>
        </is>
      </c>
      <c r="B905" s="1" t="n">
        <v>23</v>
      </c>
      <c r="C905" s="2">
        <f>_xlfn.XLOOKUP(B905,Results!$B$23:$B$119,Results!$D$23:$D$119)</f>
        <v/>
      </c>
      <c r="D905" s="1" t="n">
        <v>2</v>
      </c>
      <c r="E905" s="1" t="inlineStr">
        <is>
          <t>CHO</t>
        </is>
      </c>
      <c r="F905" s="1" t="n">
        <v>2.2045</v>
      </c>
      <c r="G905" s="1" t="n">
        <v>-0.012748</v>
      </c>
    </row>
    <row r="906">
      <c r="A906" s="2" t="inlineStr">
        <is>
          <t>B11</t>
        </is>
      </c>
      <c r="B906" s="2" t="n">
        <v>23</v>
      </c>
      <c r="C906" s="2">
        <f>_xlfn.XLOOKUP(B906,Results!$B$23:$B$119,Results!$D$23:$D$119)</f>
        <v/>
      </c>
      <c r="D906" s="2" t="n">
        <v>3</v>
      </c>
      <c r="E906" s="2" t="inlineStr">
        <is>
          <t>CHO</t>
        </is>
      </c>
      <c r="F906" s="2" t="n">
        <v>2.2207</v>
      </c>
      <c r="G906" s="2" t="n">
        <v>-0.001807</v>
      </c>
    </row>
    <row r="907">
      <c r="A907" s="1" t="inlineStr">
        <is>
          <t>B11</t>
        </is>
      </c>
      <c r="B907" s="1" t="n">
        <v>23</v>
      </c>
      <c r="C907" s="2">
        <f>_xlfn.XLOOKUP(B907,Results!$B$23:$B$119,Results!$D$23:$D$119)</f>
        <v/>
      </c>
      <c r="D907" s="1" t="n">
        <v>4</v>
      </c>
      <c r="E907" s="1" t="inlineStr">
        <is>
          <t>CHO</t>
        </is>
      </c>
      <c r="F907" s="1" t="n">
        <v>2.2283</v>
      </c>
      <c r="G907" s="1" t="n">
        <v>0.00062</v>
      </c>
    </row>
    <row r="908">
      <c r="A908" s="2" t="inlineStr">
        <is>
          <t>B11</t>
        </is>
      </c>
      <c r="B908" s="2" t="n">
        <v>23</v>
      </c>
      <c r="C908" s="2">
        <f>_xlfn.XLOOKUP(B908,Results!$B$23:$B$119,Results!$D$23:$D$119)</f>
        <v/>
      </c>
      <c r="D908" s="2" t="n">
        <v>5</v>
      </c>
      <c r="E908" s="2" t="inlineStr">
        <is>
          <t>CHO</t>
        </is>
      </c>
      <c r="F908" s="2" t="n">
        <v>2.236</v>
      </c>
      <c r="G908" s="2" t="n">
        <v>0.003077</v>
      </c>
    </row>
    <row r="909">
      <c r="A909" s="1" t="inlineStr">
        <is>
          <t>B11</t>
        </is>
      </c>
      <c r="B909" s="1" t="n">
        <v>23</v>
      </c>
      <c r="C909" s="2">
        <f>_xlfn.XLOOKUP(B909,Results!$B$23:$B$119,Results!$D$23:$D$119)</f>
        <v/>
      </c>
      <c r="D909" s="1" t="n">
        <v>6</v>
      </c>
      <c r="E909" s="1" t="inlineStr">
        <is>
          <t>CHO</t>
        </is>
      </c>
      <c r="F909" s="1" t="n">
        <v>2.2397</v>
      </c>
      <c r="G909" s="1" t="n">
        <v>0.001487</v>
      </c>
    </row>
    <row r="910">
      <c r="A910" s="2" t="inlineStr">
        <is>
          <t>B11</t>
        </is>
      </c>
      <c r="B910" s="2" t="n">
        <v>23</v>
      </c>
      <c r="C910" s="2">
        <f>_xlfn.XLOOKUP(B910,Results!$B$23:$B$119,Results!$D$23:$D$119)</f>
        <v/>
      </c>
      <c r="D910" s="2" t="n">
        <v>7</v>
      </c>
      <c r="E910" s="2" t="inlineStr">
        <is>
          <t>CHO</t>
        </is>
      </c>
      <c r="F910" s="2" t="n">
        <v>2.2408</v>
      </c>
      <c r="G910" s="2" t="n">
        <v>-0.002618</v>
      </c>
    </row>
    <row r="911">
      <c r="A911" s="1" t="inlineStr">
        <is>
          <t>B11</t>
        </is>
      </c>
      <c r="B911" s="1" t="n">
        <v>23</v>
      </c>
      <c r="C911" s="2">
        <f>_xlfn.XLOOKUP(B911,Results!$B$23:$B$119,Results!$D$23:$D$119)</f>
        <v/>
      </c>
      <c r="D911" s="1" t="n">
        <v>8</v>
      </c>
      <c r="E911" s="1" t="inlineStr">
        <is>
          <t>CHO</t>
        </is>
      </c>
      <c r="F911" s="1" t="n">
        <v>2.2468</v>
      </c>
      <c r="G911" s="1" t="n">
        <v>-0.001867</v>
      </c>
    </row>
    <row r="912">
      <c r="A912" s="2" t="inlineStr">
        <is>
          <t>B11</t>
        </is>
      </c>
      <c r="B912" s="2" t="n">
        <v>23</v>
      </c>
      <c r="C912" s="2">
        <f>_xlfn.XLOOKUP(B912,Results!$B$23:$B$119,Results!$D$23:$D$119)</f>
        <v/>
      </c>
      <c r="D912" s="2" t="n">
        <v>9</v>
      </c>
      <c r="E912" s="2" t="inlineStr">
        <is>
          <t>CHO</t>
        </is>
      </c>
      <c r="F912" s="2" t="n">
        <v>2.2541</v>
      </c>
      <c r="G912" s="2" t="n">
        <v>0.000245</v>
      </c>
    </row>
    <row r="913">
      <c r="A913" s="1" t="inlineStr">
        <is>
          <t>B11</t>
        </is>
      </c>
      <c r="B913" s="1" t="n">
        <v>23</v>
      </c>
      <c r="C913" s="2">
        <f>_xlfn.XLOOKUP(B913,Results!$B$23:$B$119,Results!$D$23:$D$119)</f>
        <v/>
      </c>
      <c r="D913" s="1" t="n">
        <v>10</v>
      </c>
      <c r="E913" s="1" t="inlineStr">
        <is>
          <t>CHO</t>
        </is>
      </c>
      <c r="F913" s="1" t="n">
        <v>2.2589</v>
      </c>
      <c r="G913" s="1" t="n">
        <v>-0.000198</v>
      </c>
    </row>
    <row r="914">
      <c r="A914" s="2" t="inlineStr">
        <is>
          <t>B11</t>
        </is>
      </c>
      <c r="B914" s="2" t="n">
        <v>23</v>
      </c>
      <c r="C914" s="2">
        <f>_xlfn.XLOOKUP(B914,Results!$B$23:$B$119,Results!$D$23:$D$119)</f>
        <v/>
      </c>
      <c r="D914" s="2" t="n">
        <v>11</v>
      </c>
      <c r="E914" s="2" t="inlineStr">
        <is>
          <t>CHO</t>
        </is>
      </c>
      <c r="F914" s="2" t="n">
        <v>2.2654</v>
      </c>
      <c r="G914" s="2" t="n">
        <v>0.001062</v>
      </c>
    </row>
    <row r="915">
      <c r="A915" s="1" t="inlineStr">
        <is>
          <t>B11</t>
        </is>
      </c>
      <c r="B915" s="1" t="n">
        <v>23</v>
      </c>
      <c r="C915" s="2">
        <f>_xlfn.XLOOKUP(B915,Results!$B$23:$B$119,Results!$D$23:$D$119)</f>
        <v/>
      </c>
      <c r="D915" s="1" t="n">
        <v>12</v>
      </c>
      <c r="E915" s="1" t="inlineStr">
        <is>
          <t>CHO</t>
        </is>
      </c>
      <c r="F915" s="1" t="n">
        <v>2.278</v>
      </c>
      <c r="G915" s="1" t="n">
        <v>0.008475</v>
      </c>
    </row>
    <row r="916">
      <c r="A916" s="2" t="inlineStr">
        <is>
          <t>B11</t>
        </is>
      </c>
      <c r="B916" s="2" t="n">
        <v>23</v>
      </c>
      <c r="C916" s="2">
        <f>_xlfn.XLOOKUP(B916,Results!$B$23:$B$119,Results!$D$23:$D$119)</f>
        <v/>
      </c>
      <c r="D916" s="2" t="n">
        <v>13</v>
      </c>
      <c r="E916" s="2" t="inlineStr">
        <is>
          <t>CHO</t>
        </is>
      </c>
      <c r="F916" s="2" t="n">
        <v>2.2941</v>
      </c>
      <c r="G916" s="2" t="n">
        <v>0.01935</v>
      </c>
    </row>
    <row r="917">
      <c r="A917" s="1" t="inlineStr">
        <is>
          <t>B11</t>
        </is>
      </c>
      <c r="B917" s="1" t="n">
        <v>23</v>
      </c>
      <c r="C917" s="2">
        <f>_xlfn.XLOOKUP(B917,Results!$B$23:$B$119,Results!$D$23:$D$119)</f>
        <v/>
      </c>
      <c r="D917" s="1" t="n">
        <v>14</v>
      </c>
      <c r="E917" s="1" t="inlineStr">
        <is>
          <t>CHO</t>
        </is>
      </c>
      <c r="F917" s="1" t="n">
        <v>2.3175</v>
      </c>
      <c r="G917" s="1" t="n">
        <v>0.03755</v>
      </c>
    </row>
    <row r="918">
      <c r="A918" s="2" t="inlineStr">
        <is>
          <t>B11</t>
        </is>
      </c>
      <c r="B918" s="2" t="n">
        <v>23</v>
      </c>
      <c r="C918" s="2">
        <f>_xlfn.XLOOKUP(B918,Results!$B$23:$B$119,Results!$D$23:$D$119)</f>
        <v/>
      </c>
      <c r="D918" s="2" t="n">
        <v>15</v>
      </c>
      <c r="E918" s="2" t="inlineStr">
        <is>
          <t>CHO</t>
        </is>
      </c>
      <c r="F918" s="2" t="n">
        <v>2.3663</v>
      </c>
      <c r="G918" s="2" t="n">
        <v>0.08112900000000001</v>
      </c>
    </row>
    <row r="919">
      <c r="A919" s="1" t="inlineStr">
        <is>
          <t>B11</t>
        </is>
      </c>
      <c r="B919" s="1" t="n">
        <v>23</v>
      </c>
      <c r="C919" s="2">
        <f>_xlfn.XLOOKUP(B919,Results!$B$23:$B$119,Results!$D$23:$D$119)</f>
        <v/>
      </c>
      <c r="D919" s="1" t="n">
        <v>16</v>
      </c>
      <c r="E919" s="1" t="inlineStr">
        <is>
          <t>CHO</t>
        </is>
      </c>
      <c r="F919" s="1" t="n">
        <v>2.4479</v>
      </c>
      <c r="G919" s="1" t="n">
        <v>0.157499</v>
      </c>
    </row>
    <row r="920">
      <c r="A920" s="2" t="inlineStr">
        <is>
          <t>B11</t>
        </is>
      </c>
      <c r="B920" s="2" t="n">
        <v>23</v>
      </c>
      <c r="C920" s="2">
        <f>_xlfn.XLOOKUP(B920,Results!$B$23:$B$119,Results!$D$23:$D$119)</f>
        <v/>
      </c>
      <c r="D920" s="2" t="n">
        <v>17</v>
      </c>
      <c r="E920" s="2" t="inlineStr">
        <is>
          <t>CHO</t>
        </is>
      </c>
      <c r="F920" s="2" t="n">
        <v>2.5882</v>
      </c>
      <c r="G920" s="2" t="n">
        <v>0.292517</v>
      </c>
    </row>
    <row r="921">
      <c r="A921" s="1" t="inlineStr">
        <is>
          <t>B11</t>
        </is>
      </c>
      <c r="B921" s="1" t="n">
        <v>23</v>
      </c>
      <c r="C921" s="2">
        <f>_xlfn.XLOOKUP(B921,Results!$B$23:$B$119,Results!$D$23:$D$119)</f>
        <v/>
      </c>
      <c r="D921" s="1" t="n">
        <v>18</v>
      </c>
      <c r="E921" s="1" t="inlineStr">
        <is>
          <t>CHO</t>
        </is>
      </c>
      <c r="F921" s="1" t="n">
        <v>2.8251</v>
      </c>
      <c r="G921" s="1" t="n">
        <v>0.52419</v>
      </c>
    </row>
    <row r="922">
      <c r="A922" s="2" t="inlineStr">
        <is>
          <t>B11</t>
        </is>
      </c>
      <c r="B922" s="2" t="n">
        <v>23</v>
      </c>
      <c r="C922" s="2">
        <f>_xlfn.XLOOKUP(B922,Results!$B$23:$B$119,Results!$D$23:$D$119)</f>
        <v/>
      </c>
      <c r="D922" s="2" t="n">
        <v>19</v>
      </c>
      <c r="E922" s="2" t="inlineStr">
        <is>
          <t>CHO</t>
        </is>
      </c>
      <c r="F922" s="2" t="n">
        <v>3.1521</v>
      </c>
      <c r="G922" s="2" t="n">
        <v>0.845963</v>
      </c>
    </row>
    <row r="923">
      <c r="A923" s="1" t="inlineStr">
        <is>
          <t>B11</t>
        </is>
      </c>
      <c r="B923" s="1" t="n">
        <v>23</v>
      </c>
      <c r="C923" s="2">
        <f>_xlfn.XLOOKUP(B923,Results!$B$23:$B$119,Results!$D$23:$D$119)</f>
        <v/>
      </c>
      <c r="D923" s="1" t="n">
        <v>20</v>
      </c>
      <c r="E923" s="1" t="inlineStr">
        <is>
          <t>CHO</t>
        </is>
      </c>
      <c r="F923" s="1" t="n">
        <v>3.5479</v>
      </c>
      <c r="G923" s="1" t="n">
        <v>1.236512</v>
      </c>
    </row>
    <row r="924">
      <c r="A924" s="2" t="inlineStr">
        <is>
          <t>B11</t>
        </is>
      </c>
      <c r="B924" s="2" t="n">
        <v>23</v>
      </c>
      <c r="C924" s="2">
        <f>_xlfn.XLOOKUP(B924,Results!$B$23:$B$119,Results!$D$23:$D$119)</f>
        <v/>
      </c>
      <c r="D924" s="2" t="n">
        <v>21</v>
      </c>
      <c r="E924" s="2" t="inlineStr">
        <is>
          <t>CHO</t>
        </is>
      </c>
      <c r="F924" s="2" t="n">
        <v>3.9773</v>
      </c>
      <c r="G924" s="2" t="n">
        <v>1.660698</v>
      </c>
    </row>
    <row r="925">
      <c r="A925" s="1" t="inlineStr">
        <is>
          <t>B11</t>
        </is>
      </c>
      <c r="B925" s="1" t="n">
        <v>23</v>
      </c>
      <c r="C925" s="2">
        <f>_xlfn.XLOOKUP(B925,Results!$B$23:$B$119,Results!$D$23:$D$119)</f>
        <v/>
      </c>
      <c r="D925" s="1" t="n">
        <v>22</v>
      </c>
      <c r="E925" s="1" t="inlineStr">
        <is>
          <t>CHO</t>
        </is>
      </c>
      <c r="F925" s="1" t="n">
        <v>4.3966</v>
      </c>
      <c r="G925" s="1" t="n">
        <v>2.074782</v>
      </c>
    </row>
    <row r="926">
      <c r="A926" s="2" t="inlineStr">
        <is>
          <t>B11</t>
        </is>
      </c>
      <c r="B926" s="2" t="n">
        <v>23</v>
      </c>
      <c r="C926" s="2">
        <f>_xlfn.XLOOKUP(B926,Results!$B$23:$B$119,Results!$D$23:$D$119)</f>
        <v/>
      </c>
      <c r="D926" s="2" t="n">
        <v>23</v>
      </c>
      <c r="E926" s="2" t="inlineStr">
        <is>
          <t>CHO</t>
        </is>
      </c>
      <c r="F926" s="2" t="n">
        <v>4.7889</v>
      </c>
      <c r="G926" s="2" t="n">
        <v>2.461908</v>
      </c>
    </row>
    <row r="927">
      <c r="A927" s="1" t="inlineStr">
        <is>
          <t>B11</t>
        </is>
      </c>
      <c r="B927" s="1" t="n">
        <v>23</v>
      </c>
      <c r="C927" s="2">
        <f>_xlfn.XLOOKUP(B927,Results!$B$23:$B$119,Results!$D$23:$D$119)</f>
        <v/>
      </c>
      <c r="D927" s="1" t="n">
        <v>24</v>
      </c>
      <c r="E927" s="1" t="inlineStr">
        <is>
          <t>CHO</t>
        </is>
      </c>
      <c r="F927" s="1" t="n">
        <v>5.1428</v>
      </c>
      <c r="G927" s="1" t="n">
        <v>2.810504</v>
      </c>
    </row>
    <row r="928">
      <c r="A928" s="2" t="inlineStr">
        <is>
          <t>B11</t>
        </is>
      </c>
      <c r="B928" s="2" t="n">
        <v>23</v>
      </c>
      <c r="C928" s="2">
        <f>_xlfn.XLOOKUP(B928,Results!$B$23:$B$119,Results!$D$23:$D$119)</f>
        <v/>
      </c>
      <c r="D928" s="2" t="n">
        <v>25</v>
      </c>
      <c r="E928" s="2" t="inlineStr">
        <is>
          <t>CHO</t>
        </is>
      </c>
      <c r="F928" s="2" t="n">
        <v>5.4554</v>
      </c>
      <c r="G928" s="2" t="n">
        <v>3.117949</v>
      </c>
    </row>
    <row r="929">
      <c r="A929" s="1" t="inlineStr">
        <is>
          <t>B11</t>
        </is>
      </c>
      <c r="B929" s="1" t="n">
        <v>23</v>
      </c>
      <c r="C929" s="2">
        <f>_xlfn.XLOOKUP(B929,Results!$B$23:$B$119,Results!$D$23:$D$119)</f>
        <v/>
      </c>
      <c r="D929" s="1" t="n">
        <v>26</v>
      </c>
      <c r="E929" s="1" t="inlineStr">
        <is>
          <t>CHO</t>
        </is>
      </c>
      <c r="F929" s="1" t="n">
        <v>5.7276</v>
      </c>
      <c r="G929" s="1" t="n">
        <v>3.384855</v>
      </c>
    </row>
    <row r="930">
      <c r="A930" s="2" t="inlineStr">
        <is>
          <t>B11</t>
        </is>
      </c>
      <c r="B930" s="2" t="n">
        <v>23</v>
      </c>
      <c r="C930" s="2">
        <f>_xlfn.XLOOKUP(B930,Results!$B$23:$B$119,Results!$D$23:$D$119)</f>
        <v/>
      </c>
      <c r="D930" s="2" t="n">
        <v>27</v>
      </c>
      <c r="E930" s="2" t="inlineStr">
        <is>
          <t>CHO</t>
        </is>
      </c>
      <c r="F930" s="2" t="n">
        <v>5.9593</v>
      </c>
      <c r="G930" s="2" t="n">
        <v>3.611324</v>
      </c>
    </row>
    <row r="931">
      <c r="A931" s="1" t="inlineStr">
        <is>
          <t>B11</t>
        </is>
      </c>
      <c r="B931" s="1" t="n">
        <v>23</v>
      </c>
      <c r="C931" s="2">
        <f>_xlfn.XLOOKUP(B931,Results!$B$23:$B$119,Results!$D$23:$D$119)</f>
        <v/>
      </c>
      <c r="D931" s="1" t="n">
        <v>28</v>
      </c>
      <c r="E931" s="1" t="inlineStr">
        <is>
          <t>CHO</t>
        </is>
      </c>
      <c r="F931" s="1" t="n">
        <v>6.1612</v>
      </c>
      <c r="G931" s="1" t="n">
        <v>3.808038</v>
      </c>
    </row>
    <row r="932">
      <c r="A932" s="2" t="inlineStr">
        <is>
          <t>B11</t>
        </is>
      </c>
      <c r="B932" s="2" t="n">
        <v>23</v>
      </c>
      <c r="C932" s="2">
        <f>_xlfn.XLOOKUP(B932,Results!$B$23:$B$119,Results!$D$23:$D$119)</f>
        <v/>
      </c>
      <c r="D932" s="2" t="n">
        <v>29</v>
      </c>
      <c r="E932" s="2" t="inlineStr">
        <is>
          <t>CHO</t>
        </is>
      </c>
      <c r="F932" s="2" t="n">
        <v>6.3343</v>
      </c>
      <c r="G932" s="2" t="n">
        <v>3.975949</v>
      </c>
    </row>
    <row r="933">
      <c r="A933" s="1" t="inlineStr">
        <is>
          <t>B11</t>
        </is>
      </c>
      <c r="B933" s="1" t="n">
        <v>23</v>
      </c>
      <c r="C933" s="2">
        <f>_xlfn.XLOOKUP(B933,Results!$B$23:$B$119,Results!$D$23:$D$119)</f>
        <v/>
      </c>
      <c r="D933" s="1" t="n">
        <v>30</v>
      </c>
      <c r="E933" s="1" t="inlineStr">
        <is>
          <t>CHO</t>
        </is>
      </c>
      <c r="F933" s="1" t="n">
        <v>6.4868</v>
      </c>
      <c r="G933" s="1" t="n">
        <v>4.123221</v>
      </c>
    </row>
    <row r="934">
      <c r="A934" s="2" t="inlineStr">
        <is>
          <t>B11</t>
        </is>
      </c>
      <c r="B934" s="2" t="n">
        <v>23</v>
      </c>
      <c r="C934" s="2">
        <f>_xlfn.XLOOKUP(B934,Results!$B$23:$B$119,Results!$D$23:$D$119)</f>
        <v/>
      </c>
      <c r="D934" s="2" t="n">
        <v>31</v>
      </c>
      <c r="E934" s="2" t="inlineStr">
        <is>
          <t>CHO</t>
        </is>
      </c>
      <c r="F934" s="2" t="n">
        <v>6.6123</v>
      </c>
      <c r="G934" s="2" t="n">
        <v>4.243428</v>
      </c>
    </row>
    <row r="935">
      <c r="A935" s="1" t="inlineStr">
        <is>
          <t>B11</t>
        </is>
      </c>
      <c r="B935" s="1" t="n">
        <v>23</v>
      </c>
      <c r="C935" s="2">
        <f>_xlfn.XLOOKUP(B935,Results!$B$23:$B$119,Results!$D$23:$D$119)</f>
        <v/>
      </c>
      <c r="D935" s="1" t="n">
        <v>32</v>
      </c>
      <c r="E935" s="1" t="inlineStr">
        <is>
          <t>CHO</t>
        </is>
      </c>
      <c r="F935" s="1" t="n">
        <v>6.7054</v>
      </c>
      <c r="G935" s="1" t="n">
        <v>4.331326</v>
      </c>
    </row>
    <row r="936">
      <c r="A936" s="2" t="inlineStr">
        <is>
          <t>B11</t>
        </is>
      </c>
      <c r="B936" s="2" t="n">
        <v>23</v>
      </c>
      <c r="C936" s="2">
        <f>_xlfn.XLOOKUP(B936,Results!$B$23:$B$119,Results!$D$23:$D$119)</f>
        <v/>
      </c>
      <c r="D936" s="2" t="n">
        <v>33</v>
      </c>
      <c r="E936" s="2" t="inlineStr">
        <is>
          <t>CHO</t>
        </is>
      </c>
      <c r="F936" s="2" t="n">
        <v>6.8047</v>
      </c>
      <c r="G936" s="2" t="n">
        <v>4.425354</v>
      </c>
    </row>
    <row r="937">
      <c r="A937" s="1" t="inlineStr">
        <is>
          <t>B11</t>
        </is>
      </c>
      <c r="B937" s="1" t="n">
        <v>23</v>
      </c>
      <c r="C937" s="2">
        <f>_xlfn.XLOOKUP(B937,Results!$B$23:$B$119,Results!$D$23:$D$119)</f>
        <v/>
      </c>
      <c r="D937" s="1" t="n">
        <v>34</v>
      </c>
      <c r="E937" s="1" t="inlineStr">
        <is>
          <t>CHO</t>
        </is>
      </c>
      <c r="F937" s="1" t="n">
        <v>6.8852</v>
      </c>
      <c r="G937" s="1" t="n">
        <v>4.500628</v>
      </c>
    </row>
    <row r="938">
      <c r="A938" s="2" t="inlineStr">
        <is>
          <t>B11</t>
        </is>
      </c>
      <c r="B938" s="2" t="n">
        <v>23</v>
      </c>
      <c r="C938" s="2">
        <f>_xlfn.XLOOKUP(B938,Results!$B$23:$B$119,Results!$D$23:$D$119)</f>
        <v/>
      </c>
      <c r="D938" s="2" t="n">
        <v>35</v>
      </c>
      <c r="E938" s="2" t="inlineStr">
        <is>
          <t>CHO</t>
        </is>
      </c>
      <c r="F938" s="2" t="n">
        <v>6.9637</v>
      </c>
      <c r="G938" s="2" t="n">
        <v>4.573945</v>
      </c>
    </row>
    <row r="939">
      <c r="A939" s="1" t="inlineStr">
        <is>
          <t>B11</t>
        </is>
      </c>
      <c r="B939" s="1" t="n">
        <v>23</v>
      </c>
      <c r="C939" s="2">
        <f>_xlfn.XLOOKUP(B939,Results!$B$23:$B$119,Results!$D$23:$D$119)</f>
        <v/>
      </c>
      <c r="D939" s="1" t="n">
        <v>36</v>
      </c>
      <c r="E939" s="1" t="inlineStr">
        <is>
          <t>CHO</t>
        </is>
      </c>
      <c r="F939" s="1" t="n">
        <v>7.0198</v>
      </c>
      <c r="G939" s="1" t="n">
        <v>4.624814</v>
      </c>
    </row>
    <row r="940">
      <c r="A940" s="2" t="inlineStr">
        <is>
          <t>B11</t>
        </is>
      </c>
      <c r="B940" s="2" t="n">
        <v>23</v>
      </c>
      <c r="C940" s="2">
        <f>_xlfn.XLOOKUP(B940,Results!$B$23:$B$119,Results!$D$23:$D$119)</f>
        <v/>
      </c>
      <c r="D940" s="2" t="n">
        <v>37</v>
      </c>
      <c r="E940" s="2" t="inlineStr">
        <is>
          <t>CHO</t>
        </is>
      </c>
      <c r="F940" s="2" t="n">
        <v>7.0797</v>
      </c>
      <c r="G940" s="2" t="n">
        <v>4.67946</v>
      </c>
    </row>
    <row r="941">
      <c r="A941" s="1" t="inlineStr">
        <is>
          <t>B11</t>
        </is>
      </c>
      <c r="B941" s="1" t="n">
        <v>23</v>
      </c>
      <c r="C941" s="2">
        <f>_xlfn.XLOOKUP(B941,Results!$B$23:$B$119,Results!$D$23:$D$119)</f>
        <v/>
      </c>
      <c r="D941" s="1" t="n">
        <v>38</v>
      </c>
      <c r="E941" s="1" t="inlineStr">
        <is>
          <t>CHO</t>
        </is>
      </c>
      <c r="F941" s="1" t="n">
        <v>7.1329</v>
      </c>
      <c r="G941" s="1" t="n">
        <v>4.727475</v>
      </c>
    </row>
    <row r="942">
      <c r="A942" s="2" t="inlineStr">
        <is>
          <t>B11</t>
        </is>
      </c>
      <c r="B942" s="2" t="n">
        <v>23</v>
      </c>
      <c r="C942" s="2">
        <f>_xlfn.XLOOKUP(B942,Results!$B$23:$B$119,Results!$D$23:$D$119)</f>
        <v/>
      </c>
      <c r="D942" s="2" t="n">
        <v>39</v>
      </c>
      <c r="E942" s="2" t="inlineStr">
        <is>
          <t>CHO</t>
        </is>
      </c>
      <c r="F942" s="2" t="n">
        <v>7.1831</v>
      </c>
      <c r="G942" s="2" t="n">
        <v>4.772442</v>
      </c>
    </row>
    <row r="943">
      <c r="A943" s="1" t="inlineStr">
        <is>
          <t>B11</t>
        </is>
      </c>
      <c r="B943" s="1" t="n">
        <v>23</v>
      </c>
      <c r="C943" s="2">
        <f>_xlfn.XLOOKUP(B943,Results!$B$23:$B$119,Results!$D$23:$D$119)</f>
        <v/>
      </c>
      <c r="D943" s="1" t="n">
        <v>40</v>
      </c>
      <c r="E943" s="1" t="inlineStr">
        <is>
          <t>CHO</t>
        </is>
      </c>
      <c r="F943" s="1" t="n">
        <v>7.2172</v>
      </c>
      <c r="G943" s="1" t="n">
        <v>4.80128</v>
      </c>
    </row>
    <row r="944">
      <c r="A944" s="2" t="inlineStr">
        <is>
          <t>B12</t>
        </is>
      </c>
      <c r="B944" s="2" t="n">
        <v>24</v>
      </c>
      <c r="C944" s="2">
        <f>_xlfn.XLOOKUP(B944,Results!$B$23:$B$119,Results!$D$23:$D$119)</f>
        <v/>
      </c>
      <c r="D944" s="2" t="n">
        <v>1</v>
      </c>
      <c r="E944" s="2" t="inlineStr">
        <is>
          <t>CHO</t>
        </is>
      </c>
      <c r="F944" s="2" t="n">
        <v>2.2034</v>
      </c>
      <c r="G944" s="2" t="n">
        <v>0.013047</v>
      </c>
    </row>
    <row r="945">
      <c r="A945" s="1" t="inlineStr">
        <is>
          <t>B12</t>
        </is>
      </c>
      <c r="B945" s="1" t="n">
        <v>24</v>
      </c>
      <c r="C945" s="2">
        <f>_xlfn.XLOOKUP(B945,Results!$B$23:$B$119,Results!$D$23:$D$119)</f>
        <v/>
      </c>
      <c r="D945" s="1" t="n">
        <v>2</v>
      </c>
      <c r="E945" s="1" t="inlineStr">
        <is>
          <t>CHO</t>
        </is>
      </c>
      <c r="F945" s="1" t="n">
        <v>2.2016</v>
      </c>
      <c r="G945" s="1" t="n">
        <v>0.006606</v>
      </c>
    </row>
    <row r="946">
      <c r="A946" s="2" t="inlineStr">
        <is>
          <t>B12</t>
        </is>
      </c>
      <c r="B946" s="2" t="n">
        <v>24</v>
      </c>
      <c r="C946" s="2">
        <f>_xlfn.XLOOKUP(B946,Results!$B$23:$B$119,Results!$D$23:$D$119)</f>
        <v/>
      </c>
      <c r="D946" s="2" t="n">
        <v>3</v>
      </c>
      <c r="E946" s="2" t="inlineStr">
        <is>
          <t>CHO</t>
        </is>
      </c>
      <c r="F946" s="2" t="n">
        <v>2.2014</v>
      </c>
      <c r="G946" s="2" t="n">
        <v>0.00185</v>
      </c>
    </row>
    <row r="947">
      <c r="A947" s="1" t="inlineStr">
        <is>
          <t>B12</t>
        </is>
      </c>
      <c r="B947" s="1" t="n">
        <v>24</v>
      </c>
      <c r="C947" s="2">
        <f>_xlfn.XLOOKUP(B947,Results!$B$23:$B$119,Results!$D$23:$D$119)</f>
        <v/>
      </c>
      <c r="D947" s="1" t="n">
        <v>4</v>
      </c>
      <c r="E947" s="1" t="inlineStr">
        <is>
          <t>CHO</t>
        </is>
      </c>
      <c r="F947" s="1" t="n">
        <v>2.2049</v>
      </c>
      <c r="G947" s="1" t="n">
        <v>0.000647</v>
      </c>
    </row>
    <row r="948">
      <c r="A948" s="2" t="inlineStr">
        <is>
          <t>B12</t>
        </is>
      </c>
      <c r="B948" s="2" t="n">
        <v>24</v>
      </c>
      <c r="C948" s="2">
        <f>_xlfn.XLOOKUP(B948,Results!$B$23:$B$119,Results!$D$23:$D$119)</f>
        <v/>
      </c>
      <c r="D948" s="2" t="n">
        <v>5</v>
      </c>
      <c r="E948" s="2" t="inlineStr">
        <is>
          <t>CHO</t>
        </is>
      </c>
      <c r="F948" s="2" t="n">
        <v>2.2079</v>
      </c>
      <c r="G948" s="2" t="n">
        <v>-0.000875</v>
      </c>
    </row>
    <row r="949">
      <c r="A949" s="1" t="inlineStr">
        <is>
          <t>B12</t>
        </is>
      </c>
      <c r="B949" s="1" t="n">
        <v>24</v>
      </c>
      <c r="C949" s="2">
        <f>_xlfn.XLOOKUP(B949,Results!$B$23:$B$119,Results!$D$23:$D$119)</f>
        <v/>
      </c>
      <c r="D949" s="1" t="n">
        <v>6</v>
      </c>
      <c r="E949" s="1" t="inlineStr">
        <is>
          <t>CHO</t>
        </is>
      </c>
      <c r="F949" s="1" t="n">
        <v>2.2135</v>
      </c>
      <c r="G949" s="1" t="n">
        <v>0.000107</v>
      </c>
    </row>
    <row r="950">
      <c r="A950" s="2" t="inlineStr">
        <is>
          <t>B12</t>
        </is>
      </c>
      <c r="B950" s="2" t="n">
        <v>24</v>
      </c>
      <c r="C950" s="2">
        <f>_xlfn.XLOOKUP(B950,Results!$B$23:$B$119,Results!$D$23:$D$119)</f>
        <v/>
      </c>
      <c r="D950" s="2" t="n">
        <v>7</v>
      </c>
      <c r="E950" s="2" t="inlineStr">
        <is>
          <t>CHO</t>
        </is>
      </c>
      <c r="F950" s="2" t="n">
        <v>2.2183</v>
      </c>
      <c r="G950" s="2" t="n">
        <v>0.000294</v>
      </c>
    </row>
    <row r="951">
      <c r="A951" s="1" t="inlineStr">
        <is>
          <t>B12</t>
        </is>
      </c>
      <c r="B951" s="1" t="n">
        <v>24</v>
      </c>
      <c r="C951" s="2">
        <f>_xlfn.XLOOKUP(B951,Results!$B$23:$B$119,Results!$D$23:$D$119)</f>
        <v/>
      </c>
      <c r="D951" s="1" t="n">
        <v>8</v>
      </c>
      <c r="E951" s="1" t="inlineStr">
        <is>
          <t>CHO</t>
        </is>
      </c>
      <c r="F951" s="1" t="n">
        <v>2.219</v>
      </c>
      <c r="G951" s="1" t="n">
        <v>-0.003635</v>
      </c>
    </row>
    <row r="952">
      <c r="A952" s="2" t="inlineStr">
        <is>
          <t>B12</t>
        </is>
      </c>
      <c r="B952" s="2" t="n">
        <v>24</v>
      </c>
      <c r="C952" s="2">
        <f>_xlfn.XLOOKUP(B952,Results!$B$23:$B$119,Results!$D$23:$D$119)</f>
        <v/>
      </c>
      <c r="D952" s="2" t="n">
        <v>9</v>
      </c>
      <c r="E952" s="2" t="inlineStr">
        <is>
          <t>CHO</t>
        </is>
      </c>
      <c r="F952" s="2" t="n">
        <v>2.2249</v>
      </c>
      <c r="G952" s="2" t="n">
        <v>-0.002439</v>
      </c>
    </row>
    <row r="953">
      <c r="A953" s="1" t="inlineStr">
        <is>
          <t>B12</t>
        </is>
      </c>
      <c r="B953" s="1" t="n">
        <v>24</v>
      </c>
      <c r="C953" s="2">
        <f>_xlfn.XLOOKUP(B953,Results!$B$23:$B$119,Results!$D$23:$D$119)</f>
        <v/>
      </c>
      <c r="D953" s="1" t="n">
        <v>10</v>
      </c>
      <c r="E953" s="1" t="inlineStr">
        <is>
          <t>CHO</t>
        </is>
      </c>
      <c r="F953" s="1" t="n">
        <v>2.2319</v>
      </c>
      <c r="G953" s="1" t="n">
        <v>-1.4e-05</v>
      </c>
    </row>
    <row r="954">
      <c r="A954" s="2" t="inlineStr">
        <is>
          <t>B12</t>
        </is>
      </c>
      <c r="B954" s="2" t="n">
        <v>24</v>
      </c>
      <c r="C954" s="2">
        <f>_xlfn.XLOOKUP(B954,Results!$B$23:$B$119,Results!$D$23:$D$119)</f>
        <v/>
      </c>
      <c r="D954" s="2" t="n">
        <v>11</v>
      </c>
      <c r="E954" s="2" t="inlineStr">
        <is>
          <t>CHO</t>
        </is>
      </c>
      <c r="F954" s="2" t="n">
        <v>2.2406</v>
      </c>
      <c r="G954" s="2" t="n">
        <v>0.004064</v>
      </c>
    </row>
    <row r="955">
      <c r="A955" s="1" t="inlineStr">
        <is>
          <t>B12</t>
        </is>
      </c>
      <c r="B955" s="1" t="n">
        <v>24</v>
      </c>
      <c r="C955" s="2">
        <f>_xlfn.XLOOKUP(B955,Results!$B$23:$B$119,Results!$D$23:$D$119)</f>
        <v/>
      </c>
      <c r="D955" s="1" t="n">
        <v>12</v>
      </c>
      <c r="E955" s="1" t="inlineStr">
        <is>
          <t>CHO</t>
        </is>
      </c>
      <c r="F955" s="1" t="n">
        <v>2.2479</v>
      </c>
      <c r="G955" s="1" t="n">
        <v>0.00677</v>
      </c>
    </row>
    <row r="956">
      <c r="A956" s="2" t="inlineStr">
        <is>
          <t>B12</t>
        </is>
      </c>
      <c r="B956" s="2" t="n">
        <v>24</v>
      </c>
      <c r="C956" s="2">
        <f>_xlfn.XLOOKUP(B956,Results!$B$23:$B$119,Results!$D$23:$D$119)</f>
        <v/>
      </c>
      <c r="D956" s="2" t="n">
        <v>13</v>
      </c>
      <c r="E956" s="2" t="inlineStr">
        <is>
          <t>CHO</t>
        </is>
      </c>
      <c r="F956" s="2" t="n">
        <v>2.2643</v>
      </c>
      <c r="G956" s="2" t="n">
        <v>0.01856</v>
      </c>
    </row>
    <row r="957">
      <c r="A957" s="1" t="inlineStr">
        <is>
          <t>B12</t>
        </is>
      </c>
      <c r="B957" s="1" t="n">
        <v>24</v>
      </c>
      <c r="C957" s="2">
        <f>_xlfn.XLOOKUP(B957,Results!$B$23:$B$119,Results!$D$23:$D$119)</f>
        <v/>
      </c>
      <c r="D957" s="1" t="n">
        <v>14</v>
      </c>
      <c r="E957" s="1" t="inlineStr">
        <is>
          <t>CHO</t>
        </is>
      </c>
      <c r="F957" s="1" t="n">
        <v>2.2882</v>
      </c>
      <c r="G957" s="1" t="n">
        <v>0.037848</v>
      </c>
    </row>
    <row r="958">
      <c r="A958" s="2" t="inlineStr">
        <is>
          <t>B12</t>
        </is>
      </c>
      <c r="B958" s="2" t="n">
        <v>24</v>
      </c>
      <c r="C958" s="2">
        <f>_xlfn.XLOOKUP(B958,Results!$B$23:$B$119,Results!$D$23:$D$119)</f>
        <v/>
      </c>
      <c r="D958" s="2" t="n">
        <v>15</v>
      </c>
      <c r="E958" s="2" t="inlineStr">
        <is>
          <t>CHO</t>
        </is>
      </c>
      <c r="F958" s="2" t="n">
        <v>2.3327</v>
      </c>
      <c r="G958" s="2" t="n">
        <v>0.07773099999999999</v>
      </c>
    </row>
    <row r="959">
      <c r="A959" s="1" t="inlineStr">
        <is>
          <t>B12</t>
        </is>
      </c>
      <c r="B959" s="1" t="n">
        <v>24</v>
      </c>
      <c r="C959" s="2">
        <f>_xlfn.XLOOKUP(B959,Results!$B$23:$B$119,Results!$D$23:$D$119)</f>
        <v/>
      </c>
      <c r="D959" s="1" t="n">
        <v>16</v>
      </c>
      <c r="E959" s="1" t="inlineStr">
        <is>
          <t>CHO</t>
        </is>
      </c>
      <c r="F959" s="1" t="n">
        <v>2.4123</v>
      </c>
      <c r="G959" s="1" t="n">
        <v>0.152679</v>
      </c>
    </row>
    <row r="960">
      <c r="A960" s="2" t="inlineStr">
        <is>
          <t>B12</t>
        </is>
      </c>
      <c r="B960" s="2" t="n">
        <v>24</v>
      </c>
      <c r="C960" s="2">
        <f>_xlfn.XLOOKUP(B960,Results!$B$23:$B$119,Results!$D$23:$D$119)</f>
        <v/>
      </c>
      <c r="D960" s="2" t="n">
        <v>17</v>
      </c>
      <c r="E960" s="2" t="inlineStr">
        <is>
          <t>CHO</t>
        </is>
      </c>
      <c r="F960" s="2" t="n">
        <v>2.5517</v>
      </c>
      <c r="G960" s="2" t="n">
        <v>0.287426</v>
      </c>
    </row>
    <row r="961">
      <c r="A961" s="1" t="inlineStr">
        <is>
          <t>B12</t>
        </is>
      </c>
      <c r="B961" s="1" t="n">
        <v>24</v>
      </c>
      <c r="C961" s="2">
        <f>_xlfn.XLOOKUP(B961,Results!$B$23:$B$119,Results!$D$23:$D$119)</f>
        <v/>
      </c>
      <c r="D961" s="1" t="n">
        <v>18</v>
      </c>
      <c r="E961" s="1" t="inlineStr">
        <is>
          <t>CHO</t>
        </is>
      </c>
      <c r="F961" s="1" t="n">
        <v>2.7782</v>
      </c>
      <c r="G961" s="1" t="n">
        <v>0.509366</v>
      </c>
    </row>
    <row r="962">
      <c r="A962" s="2" t="inlineStr">
        <is>
          <t>B12</t>
        </is>
      </c>
      <c r="B962" s="2" t="n">
        <v>24</v>
      </c>
      <c r="C962" s="2">
        <f>_xlfn.XLOOKUP(B962,Results!$B$23:$B$119,Results!$D$23:$D$119)</f>
        <v/>
      </c>
      <c r="D962" s="2" t="n">
        <v>19</v>
      </c>
      <c r="E962" s="2" t="inlineStr">
        <is>
          <t>CHO</t>
        </is>
      </c>
      <c r="F962" s="2" t="n">
        <v>3.0914</v>
      </c>
      <c r="G962" s="2" t="n">
        <v>0.81798</v>
      </c>
    </row>
    <row r="963">
      <c r="A963" s="1" t="inlineStr">
        <is>
          <t>B12</t>
        </is>
      </c>
      <c r="B963" s="1" t="n">
        <v>24</v>
      </c>
      <c r="C963" s="2">
        <f>_xlfn.XLOOKUP(B963,Results!$B$23:$B$119,Results!$D$23:$D$119)</f>
        <v/>
      </c>
      <c r="D963" s="1" t="n">
        <v>20</v>
      </c>
      <c r="E963" s="1" t="inlineStr">
        <is>
          <t>CHO</t>
        </is>
      </c>
      <c r="F963" s="1" t="n">
        <v>3.4838</v>
      </c>
      <c r="G963" s="1" t="n">
        <v>1.205758</v>
      </c>
    </row>
    <row r="964">
      <c r="A964" s="2" t="inlineStr">
        <is>
          <t>B12</t>
        </is>
      </c>
      <c r="B964" s="2" t="n">
        <v>24</v>
      </c>
      <c r="C964" s="2">
        <f>_xlfn.XLOOKUP(B964,Results!$B$23:$B$119,Results!$D$23:$D$119)</f>
        <v/>
      </c>
      <c r="D964" s="2" t="n">
        <v>21</v>
      </c>
      <c r="E964" s="2" t="inlineStr">
        <is>
          <t>CHO</t>
        </is>
      </c>
      <c r="F964" s="2" t="n">
        <v>3.8988</v>
      </c>
      <c r="G964" s="2" t="n">
        <v>1.616114</v>
      </c>
    </row>
    <row r="965">
      <c r="A965" s="1" t="inlineStr">
        <is>
          <t>B12</t>
        </is>
      </c>
      <c r="B965" s="1" t="n">
        <v>24</v>
      </c>
      <c r="C965" s="2">
        <f>_xlfn.XLOOKUP(B965,Results!$B$23:$B$119,Results!$D$23:$D$119)</f>
        <v/>
      </c>
      <c r="D965" s="1" t="n">
        <v>22</v>
      </c>
      <c r="E965" s="1" t="inlineStr">
        <is>
          <t>CHO</t>
        </is>
      </c>
      <c r="F965" s="1" t="n">
        <v>4.3067</v>
      </c>
      <c r="G965" s="1" t="n">
        <v>2.019419</v>
      </c>
    </row>
    <row r="966">
      <c r="A966" s="2" t="inlineStr">
        <is>
          <t>B12</t>
        </is>
      </c>
      <c r="B966" s="2" t="n">
        <v>24</v>
      </c>
      <c r="C966" s="2">
        <f>_xlfn.XLOOKUP(B966,Results!$B$23:$B$119,Results!$D$23:$D$119)</f>
        <v/>
      </c>
      <c r="D966" s="2" t="n">
        <v>23</v>
      </c>
      <c r="E966" s="2" t="inlineStr">
        <is>
          <t>CHO</t>
        </is>
      </c>
      <c r="F966" s="2" t="n">
        <v>4.6894</v>
      </c>
      <c r="G966" s="2" t="n">
        <v>2.39746</v>
      </c>
    </row>
    <row r="967">
      <c r="A967" s="1" t="inlineStr">
        <is>
          <t>B12</t>
        </is>
      </c>
      <c r="B967" s="1" t="n">
        <v>24</v>
      </c>
      <c r="C967" s="2">
        <f>_xlfn.XLOOKUP(B967,Results!$B$23:$B$119,Results!$D$23:$D$119)</f>
        <v/>
      </c>
      <c r="D967" s="1" t="n">
        <v>24</v>
      </c>
      <c r="E967" s="1" t="inlineStr">
        <is>
          <t>CHO</t>
        </is>
      </c>
      <c r="F967" s="1" t="n">
        <v>5.0427</v>
      </c>
      <c r="G967" s="1" t="n">
        <v>2.746163</v>
      </c>
    </row>
    <row r="968">
      <c r="A968" s="2" t="inlineStr">
        <is>
          <t>B12</t>
        </is>
      </c>
      <c r="B968" s="2" t="n">
        <v>24</v>
      </c>
      <c r="C968" s="2">
        <f>_xlfn.XLOOKUP(B968,Results!$B$23:$B$119,Results!$D$23:$D$119)</f>
        <v/>
      </c>
      <c r="D968" s="2" t="n">
        <v>25</v>
      </c>
      <c r="E968" s="2" t="inlineStr">
        <is>
          <t>CHO</t>
        </is>
      </c>
      <c r="F968" s="2" t="n">
        <v>5.3415</v>
      </c>
      <c r="G968" s="2" t="n">
        <v>3.040381</v>
      </c>
    </row>
    <row r="969">
      <c r="A969" s="1" t="inlineStr">
        <is>
          <t>B12</t>
        </is>
      </c>
      <c r="B969" s="1" t="n">
        <v>24</v>
      </c>
      <c r="C969" s="2">
        <f>_xlfn.XLOOKUP(B969,Results!$B$23:$B$119,Results!$D$23:$D$119)</f>
        <v/>
      </c>
      <c r="D969" s="1" t="n">
        <v>26</v>
      </c>
      <c r="E969" s="1" t="inlineStr">
        <is>
          <t>CHO</t>
        </is>
      </c>
      <c r="F969" s="1" t="n">
        <v>5.6035</v>
      </c>
      <c r="G969" s="1" t="n">
        <v>3.297734</v>
      </c>
    </row>
    <row r="970">
      <c r="A970" s="2" t="inlineStr">
        <is>
          <t>B12</t>
        </is>
      </c>
      <c r="B970" s="2" t="n">
        <v>24</v>
      </c>
      <c r="C970" s="2">
        <f>_xlfn.XLOOKUP(B970,Results!$B$23:$B$119,Results!$D$23:$D$119)</f>
        <v/>
      </c>
      <c r="D970" s="2" t="n">
        <v>27</v>
      </c>
      <c r="E970" s="2" t="inlineStr">
        <is>
          <t>CHO</t>
        </is>
      </c>
      <c r="F970" s="2" t="n">
        <v>5.8373</v>
      </c>
      <c r="G970" s="2" t="n">
        <v>3.526926</v>
      </c>
    </row>
    <row r="971">
      <c r="A971" s="1" t="inlineStr">
        <is>
          <t>B12</t>
        </is>
      </c>
      <c r="B971" s="1" t="n">
        <v>24</v>
      </c>
      <c r="C971" s="2">
        <f>_xlfn.XLOOKUP(B971,Results!$B$23:$B$119,Results!$D$23:$D$119)</f>
        <v/>
      </c>
      <c r="D971" s="1" t="n">
        <v>28</v>
      </c>
      <c r="E971" s="1" t="inlineStr">
        <is>
          <t>CHO</t>
        </is>
      </c>
      <c r="F971" s="1" t="n">
        <v>6.0363</v>
      </c>
      <c r="G971" s="1" t="n">
        <v>3.721278</v>
      </c>
    </row>
    <row r="972">
      <c r="A972" s="2" t="inlineStr">
        <is>
          <t>B12</t>
        </is>
      </c>
      <c r="B972" s="2" t="n">
        <v>24</v>
      </c>
      <c r="C972" s="2">
        <f>_xlfn.XLOOKUP(B972,Results!$B$23:$B$119,Results!$D$23:$D$119)</f>
        <v/>
      </c>
      <c r="D972" s="2" t="n">
        <v>29</v>
      </c>
      <c r="E972" s="2" t="inlineStr">
        <is>
          <t>CHO</t>
        </is>
      </c>
      <c r="F972" s="2" t="n">
        <v>6.2079</v>
      </c>
      <c r="G972" s="2" t="n">
        <v>3.888274</v>
      </c>
    </row>
    <row r="973">
      <c r="A973" s="1" t="inlineStr">
        <is>
          <t>B12</t>
        </is>
      </c>
      <c r="B973" s="1" t="n">
        <v>24</v>
      </c>
      <c r="C973" s="2">
        <f>_xlfn.XLOOKUP(B973,Results!$B$23:$B$119,Results!$D$23:$D$119)</f>
        <v/>
      </c>
      <c r="D973" s="1" t="n">
        <v>30</v>
      </c>
      <c r="E973" s="1" t="inlineStr">
        <is>
          <t>CHO</t>
        </is>
      </c>
      <c r="F973" s="1" t="n">
        <v>6.3583</v>
      </c>
      <c r="G973" s="1" t="n">
        <v>4.034085</v>
      </c>
    </row>
    <row r="974">
      <c r="A974" s="2" t="inlineStr">
        <is>
          <t>B12</t>
        </is>
      </c>
      <c r="B974" s="2" t="n">
        <v>24</v>
      </c>
      <c r="C974" s="2">
        <f>_xlfn.XLOOKUP(B974,Results!$B$23:$B$119,Results!$D$23:$D$119)</f>
        <v/>
      </c>
      <c r="D974" s="2" t="n">
        <v>31</v>
      </c>
      <c r="E974" s="2" t="inlineStr">
        <is>
          <t>CHO</t>
        </is>
      </c>
      <c r="F974" s="2" t="n">
        <v>6.4753</v>
      </c>
      <c r="G974" s="2" t="n">
        <v>4.146397</v>
      </c>
    </row>
    <row r="975">
      <c r="A975" s="1" t="inlineStr">
        <is>
          <t>B12</t>
        </is>
      </c>
      <c r="B975" s="1" t="n">
        <v>24</v>
      </c>
      <c r="C975" s="2">
        <f>_xlfn.XLOOKUP(B975,Results!$B$23:$B$119,Results!$D$23:$D$119)</f>
        <v/>
      </c>
      <c r="D975" s="1" t="n">
        <v>32</v>
      </c>
      <c r="E975" s="1" t="inlineStr">
        <is>
          <t>CHO</t>
        </is>
      </c>
      <c r="F975" s="1" t="n">
        <v>6.5739</v>
      </c>
      <c r="G975" s="1" t="n">
        <v>4.240422</v>
      </c>
    </row>
    <row r="976">
      <c r="A976" s="2" t="inlineStr">
        <is>
          <t>B12</t>
        </is>
      </c>
      <c r="B976" s="2" t="n">
        <v>24</v>
      </c>
      <c r="C976" s="2">
        <f>_xlfn.XLOOKUP(B976,Results!$B$23:$B$119,Results!$D$23:$D$119)</f>
        <v/>
      </c>
      <c r="D976" s="2" t="n">
        <v>33</v>
      </c>
      <c r="E976" s="2" t="inlineStr">
        <is>
          <t>CHO</t>
        </is>
      </c>
      <c r="F976" s="2" t="n">
        <v>6.6578</v>
      </c>
      <c r="G976" s="2" t="n">
        <v>4.319666</v>
      </c>
    </row>
    <row r="977">
      <c r="A977" s="1" t="inlineStr">
        <is>
          <t>B12</t>
        </is>
      </c>
      <c r="B977" s="1" t="n">
        <v>24</v>
      </c>
      <c r="C977" s="2">
        <f>_xlfn.XLOOKUP(B977,Results!$B$23:$B$119,Results!$D$23:$D$119)</f>
        <v/>
      </c>
      <c r="D977" s="1" t="n">
        <v>34</v>
      </c>
      <c r="E977" s="1" t="inlineStr">
        <is>
          <t>CHO</t>
        </is>
      </c>
      <c r="F977" s="1" t="n">
        <v>6.7443</v>
      </c>
      <c r="G977" s="1" t="n">
        <v>4.401597</v>
      </c>
    </row>
    <row r="978">
      <c r="A978" s="2" t="inlineStr">
        <is>
          <t>B12</t>
        </is>
      </c>
      <c r="B978" s="2" t="n">
        <v>24</v>
      </c>
      <c r="C978" s="2">
        <f>_xlfn.XLOOKUP(B978,Results!$B$23:$B$119,Results!$D$23:$D$119)</f>
        <v/>
      </c>
      <c r="D978" s="2" t="n">
        <v>35</v>
      </c>
      <c r="E978" s="2" t="inlineStr">
        <is>
          <t>CHO</t>
        </is>
      </c>
      <c r="F978" s="2" t="n">
        <v>6.8178</v>
      </c>
      <c r="G978" s="2" t="n">
        <v>4.470443</v>
      </c>
    </row>
    <row r="979">
      <c r="A979" s="1" t="inlineStr">
        <is>
          <t>B12</t>
        </is>
      </c>
      <c r="B979" s="1" t="n">
        <v>24</v>
      </c>
      <c r="C979" s="2">
        <f>_xlfn.XLOOKUP(B979,Results!$B$23:$B$119,Results!$D$23:$D$119)</f>
        <v/>
      </c>
      <c r="D979" s="1" t="n">
        <v>36</v>
      </c>
      <c r="E979" s="1" t="inlineStr">
        <is>
          <t>CHO</t>
        </is>
      </c>
      <c r="F979" s="1" t="n">
        <v>6.8673</v>
      </c>
      <c r="G979" s="1" t="n">
        <v>4.515351</v>
      </c>
    </row>
    <row r="980">
      <c r="A980" s="2" t="inlineStr">
        <is>
          <t>B12</t>
        </is>
      </c>
      <c r="B980" s="2" t="n">
        <v>24</v>
      </c>
      <c r="C980" s="2">
        <f>_xlfn.XLOOKUP(B980,Results!$B$23:$B$119,Results!$D$23:$D$119)</f>
        <v/>
      </c>
      <c r="D980" s="2" t="n">
        <v>37</v>
      </c>
      <c r="E980" s="2" t="inlineStr">
        <is>
          <t>CHO</t>
        </is>
      </c>
      <c r="F980" s="2" t="n">
        <v>6.9144</v>
      </c>
      <c r="G980" s="2" t="n">
        <v>4.557826</v>
      </c>
    </row>
    <row r="981">
      <c r="A981" s="1" t="inlineStr">
        <is>
          <t>B12</t>
        </is>
      </c>
      <c r="B981" s="1" t="n">
        <v>24</v>
      </c>
      <c r="C981" s="2">
        <f>_xlfn.XLOOKUP(B981,Results!$B$23:$B$119,Results!$D$23:$D$119)</f>
        <v/>
      </c>
      <c r="D981" s="1" t="n">
        <v>38</v>
      </c>
      <c r="E981" s="1" t="inlineStr">
        <is>
          <t>CHO</t>
        </is>
      </c>
      <c r="F981" s="1" t="n">
        <v>6.9779</v>
      </c>
      <c r="G981" s="1" t="n">
        <v>4.61674</v>
      </c>
    </row>
    <row r="982">
      <c r="A982" s="2" t="inlineStr">
        <is>
          <t>B12</t>
        </is>
      </c>
      <c r="B982" s="2" t="n">
        <v>24</v>
      </c>
      <c r="C982" s="2">
        <f>_xlfn.XLOOKUP(B982,Results!$B$23:$B$119,Results!$D$23:$D$119)</f>
        <v/>
      </c>
      <c r="D982" s="2" t="n">
        <v>39</v>
      </c>
      <c r="E982" s="2" t="inlineStr">
        <is>
          <t>CHO</t>
        </is>
      </c>
      <c r="F982" s="2" t="n">
        <v>7.0177</v>
      </c>
      <c r="G982" s="2" t="n">
        <v>4.651881</v>
      </c>
    </row>
    <row r="983">
      <c r="A983" s="1" t="inlineStr">
        <is>
          <t>B12</t>
        </is>
      </c>
      <c r="B983" s="1" t="n">
        <v>24</v>
      </c>
      <c r="C983" s="2">
        <f>_xlfn.XLOOKUP(B983,Results!$B$23:$B$119,Results!$D$23:$D$119)</f>
        <v/>
      </c>
      <c r="D983" s="1" t="n">
        <v>40</v>
      </c>
      <c r="E983" s="1" t="inlineStr">
        <is>
          <t>CHO</t>
        </is>
      </c>
      <c r="F983" s="1" t="n">
        <v>7.0604</v>
      </c>
      <c r="G983" s="1" t="n">
        <v>4.689954</v>
      </c>
    </row>
    <row r="984">
      <c r="A984" s="2" t="inlineStr">
        <is>
          <t>C1</t>
        </is>
      </c>
      <c r="B984" s="2" t="n">
        <v>25</v>
      </c>
      <c r="C984" s="2">
        <f>_xlfn.XLOOKUP(B984,Results!$B$23:$B$119,Results!$D$23:$D$119)</f>
        <v/>
      </c>
      <c r="D984" s="2" t="n">
        <v>1</v>
      </c>
      <c r="E984" s="2" t="inlineStr">
        <is>
          <t>CHO</t>
        </is>
      </c>
      <c r="F984" s="2" t="n">
        <v>2.3345</v>
      </c>
      <c r="G984" s="2" t="n">
        <v>-0.000636</v>
      </c>
    </row>
    <row r="985">
      <c r="A985" s="1" t="inlineStr">
        <is>
          <t>C1</t>
        </is>
      </c>
      <c r="B985" s="1" t="n">
        <v>25</v>
      </c>
      <c r="C985" s="2">
        <f>_xlfn.XLOOKUP(B985,Results!$B$23:$B$119,Results!$D$23:$D$119)</f>
        <v/>
      </c>
      <c r="D985" s="1" t="n">
        <v>2</v>
      </c>
      <c r="E985" s="1" t="inlineStr">
        <is>
          <t>CHO</t>
        </is>
      </c>
      <c r="F985" s="1" t="n">
        <v>2.337</v>
      </c>
      <c r="G985" s="1" t="n">
        <v>-0.006154</v>
      </c>
    </row>
    <row r="986">
      <c r="A986" s="2" t="inlineStr">
        <is>
          <t>C1</t>
        </is>
      </c>
      <c r="B986" s="2" t="n">
        <v>25</v>
      </c>
      <c r="C986" s="2">
        <f>_xlfn.XLOOKUP(B986,Results!$B$23:$B$119,Results!$D$23:$D$119)</f>
        <v/>
      </c>
      <c r="D986" s="2" t="n">
        <v>3</v>
      </c>
      <c r="E986" s="2" t="inlineStr">
        <is>
          <t>CHO</t>
        </is>
      </c>
      <c r="F986" s="2" t="n">
        <v>2.3519</v>
      </c>
      <c r="G986" s="2" t="n">
        <v>0.000655</v>
      </c>
    </row>
    <row r="987">
      <c r="A987" s="1" t="inlineStr">
        <is>
          <t>C1</t>
        </is>
      </c>
      <c r="B987" s="1" t="n">
        <v>25</v>
      </c>
      <c r="C987" s="2">
        <f>_xlfn.XLOOKUP(B987,Results!$B$23:$B$119,Results!$D$23:$D$119)</f>
        <v/>
      </c>
      <c r="D987" s="1" t="n">
        <v>4</v>
      </c>
      <c r="E987" s="1" t="inlineStr">
        <is>
          <t>CHO</t>
        </is>
      </c>
      <c r="F987" s="1" t="n">
        <v>2.3617</v>
      </c>
      <c r="G987" s="1" t="n">
        <v>0.002478</v>
      </c>
    </row>
    <row r="988">
      <c r="A988" s="2" t="inlineStr">
        <is>
          <t>C1</t>
        </is>
      </c>
      <c r="B988" s="2" t="n">
        <v>25</v>
      </c>
      <c r="C988" s="2">
        <f>_xlfn.XLOOKUP(B988,Results!$B$23:$B$119,Results!$D$23:$D$119)</f>
        <v/>
      </c>
      <c r="D988" s="2" t="n">
        <v>5</v>
      </c>
      <c r="E988" s="2" t="inlineStr">
        <is>
          <t>CHO</t>
        </is>
      </c>
      <c r="F988" s="2" t="n">
        <v>2.3688</v>
      </c>
      <c r="G988" s="2" t="n">
        <v>0.00153</v>
      </c>
    </row>
    <row r="989">
      <c r="A989" s="1" t="inlineStr">
        <is>
          <t>C1</t>
        </is>
      </c>
      <c r="B989" s="1" t="n">
        <v>25</v>
      </c>
      <c r="C989" s="2">
        <f>_xlfn.XLOOKUP(B989,Results!$B$23:$B$119,Results!$D$23:$D$119)</f>
        <v/>
      </c>
      <c r="D989" s="1" t="n">
        <v>6</v>
      </c>
      <c r="E989" s="1" t="inlineStr">
        <is>
          <t>CHO</t>
        </is>
      </c>
      <c r="F989" s="1" t="n">
        <v>2.3757</v>
      </c>
      <c r="G989" s="1" t="n">
        <v>0.000444</v>
      </c>
    </row>
    <row r="990">
      <c r="A990" s="2" t="inlineStr">
        <is>
          <t>C1</t>
        </is>
      </c>
      <c r="B990" s="2" t="n">
        <v>25</v>
      </c>
      <c r="C990" s="2">
        <f>_xlfn.XLOOKUP(B990,Results!$B$23:$B$119,Results!$D$23:$D$119)</f>
        <v/>
      </c>
      <c r="D990" s="2" t="n">
        <v>7</v>
      </c>
      <c r="E990" s="2" t="inlineStr">
        <is>
          <t>CHO</t>
        </is>
      </c>
      <c r="F990" s="2" t="n">
        <v>2.3836</v>
      </c>
      <c r="G990" s="2" t="n">
        <v>0.000257</v>
      </c>
    </row>
    <row r="991">
      <c r="A991" s="1" t="inlineStr">
        <is>
          <t>C1</t>
        </is>
      </c>
      <c r="B991" s="1" t="n">
        <v>25</v>
      </c>
      <c r="C991" s="2">
        <f>_xlfn.XLOOKUP(B991,Results!$B$23:$B$119,Results!$D$23:$D$119)</f>
        <v/>
      </c>
      <c r="D991" s="1" t="n">
        <v>8</v>
      </c>
      <c r="E991" s="1" t="inlineStr">
        <is>
          <t>CHO</t>
        </is>
      </c>
      <c r="F991" s="1" t="n">
        <v>2.3923</v>
      </c>
      <c r="G991" s="1" t="n">
        <v>0.000925</v>
      </c>
    </row>
    <row r="992">
      <c r="A992" s="2" t="inlineStr">
        <is>
          <t>C1</t>
        </is>
      </c>
      <c r="B992" s="2" t="n">
        <v>25</v>
      </c>
      <c r="C992" s="2">
        <f>_xlfn.XLOOKUP(B992,Results!$B$23:$B$119,Results!$D$23:$D$119)</f>
        <v/>
      </c>
      <c r="D992" s="2" t="n">
        <v>9</v>
      </c>
      <c r="E992" s="2" t="inlineStr">
        <is>
          <t>CHO</t>
        </is>
      </c>
      <c r="F992" s="2" t="n">
        <v>2.3977</v>
      </c>
      <c r="G992" s="2" t="n">
        <v>-0.001699</v>
      </c>
    </row>
    <row r="993">
      <c r="A993" s="1" t="inlineStr">
        <is>
          <t>C1</t>
        </is>
      </c>
      <c r="B993" s="1" t="n">
        <v>25</v>
      </c>
      <c r="C993" s="2">
        <f>_xlfn.XLOOKUP(B993,Results!$B$23:$B$119,Results!$D$23:$D$119)</f>
        <v/>
      </c>
      <c r="D993" s="1" t="n">
        <v>10</v>
      </c>
      <c r="E993" s="1" t="inlineStr">
        <is>
          <t>CHO</t>
        </is>
      </c>
      <c r="F993" s="1" t="n">
        <v>2.4052</v>
      </c>
      <c r="G993" s="1" t="n">
        <v>-0.00221</v>
      </c>
    </row>
    <row r="994">
      <c r="A994" s="2" t="inlineStr">
        <is>
          <t>C1</t>
        </is>
      </c>
      <c r="B994" s="2" t="n">
        <v>25</v>
      </c>
      <c r="C994" s="2">
        <f>_xlfn.XLOOKUP(B994,Results!$B$23:$B$119,Results!$D$23:$D$119)</f>
        <v/>
      </c>
      <c r="D994" s="2" t="n">
        <v>11</v>
      </c>
      <c r="E994" s="2" t="inlineStr">
        <is>
          <t>CHO</t>
        </is>
      </c>
      <c r="F994" s="2" t="n">
        <v>2.4166</v>
      </c>
      <c r="G994" s="2" t="n">
        <v>0.001172</v>
      </c>
    </row>
    <row r="995">
      <c r="A995" s="1" t="inlineStr">
        <is>
          <t>C1</t>
        </is>
      </c>
      <c r="B995" s="1" t="n">
        <v>25</v>
      </c>
      <c r="C995" s="2">
        <f>_xlfn.XLOOKUP(B995,Results!$B$23:$B$119,Results!$D$23:$D$119)</f>
        <v/>
      </c>
      <c r="D995" s="1" t="n">
        <v>12</v>
      </c>
      <c r="E995" s="1" t="inlineStr">
        <is>
          <t>CHO</t>
        </is>
      </c>
      <c r="F995" s="1" t="n">
        <v>2.4243</v>
      </c>
      <c r="G995" s="1" t="n">
        <v>0.000807</v>
      </c>
    </row>
    <row r="996">
      <c r="A996" s="2" t="inlineStr">
        <is>
          <t>C1</t>
        </is>
      </c>
      <c r="B996" s="2" t="n">
        <v>25</v>
      </c>
      <c r="C996" s="2">
        <f>_xlfn.XLOOKUP(B996,Results!$B$23:$B$119,Results!$D$23:$D$119)</f>
        <v/>
      </c>
      <c r="D996" s="2" t="n">
        <v>13</v>
      </c>
      <c r="E996" s="2" t="inlineStr">
        <is>
          <t>CHO</t>
        </is>
      </c>
      <c r="F996" s="2" t="n">
        <v>2.4307</v>
      </c>
      <c r="G996" s="2" t="n">
        <v>-0.00083</v>
      </c>
    </row>
    <row r="997">
      <c r="A997" s="1" t="inlineStr">
        <is>
          <t>C1</t>
        </is>
      </c>
      <c r="B997" s="1" t="n">
        <v>25</v>
      </c>
      <c r="C997" s="2">
        <f>_xlfn.XLOOKUP(B997,Results!$B$23:$B$119,Results!$D$23:$D$119)</f>
        <v/>
      </c>
      <c r="D997" s="1" t="n">
        <v>14</v>
      </c>
      <c r="E997" s="1" t="inlineStr">
        <is>
          <t>CHO</t>
        </is>
      </c>
      <c r="F997" s="1" t="n">
        <v>2.4407</v>
      </c>
      <c r="G997" s="1" t="n">
        <v>0.001175</v>
      </c>
    </row>
    <row r="998">
      <c r="A998" s="2" t="inlineStr">
        <is>
          <t>C1</t>
        </is>
      </c>
      <c r="B998" s="2" t="n">
        <v>25</v>
      </c>
      <c r="C998" s="2">
        <f>_xlfn.XLOOKUP(B998,Results!$B$23:$B$119,Results!$D$23:$D$119)</f>
        <v/>
      </c>
      <c r="D998" s="2" t="n">
        <v>15</v>
      </c>
      <c r="E998" s="2" t="inlineStr">
        <is>
          <t>CHO</t>
        </is>
      </c>
      <c r="F998" s="2" t="n">
        <v>2.4459</v>
      </c>
      <c r="G998" s="2" t="n">
        <v>-0.001678</v>
      </c>
    </row>
    <row r="999">
      <c r="A999" s="1" t="inlineStr">
        <is>
          <t>C1</t>
        </is>
      </c>
      <c r="B999" s="1" t="n">
        <v>25</v>
      </c>
      <c r="C999" s="2">
        <f>_xlfn.XLOOKUP(B999,Results!$B$23:$B$119,Results!$D$23:$D$119)</f>
        <v/>
      </c>
      <c r="D999" s="1" t="n">
        <v>16</v>
      </c>
      <c r="E999" s="1" t="inlineStr">
        <is>
          <t>CHO</t>
        </is>
      </c>
      <c r="F999" s="1" t="n">
        <v>2.4531</v>
      </c>
      <c r="G999" s="1" t="n">
        <v>-0.002475</v>
      </c>
    </row>
    <row r="1000">
      <c r="A1000" s="2" t="inlineStr">
        <is>
          <t>C1</t>
        </is>
      </c>
      <c r="B1000" s="2" t="n">
        <v>25</v>
      </c>
      <c r="C1000" s="2">
        <f>_xlfn.XLOOKUP(B1000,Results!$B$23:$B$119,Results!$D$23:$D$119)</f>
        <v/>
      </c>
      <c r="D1000" s="2" t="n">
        <v>17</v>
      </c>
      <c r="E1000" s="2" t="inlineStr">
        <is>
          <t>CHO</t>
        </is>
      </c>
      <c r="F1000" s="2" t="n">
        <v>2.4604</v>
      </c>
      <c r="G1000" s="2" t="n">
        <v>-0.003192</v>
      </c>
    </row>
    <row r="1001">
      <c r="A1001" s="1" t="inlineStr">
        <is>
          <t>C1</t>
        </is>
      </c>
      <c r="B1001" s="1" t="n">
        <v>25</v>
      </c>
      <c r="C1001" s="2">
        <f>_xlfn.XLOOKUP(B1001,Results!$B$23:$B$119,Results!$D$23:$D$119)</f>
        <v/>
      </c>
      <c r="D1001" s="1" t="n">
        <v>18</v>
      </c>
      <c r="E1001" s="1" t="inlineStr">
        <is>
          <t>CHO</t>
        </is>
      </c>
      <c r="F1001" s="1" t="n">
        <v>2.4714</v>
      </c>
      <c r="G1001" s="1" t="n">
        <v>-0.000233</v>
      </c>
    </row>
    <row r="1002">
      <c r="A1002" s="2" t="inlineStr">
        <is>
          <t>C1</t>
        </is>
      </c>
      <c r="B1002" s="2" t="n">
        <v>25</v>
      </c>
      <c r="C1002" s="2">
        <f>_xlfn.XLOOKUP(B1002,Results!$B$23:$B$119,Results!$D$23:$D$119)</f>
        <v/>
      </c>
      <c r="D1002" s="2" t="n">
        <v>19</v>
      </c>
      <c r="E1002" s="2" t="inlineStr">
        <is>
          <t>CHO</t>
        </is>
      </c>
      <c r="F1002" s="2" t="n">
        <v>2.4784</v>
      </c>
      <c r="G1002" s="2" t="n">
        <v>-0.001285</v>
      </c>
    </row>
    <row r="1003">
      <c r="A1003" s="1" t="inlineStr">
        <is>
          <t>C1</t>
        </is>
      </c>
      <c r="B1003" s="1" t="n">
        <v>25</v>
      </c>
      <c r="C1003" s="2">
        <f>_xlfn.XLOOKUP(B1003,Results!$B$23:$B$119,Results!$D$23:$D$119)</f>
        <v/>
      </c>
      <c r="D1003" s="1" t="n">
        <v>20</v>
      </c>
      <c r="E1003" s="1" t="inlineStr">
        <is>
          <t>CHO</t>
        </is>
      </c>
      <c r="F1003" s="1" t="n">
        <v>2.4885</v>
      </c>
      <c r="G1003" s="1" t="n">
        <v>0.000764</v>
      </c>
    </row>
    <row r="1004">
      <c r="A1004" s="2" t="inlineStr">
        <is>
          <t>C1</t>
        </is>
      </c>
      <c r="B1004" s="2" t="n">
        <v>25</v>
      </c>
      <c r="C1004" s="2">
        <f>_xlfn.XLOOKUP(B1004,Results!$B$23:$B$119,Results!$D$23:$D$119)</f>
        <v/>
      </c>
      <c r="D1004" s="2" t="n">
        <v>21</v>
      </c>
      <c r="E1004" s="2" t="inlineStr">
        <is>
          <t>CHO</t>
        </is>
      </c>
      <c r="F1004" s="2" t="n">
        <v>2.4954</v>
      </c>
      <c r="G1004" s="2" t="n">
        <v>-0.000307</v>
      </c>
    </row>
    <row r="1005">
      <c r="A1005" s="1" t="inlineStr">
        <is>
          <t>C1</t>
        </is>
      </c>
      <c r="B1005" s="1" t="n">
        <v>25</v>
      </c>
      <c r="C1005" s="2">
        <f>_xlfn.XLOOKUP(B1005,Results!$B$23:$B$119,Results!$D$23:$D$119)</f>
        <v/>
      </c>
      <c r="D1005" s="1" t="n">
        <v>22</v>
      </c>
      <c r="E1005" s="1" t="inlineStr">
        <is>
          <t>CHO</t>
        </is>
      </c>
      <c r="F1005" s="1" t="n">
        <v>2.5026</v>
      </c>
      <c r="G1005" s="1" t="n">
        <v>-0.001125</v>
      </c>
    </row>
    <row r="1006">
      <c r="A1006" s="2" t="inlineStr">
        <is>
          <t>C1</t>
        </is>
      </c>
      <c r="B1006" s="2" t="n">
        <v>25</v>
      </c>
      <c r="C1006" s="2">
        <f>_xlfn.XLOOKUP(B1006,Results!$B$23:$B$119,Results!$D$23:$D$119)</f>
        <v/>
      </c>
      <c r="D1006" s="2" t="n">
        <v>23</v>
      </c>
      <c r="E1006" s="2" t="inlineStr">
        <is>
          <t>CHO</t>
        </is>
      </c>
      <c r="F1006" s="2" t="n">
        <v>2.5089</v>
      </c>
      <c r="G1006" s="2" t="n">
        <v>-0.002876</v>
      </c>
    </row>
    <row r="1007">
      <c r="A1007" s="1" t="inlineStr">
        <is>
          <t>C1</t>
        </is>
      </c>
      <c r="B1007" s="1" t="n">
        <v>25</v>
      </c>
      <c r="C1007" s="2">
        <f>_xlfn.XLOOKUP(B1007,Results!$B$23:$B$119,Results!$D$23:$D$119)</f>
        <v/>
      </c>
      <c r="D1007" s="1" t="n">
        <v>24</v>
      </c>
      <c r="E1007" s="1" t="inlineStr">
        <is>
          <t>CHO</t>
        </is>
      </c>
      <c r="F1007" s="1" t="n">
        <v>2.517</v>
      </c>
      <c r="G1007" s="1" t="n">
        <v>-0.002816</v>
      </c>
    </row>
    <row r="1008">
      <c r="A1008" s="2" t="inlineStr">
        <is>
          <t>C1</t>
        </is>
      </c>
      <c r="B1008" s="2" t="n">
        <v>25</v>
      </c>
      <c r="C1008" s="2">
        <f>_xlfn.XLOOKUP(B1008,Results!$B$23:$B$119,Results!$D$23:$D$119)</f>
        <v/>
      </c>
      <c r="D1008" s="2" t="n">
        <v>25</v>
      </c>
      <c r="E1008" s="2" t="inlineStr">
        <is>
          <t>CHO</t>
        </is>
      </c>
      <c r="F1008" s="2" t="n">
        <v>2.5319</v>
      </c>
      <c r="G1008" s="2" t="n">
        <v>0.004115</v>
      </c>
    </row>
    <row r="1009">
      <c r="A1009" s="1" t="inlineStr">
        <is>
          <t>C1</t>
        </is>
      </c>
      <c r="B1009" s="1" t="n">
        <v>25</v>
      </c>
      <c r="C1009" s="2">
        <f>_xlfn.XLOOKUP(B1009,Results!$B$23:$B$119,Results!$D$23:$D$119)</f>
        <v/>
      </c>
      <c r="D1009" s="1" t="n">
        <v>26</v>
      </c>
      <c r="E1009" s="1" t="inlineStr">
        <is>
          <t>CHO</t>
        </is>
      </c>
      <c r="F1009" s="1" t="n">
        <v>2.5409</v>
      </c>
      <c r="G1009" s="1" t="n">
        <v>0.005038</v>
      </c>
    </row>
    <row r="1010">
      <c r="A1010" s="2" t="inlineStr">
        <is>
          <t>C1</t>
        </is>
      </c>
      <c r="B1010" s="2" t="n">
        <v>25</v>
      </c>
      <c r="C1010" s="2">
        <f>_xlfn.XLOOKUP(B1010,Results!$B$23:$B$119,Results!$D$23:$D$119)</f>
        <v/>
      </c>
      <c r="D1010" s="2" t="n">
        <v>27</v>
      </c>
      <c r="E1010" s="2" t="inlineStr">
        <is>
          <t>CHO</t>
        </is>
      </c>
      <c r="F1010" s="2" t="n">
        <v>2.5437</v>
      </c>
      <c r="G1010" s="2" t="n">
        <v>-0.00022</v>
      </c>
    </row>
    <row r="1011">
      <c r="A1011" s="1" t="inlineStr">
        <is>
          <t>C1</t>
        </is>
      </c>
      <c r="B1011" s="1" t="n">
        <v>25</v>
      </c>
      <c r="C1011" s="2">
        <f>_xlfn.XLOOKUP(B1011,Results!$B$23:$B$119,Results!$D$23:$D$119)</f>
        <v/>
      </c>
      <c r="D1011" s="1" t="n">
        <v>28</v>
      </c>
      <c r="E1011" s="1" t="inlineStr">
        <is>
          <t>CHO</t>
        </is>
      </c>
      <c r="F1011" s="1" t="n">
        <v>2.5508</v>
      </c>
      <c r="G1011" s="1" t="n">
        <v>-0.001153</v>
      </c>
    </row>
    <row r="1012">
      <c r="A1012" s="2" t="inlineStr">
        <is>
          <t>C1</t>
        </is>
      </c>
      <c r="B1012" s="2" t="n">
        <v>25</v>
      </c>
      <c r="C1012" s="2">
        <f>_xlfn.XLOOKUP(B1012,Results!$B$23:$B$119,Results!$D$23:$D$119)</f>
        <v/>
      </c>
      <c r="D1012" s="2" t="n">
        <v>29</v>
      </c>
      <c r="E1012" s="2" t="inlineStr">
        <is>
          <t>CHO</t>
        </is>
      </c>
      <c r="F1012" s="2" t="n">
        <v>2.5627</v>
      </c>
      <c r="G1012" s="2" t="n">
        <v>0.002739</v>
      </c>
    </row>
    <row r="1013">
      <c r="A1013" s="1" t="inlineStr">
        <is>
          <t>C1</t>
        </is>
      </c>
      <c r="B1013" s="1" t="n">
        <v>25</v>
      </c>
      <c r="C1013" s="2">
        <f>_xlfn.XLOOKUP(B1013,Results!$B$23:$B$119,Results!$D$23:$D$119)</f>
        <v/>
      </c>
      <c r="D1013" s="1" t="n">
        <v>30</v>
      </c>
      <c r="E1013" s="1" t="inlineStr">
        <is>
          <t>CHO</t>
        </is>
      </c>
      <c r="F1013" s="1" t="n">
        <v>2.5667</v>
      </c>
      <c r="G1013" s="1" t="n">
        <v>-0.001246</v>
      </c>
    </row>
    <row r="1014">
      <c r="A1014" s="2" t="inlineStr">
        <is>
          <t>C1</t>
        </is>
      </c>
      <c r="B1014" s="2" t="n">
        <v>25</v>
      </c>
      <c r="C1014" s="2">
        <f>_xlfn.XLOOKUP(B1014,Results!$B$23:$B$119,Results!$D$23:$D$119)</f>
        <v/>
      </c>
      <c r="D1014" s="2" t="n">
        <v>31</v>
      </c>
      <c r="E1014" s="2" t="inlineStr">
        <is>
          <t>CHO</t>
        </is>
      </c>
      <c r="F1014" s="2" t="n">
        <v>2.5768</v>
      </c>
      <c r="G1014" s="2" t="n">
        <v>0.000836</v>
      </c>
    </row>
    <row r="1015">
      <c r="A1015" s="1" t="inlineStr">
        <is>
          <t>C1</t>
        </is>
      </c>
      <c r="B1015" s="1" t="n">
        <v>25</v>
      </c>
      <c r="C1015" s="2">
        <f>_xlfn.XLOOKUP(B1015,Results!$B$23:$B$119,Results!$D$23:$D$119)</f>
        <v/>
      </c>
      <c r="D1015" s="1" t="n">
        <v>32</v>
      </c>
      <c r="E1015" s="1" t="inlineStr">
        <is>
          <t>CHO</t>
        </is>
      </c>
      <c r="F1015" s="1" t="n">
        <v>2.5927</v>
      </c>
      <c r="G1015" s="1" t="n">
        <v>0.008633</v>
      </c>
    </row>
    <row r="1016">
      <c r="A1016" s="2" t="inlineStr">
        <is>
          <t>C1</t>
        </is>
      </c>
      <c r="B1016" s="2" t="n">
        <v>25</v>
      </c>
      <c r="C1016" s="2">
        <f>_xlfn.XLOOKUP(B1016,Results!$B$23:$B$119,Results!$D$23:$D$119)</f>
        <v/>
      </c>
      <c r="D1016" s="2" t="n">
        <v>33</v>
      </c>
      <c r="E1016" s="2" t="inlineStr">
        <is>
          <t>CHO</t>
        </is>
      </c>
      <c r="F1016" s="2" t="n">
        <v>2.6041</v>
      </c>
      <c r="G1016" s="2" t="n">
        <v>0.012087</v>
      </c>
    </row>
    <row r="1017">
      <c r="A1017" s="1" t="inlineStr">
        <is>
          <t>C1</t>
        </is>
      </c>
      <c r="B1017" s="1" t="n">
        <v>25</v>
      </c>
      <c r="C1017" s="2">
        <f>_xlfn.XLOOKUP(B1017,Results!$B$23:$B$119,Results!$D$23:$D$119)</f>
        <v/>
      </c>
      <c r="D1017" s="1" t="n">
        <v>34</v>
      </c>
      <c r="E1017" s="1" t="inlineStr">
        <is>
          <t>CHO</t>
        </is>
      </c>
      <c r="F1017" s="1" t="n">
        <v>2.6113</v>
      </c>
      <c r="G1017" s="1" t="n">
        <v>0.011206</v>
      </c>
    </row>
    <row r="1018">
      <c r="A1018" s="2" t="inlineStr">
        <is>
          <t>C1</t>
        </is>
      </c>
      <c r="B1018" s="2" t="n">
        <v>25</v>
      </c>
      <c r="C1018" s="2">
        <f>_xlfn.XLOOKUP(B1018,Results!$B$23:$B$119,Results!$D$23:$D$119)</f>
        <v/>
      </c>
      <c r="D1018" s="2" t="n">
        <v>35</v>
      </c>
      <c r="E1018" s="2" t="inlineStr">
        <is>
          <t>CHO</t>
        </is>
      </c>
      <c r="F1018" s="2" t="n">
        <v>2.6251</v>
      </c>
      <c r="G1018" s="2" t="n">
        <v>0.016986</v>
      </c>
    </row>
    <row r="1019">
      <c r="A1019" s="1" t="inlineStr">
        <is>
          <t>C1</t>
        </is>
      </c>
      <c r="B1019" s="1" t="n">
        <v>25</v>
      </c>
      <c r="C1019" s="2">
        <f>_xlfn.XLOOKUP(B1019,Results!$B$23:$B$119,Results!$D$23:$D$119)</f>
        <v/>
      </c>
      <c r="D1019" s="1" t="n">
        <v>36</v>
      </c>
      <c r="E1019" s="1" t="inlineStr">
        <is>
          <t>CHO</t>
        </is>
      </c>
      <c r="F1019" s="1" t="n">
        <v>2.6336</v>
      </c>
      <c r="G1019" s="1" t="n">
        <v>0.017502</v>
      </c>
    </row>
    <row r="1020">
      <c r="A1020" s="2" t="inlineStr">
        <is>
          <t>C1</t>
        </is>
      </c>
      <c r="B1020" s="2" t="n">
        <v>25</v>
      </c>
      <c r="C1020" s="2">
        <f>_xlfn.XLOOKUP(B1020,Results!$B$23:$B$119,Results!$D$23:$D$119)</f>
        <v/>
      </c>
      <c r="D1020" s="2" t="n">
        <v>37</v>
      </c>
      <c r="E1020" s="2" t="inlineStr">
        <is>
          <t>CHO</t>
        </is>
      </c>
      <c r="F1020" s="2" t="n">
        <v>2.6405</v>
      </c>
      <c r="G1020" s="2" t="n">
        <v>0.016358</v>
      </c>
    </row>
    <row r="1021">
      <c r="A1021" s="1" t="inlineStr">
        <is>
          <t>C1</t>
        </is>
      </c>
      <c r="B1021" s="1" t="n">
        <v>25</v>
      </c>
      <c r="C1021" s="2">
        <f>_xlfn.XLOOKUP(B1021,Results!$B$23:$B$119,Results!$D$23:$D$119)</f>
        <v/>
      </c>
      <c r="D1021" s="1" t="n">
        <v>38</v>
      </c>
      <c r="E1021" s="1" t="inlineStr">
        <is>
          <t>CHO</t>
        </is>
      </c>
      <c r="F1021" s="1" t="n">
        <v>2.6568</v>
      </c>
      <c r="G1021" s="1" t="n">
        <v>0.024564</v>
      </c>
    </row>
    <row r="1022">
      <c r="A1022" s="2" t="inlineStr">
        <is>
          <t>C1</t>
        </is>
      </c>
      <c r="B1022" s="2" t="n">
        <v>25</v>
      </c>
      <c r="C1022" s="2">
        <f>_xlfn.XLOOKUP(B1022,Results!$B$23:$B$119,Results!$D$23:$D$119)</f>
        <v/>
      </c>
      <c r="D1022" s="2" t="n">
        <v>39</v>
      </c>
      <c r="E1022" s="2" t="inlineStr">
        <is>
          <t>CHO</t>
        </is>
      </c>
      <c r="F1022" s="2" t="n">
        <v>2.6813</v>
      </c>
      <c r="G1022" s="2" t="n">
        <v>0.041064</v>
      </c>
    </row>
    <row r="1023">
      <c r="A1023" s="1" t="inlineStr">
        <is>
          <t>C1</t>
        </is>
      </c>
      <c r="B1023" s="1" t="n">
        <v>25</v>
      </c>
      <c r="C1023" s="2">
        <f>_xlfn.XLOOKUP(B1023,Results!$B$23:$B$119,Results!$D$23:$D$119)</f>
        <v/>
      </c>
      <c r="D1023" s="1" t="n">
        <v>40</v>
      </c>
      <c r="E1023" s="1" t="inlineStr">
        <is>
          <t>CHO</t>
        </is>
      </c>
      <c r="F1023" s="1" t="n">
        <v>2.6905</v>
      </c>
      <c r="G1023" s="1" t="n">
        <v>0.042274</v>
      </c>
    </row>
    <row r="1024">
      <c r="A1024" s="2" t="inlineStr">
        <is>
          <t>C2</t>
        </is>
      </c>
      <c r="B1024" s="2" t="n">
        <v>26</v>
      </c>
      <c r="C1024" s="2">
        <f>_xlfn.XLOOKUP(B1024,Results!$B$23:$B$119,Results!$D$23:$D$119)</f>
        <v/>
      </c>
      <c r="D1024" s="2" t="n">
        <v>1</v>
      </c>
      <c r="E1024" s="2" t="inlineStr">
        <is>
          <t>CHO</t>
        </is>
      </c>
      <c r="F1024" s="2" t="n">
        <v>2.4167</v>
      </c>
      <c r="G1024" s="2" t="n">
        <v>0.009235999999999999</v>
      </c>
    </row>
    <row r="1025">
      <c r="A1025" s="1" t="inlineStr">
        <is>
          <t>C2</t>
        </is>
      </c>
      <c r="B1025" s="1" t="n">
        <v>26</v>
      </c>
      <c r="C1025" s="2">
        <f>_xlfn.XLOOKUP(B1025,Results!$B$23:$B$119,Results!$D$23:$D$119)</f>
        <v/>
      </c>
      <c r="D1025" s="1" t="n">
        <v>2</v>
      </c>
      <c r="E1025" s="1" t="inlineStr">
        <is>
          <t>CHO</t>
        </is>
      </c>
      <c r="F1025" s="1" t="n">
        <v>2.4138</v>
      </c>
      <c r="G1025" s="1" t="n">
        <v>-0.002459</v>
      </c>
    </row>
    <row r="1026">
      <c r="A1026" s="2" t="inlineStr">
        <is>
          <t>C2</t>
        </is>
      </c>
      <c r="B1026" s="2" t="n">
        <v>26</v>
      </c>
      <c r="C1026" s="2">
        <f>_xlfn.XLOOKUP(B1026,Results!$B$23:$B$119,Results!$D$23:$D$119)</f>
        <v/>
      </c>
      <c r="D1026" s="2" t="n">
        <v>3</v>
      </c>
      <c r="E1026" s="2" t="inlineStr">
        <is>
          <t>CHO</t>
        </is>
      </c>
      <c r="F1026" s="2" t="n">
        <v>2.4215</v>
      </c>
      <c r="G1026" s="2" t="n">
        <v>-0.003647</v>
      </c>
    </row>
    <row r="1027">
      <c r="A1027" s="1" t="inlineStr">
        <is>
          <t>C2</t>
        </is>
      </c>
      <c r="B1027" s="1" t="n">
        <v>26</v>
      </c>
      <c r="C1027" s="2">
        <f>_xlfn.XLOOKUP(B1027,Results!$B$23:$B$119,Results!$D$23:$D$119)</f>
        <v/>
      </c>
      <c r="D1027" s="1" t="n">
        <v>4</v>
      </c>
      <c r="E1027" s="1" t="inlineStr">
        <is>
          <t>CHO</t>
        </is>
      </c>
      <c r="F1027" s="1" t="n">
        <v>2.4343</v>
      </c>
      <c r="G1027" s="1" t="n">
        <v>0.000218</v>
      </c>
    </row>
    <row r="1028">
      <c r="A1028" s="2" t="inlineStr">
        <is>
          <t>C2</t>
        </is>
      </c>
      <c r="B1028" s="2" t="n">
        <v>26</v>
      </c>
      <c r="C1028" s="2">
        <f>_xlfn.XLOOKUP(B1028,Results!$B$23:$B$119,Results!$D$23:$D$119)</f>
        <v/>
      </c>
      <c r="D1028" s="2" t="n">
        <v>5</v>
      </c>
      <c r="E1028" s="2" t="inlineStr">
        <is>
          <t>CHO</t>
        </is>
      </c>
      <c r="F1028" s="2" t="n">
        <v>2.4464</v>
      </c>
      <c r="G1028" s="2" t="n">
        <v>0.003516</v>
      </c>
    </row>
    <row r="1029">
      <c r="A1029" s="1" t="inlineStr">
        <is>
          <t>C2</t>
        </is>
      </c>
      <c r="B1029" s="1" t="n">
        <v>26</v>
      </c>
      <c r="C1029" s="2">
        <f>_xlfn.XLOOKUP(B1029,Results!$B$23:$B$119,Results!$D$23:$D$119)</f>
        <v/>
      </c>
      <c r="D1029" s="1" t="n">
        <v>6</v>
      </c>
      <c r="E1029" s="1" t="inlineStr">
        <is>
          <t>CHO</t>
        </is>
      </c>
      <c r="F1029" s="1" t="n">
        <v>2.4551</v>
      </c>
      <c r="G1029" s="1" t="n">
        <v>0.003294</v>
      </c>
    </row>
    <row r="1030">
      <c r="A1030" s="2" t="inlineStr">
        <is>
          <t>C2</t>
        </is>
      </c>
      <c r="B1030" s="2" t="n">
        <v>26</v>
      </c>
      <c r="C1030" s="2">
        <f>_xlfn.XLOOKUP(B1030,Results!$B$23:$B$119,Results!$D$23:$D$119)</f>
        <v/>
      </c>
      <c r="D1030" s="2" t="n">
        <v>7</v>
      </c>
      <c r="E1030" s="2" t="inlineStr">
        <is>
          <t>CHO</t>
        </is>
      </c>
      <c r="F1030" s="2" t="n">
        <v>2.4635</v>
      </c>
      <c r="G1030" s="2" t="n">
        <v>0.002833</v>
      </c>
    </row>
    <row r="1031">
      <c r="A1031" s="1" t="inlineStr">
        <is>
          <t>C2</t>
        </is>
      </c>
      <c r="B1031" s="1" t="n">
        <v>26</v>
      </c>
      <c r="C1031" s="2">
        <f>_xlfn.XLOOKUP(B1031,Results!$B$23:$B$119,Results!$D$23:$D$119)</f>
        <v/>
      </c>
      <c r="D1031" s="1" t="n">
        <v>8</v>
      </c>
      <c r="E1031" s="1" t="inlineStr">
        <is>
          <t>CHO</t>
        </is>
      </c>
      <c r="F1031" s="1" t="n">
        <v>2.4683</v>
      </c>
      <c r="G1031" s="1" t="n">
        <v>-0.001155</v>
      </c>
    </row>
    <row r="1032">
      <c r="A1032" s="2" t="inlineStr">
        <is>
          <t>C2</t>
        </is>
      </c>
      <c r="B1032" s="2" t="n">
        <v>26</v>
      </c>
      <c r="C1032" s="2">
        <f>_xlfn.XLOOKUP(B1032,Results!$B$23:$B$119,Results!$D$23:$D$119)</f>
        <v/>
      </c>
      <c r="D1032" s="2" t="n">
        <v>9</v>
      </c>
      <c r="E1032" s="2" t="inlineStr">
        <is>
          <t>CHO</t>
        </is>
      </c>
      <c r="F1032" s="2" t="n">
        <v>2.4776</v>
      </c>
      <c r="G1032" s="2" t="n">
        <v>-0.000778</v>
      </c>
    </row>
    <row r="1033">
      <c r="A1033" s="1" t="inlineStr">
        <is>
          <t>C2</t>
        </is>
      </c>
      <c r="B1033" s="1" t="n">
        <v>26</v>
      </c>
      <c r="C1033" s="2">
        <f>_xlfn.XLOOKUP(B1033,Results!$B$23:$B$119,Results!$D$23:$D$119)</f>
        <v/>
      </c>
      <c r="D1033" s="1" t="n">
        <v>10</v>
      </c>
      <c r="E1033" s="1" t="inlineStr">
        <is>
          <t>CHO</t>
        </is>
      </c>
      <c r="F1033" s="1" t="n">
        <v>2.4884</v>
      </c>
      <c r="G1033" s="1" t="n">
        <v>0.001208</v>
      </c>
    </row>
    <row r="1034">
      <c r="A1034" s="2" t="inlineStr">
        <is>
          <t>C2</t>
        </is>
      </c>
      <c r="B1034" s="2" t="n">
        <v>26</v>
      </c>
      <c r="C1034" s="2">
        <f>_xlfn.XLOOKUP(B1034,Results!$B$23:$B$119,Results!$D$23:$D$119)</f>
        <v/>
      </c>
      <c r="D1034" s="2" t="n">
        <v>11</v>
      </c>
      <c r="E1034" s="2" t="inlineStr">
        <is>
          <t>CHO</t>
        </is>
      </c>
      <c r="F1034" s="2" t="n">
        <v>2.4965</v>
      </c>
      <c r="G1034" s="2" t="n">
        <v>0.000389</v>
      </c>
    </row>
    <row r="1035">
      <c r="A1035" s="1" t="inlineStr">
        <is>
          <t>C2</t>
        </is>
      </c>
      <c r="B1035" s="1" t="n">
        <v>26</v>
      </c>
      <c r="C1035" s="2">
        <f>_xlfn.XLOOKUP(B1035,Results!$B$23:$B$119,Results!$D$23:$D$119)</f>
        <v/>
      </c>
      <c r="D1035" s="1" t="n">
        <v>12</v>
      </c>
      <c r="E1035" s="1" t="inlineStr">
        <is>
          <t>CHO</t>
        </is>
      </c>
      <c r="F1035" s="1" t="n">
        <v>2.5077</v>
      </c>
      <c r="G1035" s="1" t="n">
        <v>0.002763</v>
      </c>
    </row>
    <row r="1036">
      <c r="A1036" s="2" t="inlineStr">
        <is>
          <t>C2</t>
        </is>
      </c>
      <c r="B1036" s="2" t="n">
        <v>26</v>
      </c>
      <c r="C1036" s="2">
        <f>_xlfn.XLOOKUP(B1036,Results!$B$23:$B$119,Results!$D$23:$D$119)</f>
        <v/>
      </c>
      <c r="D1036" s="2" t="n">
        <v>13</v>
      </c>
      <c r="E1036" s="2" t="inlineStr">
        <is>
          <t>CHO</t>
        </is>
      </c>
      <c r="F1036" s="2" t="n">
        <v>2.5128</v>
      </c>
      <c r="G1036" s="2" t="n">
        <v>-0.001001</v>
      </c>
    </row>
    <row r="1037">
      <c r="A1037" s="1" t="inlineStr">
        <is>
          <t>C2</t>
        </is>
      </c>
      <c r="B1037" s="1" t="n">
        <v>26</v>
      </c>
      <c r="C1037" s="2">
        <f>_xlfn.XLOOKUP(B1037,Results!$B$23:$B$119,Results!$D$23:$D$119)</f>
        <v/>
      </c>
      <c r="D1037" s="1" t="n">
        <v>14</v>
      </c>
      <c r="E1037" s="1" t="inlineStr">
        <is>
          <t>CHO</t>
        </is>
      </c>
      <c r="F1037" s="1" t="n">
        <v>2.5203</v>
      </c>
      <c r="G1037" s="1" t="n">
        <v>-0.002378</v>
      </c>
    </row>
    <row r="1038">
      <c r="A1038" s="2" t="inlineStr">
        <is>
          <t>C2</t>
        </is>
      </c>
      <c r="B1038" s="2" t="n">
        <v>26</v>
      </c>
      <c r="C1038" s="2">
        <f>_xlfn.XLOOKUP(B1038,Results!$B$23:$B$119,Results!$D$23:$D$119)</f>
        <v/>
      </c>
      <c r="D1038" s="2" t="n">
        <v>15</v>
      </c>
      <c r="E1038" s="2" t="inlineStr">
        <is>
          <t>CHO</t>
        </is>
      </c>
      <c r="F1038" s="2" t="n">
        <v>2.5303</v>
      </c>
      <c r="G1038" s="2" t="n">
        <v>-0.001295</v>
      </c>
    </row>
    <row r="1039">
      <c r="A1039" s="1" t="inlineStr">
        <is>
          <t>C2</t>
        </is>
      </c>
      <c r="B1039" s="1" t="n">
        <v>26</v>
      </c>
      <c r="C1039" s="2">
        <f>_xlfn.XLOOKUP(B1039,Results!$B$23:$B$119,Results!$D$23:$D$119)</f>
        <v/>
      </c>
      <c r="D1039" s="1" t="n">
        <v>16</v>
      </c>
      <c r="E1039" s="1" t="inlineStr">
        <is>
          <t>CHO</t>
        </is>
      </c>
      <c r="F1039" s="1" t="n">
        <v>2.5415</v>
      </c>
      <c r="G1039" s="1" t="n">
        <v>0.001089</v>
      </c>
    </row>
    <row r="1040">
      <c r="A1040" s="2" t="inlineStr">
        <is>
          <t>C2</t>
        </is>
      </c>
      <c r="B1040" s="2" t="n">
        <v>26</v>
      </c>
      <c r="C1040" s="2">
        <f>_xlfn.XLOOKUP(B1040,Results!$B$23:$B$119,Results!$D$23:$D$119)</f>
        <v/>
      </c>
      <c r="D1040" s="2" t="n">
        <v>17</v>
      </c>
      <c r="E1040" s="2" t="inlineStr">
        <is>
          <t>CHO</t>
        </is>
      </c>
      <c r="F1040" s="2" t="n">
        <v>2.5489</v>
      </c>
      <c r="G1040" s="2" t="n">
        <v>-0.000379</v>
      </c>
    </row>
    <row r="1041">
      <c r="A1041" s="1" t="inlineStr">
        <is>
          <t>C2</t>
        </is>
      </c>
      <c r="B1041" s="1" t="n">
        <v>26</v>
      </c>
      <c r="C1041" s="2">
        <f>_xlfn.XLOOKUP(B1041,Results!$B$23:$B$119,Results!$D$23:$D$119)</f>
        <v/>
      </c>
      <c r="D1041" s="1" t="n">
        <v>18</v>
      </c>
      <c r="E1041" s="1" t="inlineStr">
        <is>
          <t>CHO</t>
        </is>
      </c>
      <c r="F1041" s="1" t="n">
        <v>2.5564</v>
      </c>
      <c r="G1041" s="1" t="n">
        <v>-0.001759</v>
      </c>
    </row>
    <row r="1042">
      <c r="A1042" s="2" t="inlineStr">
        <is>
          <t>C2</t>
        </is>
      </c>
      <c r="B1042" s="2" t="n">
        <v>26</v>
      </c>
      <c r="C1042" s="2">
        <f>_xlfn.XLOOKUP(B1042,Results!$B$23:$B$119,Results!$D$23:$D$119)</f>
        <v/>
      </c>
      <c r="D1042" s="2" t="n">
        <v>19</v>
      </c>
      <c r="E1042" s="2" t="inlineStr">
        <is>
          <t>CHO</t>
        </is>
      </c>
      <c r="F1042" s="2" t="n">
        <v>2.561</v>
      </c>
      <c r="G1042" s="2" t="n">
        <v>-0.006055</v>
      </c>
    </row>
    <row r="1043">
      <c r="A1043" s="1" t="inlineStr">
        <is>
          <t>C2</t>
        </is>
      </c>
      <c r="B1043" s="1" t="n">
        <v>26</v>
      </c>
      <c r="C1043" s="2">
        <f>_xlfn.XLOOKUP(B1043,Results!$B$23:$B$119,Results!$D$23:$D$119)</f>
        <v/>
      </c>
      <c r="D1043" s="1" t="n">
        <v>20</v>
      </c>
      <c r="E1043" s="1" t="inlineStr">
        <is>
          <t>CHO</t>
        </is>
      </c>
      <c r="F1043" s="1" t="n">
        <v>2.573</v>
      </c>
      <c r="G1043" s="1" t="n">
        <v>-0.002878</v>
      </c>
    </row>
    <row r="1044">
      <c r="A1044" s="2" t="inlineStr">
        <is>
          <t>C2</t>
        </is>
      </c>
      <c r="B1044" s="2" t="n">
        <v>26</v>
      </c>
      <c r="C1044" s="2">
        <f>_xlfn.XLOOKUP(B1044,Results!$B$23:$B$119,Results!$D$23:$D$119)</f>
        <v/>
      </c>
      <c r="D1044" s="2" t="n">
        <v>21</v>
      </c>
      <c r="E1044" s="2" t="inlineStr">
        <is>
          <t>CHO</t>
        </is>
      </c>
      <c r="F1044" s="2" t="n">
        <v>2.5823</v>
      </c>
      <c r="G1044" s="2" t="n">
        <v>-0.002428</v>
      </c>
    </row>
    <row r="1045">
      <c r="A1045" s="1" t="inlineStr">
        <is>
          <t>C2</t>
        </is>
      </c>
      <c r="B1045" s="1" t="n">
        <v>26</v>
      </c>
      <c r="C1045" s="2">
        <f>_xlfn.XLOOKUP(B1045,Results!$B$23:$B$119,Results!$D$23:$D$119)</f>
        <v/>
      </c>
      <c r="D1045" s="1" t="n">
        <v>22</v>
      </c>
      <c r="E1045" s="1" t="inlineStr">
        <is>
          <t>CHO</t>
        </is>
      </c>
      <c r="F1045" s="1" t="n">
        <v>2.5883</v>
      </c>
      <c r="G1045" s="1" t="n">
        <v>-0.005362</v>
      </c>
    </row>
    <row r="1046">
      <c r="A1046" s="2" t="inlineStr">
        <is>
          <t>C2</t>
        </is>
      </c>
      <c r="B1046" s="2" t="n">
        <v>26</v>
      </c>
      <c r="C1046" s="2">
        <f>_xlfn.XLOOKUP(B1046,Results!$B$23:$B$119,Results!$D$23:$D$119)</f>
        <v/>
      </c>
      <c r="D1046" s="2" t="n">
        <v>23</v>
      </c>
      <c r="E1046" s="2" t="inlineStr">
        <is>
          <t>CHO</t>
        </is>
      </c>
      <c r="F1046" s="2" t="n">
        <v>2.6017</v>
      </c>
      <c r="G1046" s="2" t="n">
        <v>-0.000815</v>
      </c>
    </row>
    <row r="1047">
      <c r="A1047" s="1" t="inlineStr">
        <is>
          <t>C2</t>
        </is>
      </c>
      <c r="B1047" s="1" t="n">
        <v>26</v>
      </c>
      <c r="C1047" s="2">
        <f>_xlfn.XLOOKUP(B1047,Results!$B$23:$B$119,Results!$D$23:$D$119)</f>
        <v/>
      </c>
      <c r="D1047" s="1" t="n">
        <v>24</v>
      </c>
      <c r="E1047" s="1" t="inlineStr">
        <is>
          <t>CHO</t>
        </is>
      </c>
      <c r="F1047" s="1" t="n">
        <v>2.6151</v>
      </c>
      <c r="G1047" s="1" t="n">
        <v>0.003753</v>
      </c>
    </row>
    <row r="1048">
      <c r="A1048" s="2" t="inlineStr">
        <is>
          <t>C2</t>
        </is>
      </c>
      <c r="B1048" s="2" t="n">
        <v>26</v>
      </c>
      <c r="C1048" s="2">
        <f>_xlfn.XLOOKUP(B1048,Results!$B$23:$B$119,Results!$D$23:$D$119)</f>
        <v/>
      </c>
      <c r="D1048" s="2" t="n">
        <v>25</v>
      </c>
      <c r="E1048" s="2" t="inlineStr">
        <is>
          <t>CHO</t>
        </is>
      </c>
      <c r="F1048" s="2" t="n">
        <v>2.6241</v>
      </c>
      <c r="G1048" s="2" t="n">
        <v>0.003871</v>
      </c>
    </row>
    <row r="1049">
      <c r="A1049" s="1" t="inlineStr">
        <is>
          <t>C2</t>
        </is>
      </c>
      <c r="B1049" s="1" t="n">
        <v>26</v>
      </c>
      <c r="C1049" s="2">
        <f>_xlfn.XLOOKUP(B1049,Results!$B$23:$B$119,Results!$D$23:$D$119)</f>
        <v/>
      </c>
      <c r="D1049" s="1" t="n">
        <v>26</v>
      </c>
      <c r="E1049" s="1" t="inlineStr">
        <is>
          <t>CHO</t>
        </is>
      </c>
      <c r="F1049" s="1" t="n">
        <v>2.6314</v>
      </c>
      <c r="G1049" s="1" t="n">
        <v>0.002313</v>
      </c>
    </row>
    <row r="1050">
      <c r="A1050" s="2" t="inlineStr">
        <is>
          <t>C2</t>
        </is>
      </c>
      <c r="B1050" s="2" t="n">
        <v>26</v>
      </c>
      <c r="C1050" s="2">
        <f>_xlfn.XLOOKUP(B1050,Results!$B$23:$B$119,Results!$D$23:$D$119)</f>
        <v/>
      </c>
      <c r="D1050" s="2" t="n">
        <v>27</v>
      </c>
      <c r="E1050" s="2" t="inlineStr">
        <is>
          <t>CHO</t>
        </is>
      </c>
      <c r="F1050" s="2" t="n">
        <v>2.643</v>
      </c>
      <c r="G1050" s="2" t="n">
        <v>0.005048</v>
      </c>
    </row>
    <row r="1051">
      <c r="A1051" s="1" t="inlineStr">
        <is>
          <t>C2</t>
        </is>
      </c>
      <c r="B1051" s="1" t="n">
        <v>26</v>
      </c>
      <c r="C1051" s="2">
        <f>_xlfn.XLOOKUP(B1051,Results!$B$23:$B$119,Results!$D$23:$D$119)</f>
        <v/>
      </c>
      <c r="D1051" s="1" t="n">
        <v>28</v>
      </c>
      <c r="E1051" s="1" t="inlineStr">
        <is>
          <t>CHO</t>
        </is>
      </c>
      <c r="F1051" s="1" t="n">
        <v>2.6507</v>
      </c>
      <c r="G1051" s="1" t="n">
        <v>0.003883</v>
      </c>
    </row>
    <row r="1052">
      <c r="A1052" s="2" t="inlineStr">
        <is>
          <t>C2</t>
        </is>
      </c>
      <c r="B1052" s="2" t="n">
        <v>26</v>
      </c>
      <c r="C1052" s="2">
        <f>_xlfn.XLOOKUP(B1052,Results!$B$23:$B$119,Results!$D$23:$D$119)</f>
        <v/>
      </c>
      <c r="D1052" s="2" t="n">
        <v>29</v>
      </c>
      <c r="E1052" s="2" t="inlineStr">
        <is>
          <t>CHO</t>
        </is>
      </c>
      <c r="F1052" s="2" t="n">
        <v>2.6539</v>
      </c>
      <c r="G1052" s="2" t="n">
        <v>-0.001779</v>
      </c>
    </row>
    <row r="1053">
      <c r="A1053" s="1" t="inlineStr">
        <is>
          <t>C2</t>
        </is>
      </c>
      <c r="B1053" s="1" t="n">
        <v>26</v>
      </c>
      <c r="C1053" s="2">
        <f>_xlfn.XLOOKUP(B1053,Results!$B$23:$B$119,Results!$D$23:$D$119)</f>
        <v/>
      </c>
      <c r="D1053" s="1" t="n">
        <v>30</v>
      </c>
      <c r="E1053" s="1" t="inlineStr">
        <is>
          <t>CHO</t>
        </is>
      </c>
      <c r="F1053" s="1" t="n">
        <v>2.6621</v>
      </c>
      <c r="G1053" s="1" t="n">
        <v>-0.00247</v>
      </c>
    </row>
    <row r="1054">
      <c r="A1054" s="2" t="inlineStr">
        <is>
          <t>C2</t>
        </is>
      </c>
      <c r="B1054" s="2" t="n">
        <v>26</v>
      </c>
      <c r="C1054" s="2">
        <f>_xlfn.XLOOKUP(B1054,Results!$B$23:$B$119,Results!$D$23:$D$119)</f>
        <v/>
      </c>
      <c r="D1054" s="2" t="n">
        <v>31</v>
      </c>
      <c r="E1054" s="2" t="inlineStr">
        <is>
          <t>CHO</t>
        </is>
      </c>
      <c r="F1054" s="2" t="n">
        <v>2.6781</v>
      </c>
      <c r="G1054" s="2" t="n">
        <v>0.004685</v>
      </c>
    </row>
    <row r="1055">
      <c r="A1055" s="1" t="inlineStr">
        <is>
          <t>C2</t>
        </is>
      </c>
      <c r="B1055" s="1" t="n">
        <v>26</v>
      </c>
      <c r="C1055" s="2">
        <f>_xlfn.XLOOKUP(B1055,Results!$B$23:$B$119,Results!$D$23:$D$119)</f>
        <v/>
      </c>
      <c r="D1055" s="1" t="n">
        <v>32</v>
      </c>
      <c r="E1055" s="1" t="inlineStr">
        <is>
          <t>CHO</t>
        </is>
      </c>
      <c r="F1055" s="1" t="n">
        <v>2.6914</v>
      </c>
      <c r="G1055" s="1" t="n">
        <v>0.009069000000000001</v>
      </c>
    </row>
    <row r="1056">
      <c r="A1056" s="2" t="inlineStr">
        <is>
          <t>C2</t>
        </is>
      </c>
      <c r="B1056" s="2" t="n">
        <v>26</v>
      </c>
      <c r="C1056" s="2">
        <f>_xlfn.XLOOKUP(B1056,Results!$B$23:$B$119,Results!$D$23:$D$119)</f>
        <v/>
      </c>
      <c r="D1056" s="2" t="n">
        <v>33</v>
      </c>
      <c r="E1056" s="2" t="inlineStr">
        <is>
          <t>CHO</t>
        </is>
      </c>
      <c r="F1056" s="2" t="n">
        <v>2.7084</v>
      </c>
      <c r="G1056" s="2" t="n">
        <v>0.017191</v>
      </c>
    </row>
    <row r="1057">
      <c r="A1057" s="1" t="inlineStr">
        <is>
          <t>C2</t>
        </is>
      </c>
      <c r="B1057" s="1" t="n">
        <v>26</v>
      </c>
      <c r="C1057" s="2">
        <f>_xlfn.XLOOKUP(B1057,Results!$B$23:$B$119,Results!$D$23:$D$119)</f>
        <v/>
      </c>
      <c r="D1057" s="1" t="n">
        <v>34</v>
      </c>
      <c r="E1057" s="1" t="inlineStr">
        <is>
          <t>CHO</t>
        </is>
      </c>
      <c r="F1057" s="1" t="n">
        <v>2.7294</v>
      </c>
      <c r="G1057" s="1" t="n">
        <v>0.029352</v>
      </c>
    </row>
    <row r="1058">
      <c r="A1058" s="2" t="inlineStr">
        <is>
          <t>C2</t>
        </is>
      </c>
      <c r="B1058" s="2" t="n">
        <v>26</v>
      </c>
      <c r="C1058" s="2">
        <f>_xlfn.XLOOKUP(B1058,Results!$B$23:$B$119,Results!$D$23:$D$119)</f>
        <v/>
      </c>
      <c r="D1058" s="2" t="n">
        <v>35</v>
      </c>
      <c r="E1058" s="2" t="inlineStr">
        <is>
          <t>CHO</t>
        </is>
      </c>
      <c r="F1058" s="2" t="n">
        <v>2.7533</v>
      </c>
      <c r="G1058" s="2" t="n">
        <v>0.044359</v>
      </c>
    </row>
    <row r="1059">
      <c r="A1059" s="1" t="inlineStr">
        <is>
          <t>C2</t>
        </is>
      </c>
      <c r="B1059" s="1" t="n">
        <v>26</v>
      </c>
      <c r="C1059" s="2">
        <f>_xlfn.XLOOKUP(B1059,Results!$B$23:$B$119,Results!$D$23:$D$119)</f>
        <v/>
      </c>
      <c r="D1059" s="1" t="n">
        <v>36</v>
      </c>
      <c r="E1059" s="1" t="inlineStr">
        <is>
          <t>CHO</t>
        </is>
      </c>
      <c r="F1059" s="1" t="n">
        <v>2.8017</v>
      </c>
      <c r="G1059" s="1" t="n">
        <v>0.083867</v>
      </c>
    </row>
    <row r="1060">
      <c r="A1060" s="2" t="inlineStr">
        <is>
          <t>C2</t>
        </is>
      </c>
      <c r="B1060" s="2" t="n">
        <v>26</v>
      </c>
      <c r="C1060" s="2">
        <f>_xlfn.XLOOKUP(B1060,Results!$B$23:$B$119,Results!$D$23:$D$119)</f>
        <v/>
      </c>
      <c r="D1060" s="2" t="n">
        <v>37</v>
      </c>
      <c r="E1060" s="2" t="inlineStr">
        <is>
          <t>CHO</t>
        </is>
      </c>
      <c r="F1060" s="2" t="n">
        <v>2.8874</v>
      </c>
      <c r="G1060" s="2" t="n">
        <v>0.160791</v>
      </c>
    </row>
    <row r="1061">
      <c r="A1061" s="1" t="inlineStr">
        <is>
          <t>C2</t>
        </is>
      </c>
      <c r="B1061" s="1" t="n">
        <v>26</v>
      </c>
      <c r="C1061" s="2">
        <f>_xlfn.XLOOKUP(B1061,Results!$B$23:$B$119,Results!$D$23:$D$119)</f>
        <v/>
      </c>
      <c r="D1061" s="1" t="n">
        <v>38</v>
      </c>
      <c r="E1061" s="1" t="inlineStr">
        <is>
          <t>CHO</t>
        </is>
      </c>
      <c r="F1061" s="1" t="n">
        <v>3.0345</v>
      </c>
      <c r="G1061" s="1" t="n">
        <v>0.299013</v>
      </c>
    </row>
    <row r="1062">
      <c r="A1062" s="2" t="inlineStr">
        <is>
          <t>C2</t>
        </is>
      </c>
      <c r="B1062" s="2" t="n">
        <v>26</v>
      </c>
      <c r="C1062" s="2">
        <f>_xlfn.XLOOKUP(B1062,Results!$B$23:$B$119,Results!$D$23:$D$119)</f>
        <v/>
      </c>
      <c r="D1062" s="2" t="n">
        <v>39</v>
      </c>
      <c r="E1062" s="2" t="inlineStr">
        <is>
          <t>CHO</t>
        </is>
      </c>
      <c r="F1062" s="2" t="n">
        <v>3.2326</v>
      </c>
      <c r="G1062" s="2" t="n">
        <v>0.488231</v>
      </c>
    </row>
    <row r="1063">
      <c r="A1063" s="1" t="inlineStr">
        <is>
          <t>C2</t>
        </is>
      </c>
      <c r="B1063" s="1" t="n">
        <v>26</v>
      </c>
      <c r="C1063" s="2">
        <f>_xlfn.XLOOKUP(B1063,Results!$B$23:$B$119,Results!$D$23:$D$119)</f>
        <v/>
      </c>
      <c r="D1063" s="1" t="n">
        <v>40</v>
      </c>
      <c r="E1063" s="1" t="inlineStr">
        <is>
          <t>CHO</t>
        </is>
      </c>
      <c r="F1063" s="1" t="n">
        <v>3.4254</v>
      </c>
      <c r="G1063" s="1" t="n">
        <v>0.672143</v>
      </c>
    </row>
    <row r="1064">
      <c r="A1064" s="2" t="inlineStr">
        <is>
          <t>C3</t>
        </is>
      </c>
      <c r="B1064" s="2" t="n">
        <v>27</v>
      </c>
      <c r="C1064" s="2">
        <f>_xlfn.XLOOKUP(B1064,Results!$B$23:$B$119,Results!$D$23:$D$119)</f>
        <v/>
      </c>
      <c r="D1064" s="2" t="n">
        <v>1</v>
      </c>
      <c r="E1064" s="2" t="inlineStr">
        <is>
          <t>CHO</t>
        </is>
      </c>
      <c r="F1064" s="2" t="n">
        <v>2.4401</v>
      </c>
      <c r="G1064" s="2" t="n">
        <v>0.006738</v>
      </c>
    </row>
    <row r="1065">
      <c r="A1065" s="1" t="inlineStr">
        <is>
          <t>C3</t>
        </is>
      </c>
      <c r="B1065" s="1" t="n">
        <v>27</v>
      </c>
      <c r="C1065" s="2">
        <f>_xlfn.XLOOKUP(B1065,Results!$B$23:$B$119,Results!$D$23:$D$119)</f>
        <v/>
      </c>
      <c r="D1065" s="1" t="n">
        <v>2</v>
      </c>
      <c r="E1065" s="1" t="inlineStr">
        <is>
          <t>CHO</t>
        </is>
      </c>
      <c r="F1065" s="1" t="n">
        <v>2.4392</v>
      </c>
      <c r="G1065" s="1" t="n">
        <v>-0.00317</v>
      </c>
    </row>
    <row r="1066">
      <c r="A1066" s="2" t="inlineStr">
        <is>
          <t>C3</t>
        </is>
      </c>
      <c r="B1066" s="2" t="n">
        <v>27</v>
      </c>
      <c r="C1066" s="2">
        <f>_xlfn.XLOOKUP(B1066,Results!$B$23:$B$119,Results!$D$23:$D$119)</f>
        <v/>
      </c>
      <c r="D1066" s="2" t="n">
        <v>3</v>
      </c>
      <c r="E1066" s="2" t="inlineStr">
        <is>
          <t>CHO</t>
        </is>
      </c>
      <c r="F1066" s="2" t="n">
        <v>2.4491</v>
      </c>
      <c r="G1066" s="2" t="n">
        <v>-0.002206</v>
      </c>
    </row>
    <row r="1067">
      <c r="A1067" s="1" t="inlineStr">
        <is>
          <t>C3</t>
        </is>
      </c>
      <c r="B1067" s="1" t="n">
        <v>27</v>
      </c>
      <c r="C1067" s="2">
        <f>_xlfn.XLOOKUP(B1067,Results!$B$23:$B$119,Results!$D$23:$D$119)</f>
        <v/>
      </c>
      <c r="D1067" s="1" t="n">
        <v>4</v>
      </c>
      <c r="E1067" s="1" t="inlineStr">
        <is>
          <t>CHO</t>
        </is>
      </c>
      <c r="F1067" s="1" t="n">
        <v>2.4618</v>
      </c>
      <c r="G1067" s="1" t="n">
        <v>0.00153</v>
      </c>
    </row>
    <row r="1068">
      <c r="A1068" s="2" t="inlineStr">
        <is>
          <t>C3</t>
        </is>
      </c>
      <c r="B1068" s="2" t="n">
        <v>27</v>
      </c>
      <c r="C1068" s="2">
        <f>_xlfn.XLOOKUP(B1068,Results!$B$23:$B$119,Results!$D$23:$D$119)</f>
        <v/>
      </c>
      <c r="D1068" s="2" t="n">
        <v>5</v>
      </c>
      <c r="E1068" s="2" t="inlineStr">
        <is>
          <t>CHO</t>
        </is>
      </c>
      <c r="F1068" s="2" t="n">
        <v>2.4711</v>
      </c>
      <c r="G1068" s="2" t="n">
        <v>0.001797</v>
      </c>
    </row>
    <row r="1069">
      <c r="A1069" s="1" t="inlineStr">
        <is>
          <t>C3</t>
        </is>
      </c>
      <c r="B1069" s="1" t="n">
        <v>27</v>
      </c>
      <c r="C1069" s="2">
        <f>_xlfn.XLOOKUP(B1069,Results!$B$23:$B$119,Results!$D$23:$D$119)</f>
        <v/>
      </c>
      <c r="D1069" s="1" t="n">
        <v>6</v>
      </c>
      <c r="E1069" s="1" t="inlineStr">
        <is>
          <t>CHO</t>
        </is>
      </c>
      <c r="F1069" s="1" t="n">
        <v>2.4798</v>
      </c>
      <c r="G1069" s="1" t="n">
        <v>0.001559</v>
      </c>
    </row>
    <row r="1070">
      <c r="A1070" s="2" t="inlineStr">
        <is>
          <t>C3</t>
        </is>
      </c>
      <c r="B1070" s="2" t="n">
        <v>27</v>
      </c>
      <c r="C1070" s="2">
        <f>_xlfn.XLOOKUP(B1070,Results!$B$23:$B$119,Results!$D$23:$D$119)</f>
        <v/>
      </c>
      <c r="D1070" s="2" t="n">
        <v>7</v>
      </c>
      <c r="E1070" s="2" t="inlineStr">
        <is>
          <t>CHO</t>
        </is>
      </c>
      <c r="F1070" s="2" t="n">
        <v>2.4889</v>
      </c>
      <c r="G1070" s="2" t="n">
        <v>0.001697</v>
      </c>
    </row>
    <row r="1071">
      <c r="A1071" s="1" t="inlineStr">
        <is>
          <t>C3</t>
        </is>
      </c>
      <c r="B1071" s="1" t="n">
        <v>27</v>
      </c>
      <c r="C1071" s="2">
        <f>_xlfn.XLOOKUP(B1071,Results!$B$23:$B$119,Results!$D$23:$D$119)</f>
        <v/>
      </c>
      <c r="D1071" s="1" t="n">
        <v>8</v>
      </c>
      <c r="E1071" s="1" t="inlineStr">
        <is>
          <t>CHO</t>
        </is>
      </c>
      <c r="F1071" s="1" t="n">
        <v>2.5003</v>
      </c>
      <c r="G1071" s="1" t="n">
        <v>0.004024</v>
      </c>
    </row>
    <row r="1072">
      <c r="A1072" s="2" t="inlineStr">
        <is>
          <t>C3</t>
        </is>
      </c>
      <c r="B1072" s="2" t="n">
        <v>27</v>
      </c>
      <c r="C1072" s="2">
        <f>_xlfn.XLOOKUP(B1072,Results!$B$23:$B$119,Results!$D$23:$D$119)</f>
        <v/>
      </c>
      <c r="D1072" s="2" t="n">
        <v>9</v>
      </c>
      <c r="E1072" s="2" t="inlineStr">
        <is>
          <t>CHO</t>
        </is>
      </c>
      <c r="F1072" s="2" t="n">
        <v>2.5104</v>
      </c>
      <c r="G1072" s="2" t="n">
        <v>0.005229</v>
      </c>
    </row>
    <row r="1073">
      <c r="A1073" s="1" t="inlineStr">
        <is>
          <t>C3</t>
        </is>
      </c>
      <c r="B1073" s="1" t="n">
        <v>27</v>
      </c>
      <c r="C1073" s="2">
        <f>_xlfn.XLOOKUP(B1073,Results!$B$23:$B$119,Results!$D$23:$D$119)</f>
        <v/>
      </c>
      <c r="D1073" s="1" t="n">
        <v>10</v>
      </c>
      <c r="E1073" s="1" t="inlineStr">
        <is>
          <t>CHO</t>
        </is>
      </c>
      <c r="F1073" s="1" t="n">
        <v>2.5154</v>
      </c>
      <c r="G1073" s="1" t="n">
        <v>0.001189</v>
      </c>
    </row>
    <row r="1074">
      <c r="A1074" s="2" t="inlineStr">
        <is>
          <t>C3</t>
        </is>
      </c>
      <c r="B1074" s="2" t="n">
        <v>27</v>
      </c>
      <c r="C1074" s="2">
        <f>_xlfn.XLOOKUP(B1074,Results!$B$23:$B$119,Results!$D$23:$D$119)</f>
        <v/>
      </c>
      <c r="D1074" s="2" t="n">
        <v>11</v>
      </c>
      <c r="E1074" s="2" t="inlineStr">
        <is>
          <t>CHO</t>
        </is>
      </c>
      <c r="F1074" s="2" t="n">
        <v>2.523</v>
      </c>
      <c r="G1074" s="2" t="n">
        <v>-0.000149</v>
      </c>
    </row>
    <row r="1075">
      <c r="A1075" s="1" t="inlineStr">
        <is>
          <t>C3</t>
        </is>
      </c>
      <c r="B1075" s="1" t="n">
        <v>27</v>
      </c>
      <c r="C1075" s="2">
        <f>_xlfn.XLOOKUP(B1075,Results!$B$23:$B$119,Results!$D$23:$D$119)</f>
        <v/>
      </c>
      <c r="D1075" s="1" t="n">
        <v>12</v>
      </c>
      <c r="E1075" s="1" t="inlineStr">
        <is>
          <t>CHO</t>
        </is>
      </c>
      <c r="F1075" s="1" t="n">
        <v>2.5284</v>
      </c>
      <c r="G1075" s="1" t="n">
        <v>-0.003794</v>
      </c>
    </row>
    <row r="1076">
      <c r="A1076" s="2" t="inlineStr">
        <is>
          <t>C3</t>
        </is>
      </c>
      <c r="B1076" s="2" t="n">
        <v>27</v>
      </c>
      <c r="C1076" s="2">
        <f>_xlfn.XLOOKUP(B1076,Results!$B$23:$B$119,Results!$D$23:$D$119)</f>
        <v/>
      </c>
      <c r="D1076" s="2" t="n">
        <v>13</v>
      </c>
      <c r="E1076" s="2" t="inlineStr">
        <is>
          <t>CHO</t>
        </is>
      </c>
      <c r="F1076" s="2" t="n">
        <v>2.5405</v>
      </c>
      <c r="G1076" s="2" t="n">
        <v>-0.000623</v>
      </c>
    </row>
    <row r="1077">
      <c r="A1077" s="1" t="inlineStr">
        <is>
          <t>C3</t>
        </is>
      </c>
      <c r="B1077" s="1" t="n">
        <v>27</v>
      </c>
      <c r="C1077" s="2">
        <f>_xlfn.XLOOKUP(B1077,Results!$B$23:$B$119,Results!$D$23:$D$119)</f>
        <v/>
      </c>
      <c r="D1077" s="1" t="n">
        <v>14</v>
      </c>
      <c r="E1077" s="1" t="inlineStr">
        <is>
          <t>CHO</t>
        </is>
      </c>
      <c r="F1077" s="1" t="n">
        <v>2.5502</v>
      </c>
      <c r="G1077" s="1" t="n">
        <v>3.4e-05</v>
      </c>
    </row>
    <row r="1078">
      <c r="A1078" s="2" t="inlineStr">
        <is>
          <t>C3</t>
        </is>
      </c>
      <c r="B1078" s="2" t="n">
        <v>27</v>
      </c>
      <c r="C1078" s="2">
        <f>_xlfn.XLOOKUP(B1078,Results!$B$23:$B$119,Results!$D$23:$D$119)</f>
        <v/>
      </c>
      <c r="D1078" s="2" t="n">
        <v>15</v>
      </c>
      <c r="E1078" s="2" t="inlineStr">
        <is>
          <t>CHO</t>
        </is>
      </c>
      <c r="F1078" s="2" t="n">
        <v>2.5568</v>
      </c>
      <c r="G1078" s="2" t="n">
        <v>-0.002293</v>
      </c>
    </row>
    <row r="1079">
      <c r="A1079" s="1" t="inlineStr">
        <is>
          <t>C3</t>
        </is>
      </c>
      <c r="B1079" s="1" t="n">
        <v>27</v>
      </c>
      <c r="C1079" s="2">
        <f>_xlfn.XLOOKUP(B1079,Results!$B$23:$B$119,Results!$D$23:$D$119)</f>
        <v/>
      </c>
      <c r="D1079" s="1" t="n">
        <v>16</v>
      </c>
      <c r="E1079" s="1" t="inlineStr">
        <is>
          <t>CHO</t>
        </is>
      </c>
      <c r="F1079" s="1" t="n">
        <v>2.5672</v>
      </c>
      <c r="G1079" s="1" t="n">
        <v>-0.0009210000000000001</v>
      </c>
    </row>
    <row r="1080">
      <c r="A1080" s="2" t="inlineStr">
        <is>
          <t>C3</t>
        </is>
      </c>
      <c r="B1080" s="2" t="n">
        <v>27</v>
      </c>
      <c r="C1080" s="2">
        <f>_xlfn.XLOOKUP(B1080,Results!$B$23:$B$119,Results!$D$23:$D$119)</f>
        <v/>
      </c>
      <c r="D1080" s="2" t="n">
        <v>17</v>
      </c>
      <c r="E1080" s="2" t="inlineStr">
        <is>
          <t>CHO</t>
        </is>
      </c>
      <c r="F1080" s="2" t="n">
        <v>2.5731</v>
      </c>
      <c r="G1080" s="2" t="n">
        <v>-0.004029</v>
      </c>
    </row>
    <row r="1081">
      <c r="A1081" s="1" t="inlineStr">
        <is>
          <t>C3</t>
        </is>
      </c>
      <c r="B1081" s="1" t="n">
        <v>27</v>
      </c>
      <c r="C1081" s="2">
        <f>_xlfn.XLOOKUP(B1081,Results!$B$23:$B$119,Results!$D$23:$D$119)</f>
        <v/>
      </c>
      <c r="D1081" s="1" t="n">
        <v>18</v>
      </c>
      <c r="E1081" s="1" t="inlineStr">
        <is>
          <t>CHO</t>
        </is>
      </c>
      <c r="F1081" s="1" t="n">
        <v>2.5821</v>
      </c>
      <c r="G1081" s="1" t="n">
        <v>-0.004012</v>
      </c>
    </row>
    <row r="1082">
      <c r="A1082" s="2" t="inlineStr">
        <is>
          <t>C3</t>
        </is>
      </c>
      <c r="B1082" s="2" t="n">
        <v>27</v>
      </c>
      <c r="C1082" s="2">
        <f>_xlfn.XLOOKUP(B1082,Results!$B$23:$B$119,Results!$D$23:$D$119)</f>
        <v/>
      </c>
      <c r="D1082" s="2" t="n">
        <v>19</v>
      </c>
      <c r="E1082" s="2" t="inlineStr">
        <is>
          <t>CHO</t>
        </is>
      </c>
      <c r="F1082" s="2" t="n">
        <v>2.5902</v>
      </c>
      <c r="G1082" s="2" t="n">
        <v>-0.004898</v>
      </c>
    </row>
    <row r="1083">
      <c r="A1083" s="1" t="inlineStr">
        <is>
          <t>C3</t>
        </is>
      </c>
      <c r="B1083" s="1" t="n">
        <v>27</v>
      </c>
      <c r="C1083" s="2">
        <f>_xlfn.XLOOKUP(B1083,Results!$B$23:$B$119,Results!$D$23:$D$119)</f>
        <v/>
      </c>
      <c r="D1083" s="1" t="n">
        <v>20</v>
      </c>
      <c r="E1083" s="1" t="inlineStr">
        <is>
          <t>CHO</t>
        </is>
      </c>
      <c r="F1083" s="1" t="n">
        <v>2.6021</v>
      </c>
      <c r="G1083" s="1" t="n">
        <v>-0.001954</v>
      </c>
    </row>
    <row r="1084">
      <c r="A1084" s="2" t="inlineStr">
        <is>
          <t>C3</t>
        </is>
      </c>
      <c r="B1084" s="2" t="n">
        <v>27</v>
      </c>
      <c r="C1084" s="2">
        <f>_xlfn.XLOOKUP(B1084,Results!$B$23:$B$119,Results!$D$23:$D$119)</f>
        <v/>
      </c>
      <c r="D1084" s="2" t="n">
        <v>21</v>
      </c>
      <c r="E1084" s="2" t="inlineStr">
        <is>
          <t>CHO</t>
        </is>
      </c>
      <c r="F1084" s="2" t="n">
        <v>2.6126</v>
      </c>
      <c r="G1084" s="2" t="n">
        <v>-0.000388</v>
      </c>
    </row>
    <row r="1085">
      <c r="A1085" s="1" t="inlineStr">
        <is>
          <t>C3</t>
        </is>
      </c>
      <c r="B1085" s="1" t="n">
        <v>27</v>
      </c>
      <c r="C1085" s="2">
        <f>_xlfn.XLOOKUP(B1085,Results!$B$23:$B$119,Results!$D$23:$D$119)</f>
        <v/>
      </c>
      <c r="D1085" s="1" t="n">
        <v>22</v>
      </c>
      <c r="E1085" s="1" t="inlineStr">
        <is>
          <t>CHO</t>
        </is>
      </c>
      <c r="F1085" s="1" t="n">
        <v>2.6235</v>
      </c>
      <c r="G1085" s="1" t="n">
        <v>0.001537</v>
      </c>
    </row>
    <row r="1086">
      <c r="A1086" s="2" t="inlineStr">
        <is>
          <t>C3</t>
        </is>
      </c>
      <c r="B1086" s="2" t="n">
        <v>27</v>
      </c>
      <c r="C1086" s="2">
        <f>_xlfn.XLOOKUP(B1086,Results!$B$23:$B$119,Results!$D$23:$D$119)</f>
        <v/>
      </c>
      <c r="D1086" s="2" t="n">
        <v>23</v>
      </c>
      <c r="E1086" s="2" t="inlineStr">
        <is>
          <t>CHO</t>
        </is>
      </c>
      <c r="F1086" s="2" t="n">
        <v>2.6323</v>
      </c>
      <c r="G1086" s="2" t="n">
        <v>0.001271</v>
      </c>
    </row>
    <row r="1087">
      <c r="A1087" s="1" t="inlineStr">
        <is>
          <t>C3</t>
        </is>
      </c>
      <c r="B1087" s="1" t="n">
        <v>27</v>
      </c>
      <c r="C1087" s="2">
        <f>_xlfn.XLOOKUP(B1087,Results!$B$23:$B$119,Results!$D$23:$D$119)</f>
        <v/>
      </c>
      <c r="D1087" s="1" t="n">
        <v>24</v>
      </c>
      <c r="E1087" s="1" t="inlineStr">
        <is>
          <t>CHO</t>
        </is>
      </c>
      <c r="F1087" s="1" t="n">
        <v>2.6405</v>
      </c>
      <c r="G1087" s="1" t="n">
        <v>0.0005240000000000001</v>
      </c>
    </row>
    <row r="1088">
      <c r="A1088" s="2" t="inlineStr">
        <is>
          <t>C3</t>
        </is>
      </c>
      <c r="B1088" s="2" t="n">
        <v>27</v>
      </c>
      <c r="C1088" s="2">
        <f>_xlfn.XLOOKUP(B1088,Results!$B$23:$B$119,Results!$D$23:$D$119)</f>
        <v/>
      </c>
      <c r="D1088" s="2" t="n">
        <v>25</v>
      </c>
      <c r="E1088" s="2" t="inlineStr">
        <is>
          <t>CHO</t>
        </is>
      </c>
      <c r="F1088" s="2" t="n">
        <v>2.6486</v>
      </c>
      <c r="G1088" s="2" t="n">
        <v>-0.000364</v>
      </c>
    </row>
    <row r="1089">
      <c r="A1089" s="1" t="inlineStr">
        <is>
          <t>C3</t>
        </is>
      </c>
      <c r="B1089" s="1" t="n">
        <v>27</v>
      </c>
      <c r="C1089" s="2">
        <f>_xlfn.XLOOKUP(B1089,Results!$B$23:$B$119,Results!$D$23:$D$119)</f>
        <v/>
      </c>
      <c r="D1089" s="1" t="n">
        <v>26</v>
      </c>
      <c r="E1089" s="1" t="inlineStr">
        <is>
          <t>CHO</t>
        </is>
      </c>
      <c r="F1089" s="1" t="n">
        <v>2.6574</v>
      </c>
      <c r="G1089" s="1" t="n">
        <v>-0.000564</v>
      </c>
    </row>
    <row r="1090">
      <c r="A1090" s="2" t="inlineStr">
        <is>
          <t>C3</t>
        </is>
      </c>
      <c r="B1090" s="2" t="n">
        <v>27</v>
      </c>
      <c r="C1090" s="2">
        <f>_xlfn.XLOOKUP(B1090,Results!$B$23:$B$119,Results!$D$23:$D$119)</f>
        <v/>
      </c>
      <c r="D1090" s="2" t="n">
        <v>27</v>
      </c>
      <c r="E1090" s="2" t="inlineStr">
        <is>
          <t>CHO</t>
        </is>
      </c>
      <c r="F1090" s="2" t="n">
        <v>2.6657</v>
      </c>
      <c r="G1090" s="2" t="n">
        <v>-0.001263</v>
      </c>
    </row>
    <row r="1091">
      <c r="A1091" s="1" t="inlineStr">
        <is>
          <t>C3</t>
        </is>
      </c>
      <c r="B1091" s="1" t="n">
        <v>27</v>
      </c>
      <c r="C1091" s="2">
        <f>_xlfn.XLOOKUP(B1091,Results!$B$23:$B$119,Results!$D$23:$D$119)</f>
        <v/>
      </c>
      <c r="D1091" s="1" t="n">
        <v>28</v>
      </c>
      <c r="E1091" s="1" t="inlineStr">
        <is>
          <t>CHO</t>
        </is>
      </c>
      <c r="F1091" s="1" t="n">
        <v>2.6709</v>
      </c>
      <c r="G1091" s="1" t="n">
        <v>-0.005048</v>
      </c>
    </row>
    <row r="1092">
      <c r="A1092" s="2" t="inlineStr">
        <is>
          <t>C3</t>
        </is>
      </c>
      <c r="B1092" s="2" t="n">
        <v>27</v>
      </c>
      <c r="C1092" s="2">
        <f>_xlfn.XLOOKUP(B1092,Results!$B$23:$B$119,Results!$D$23:$D$119)</f>
        <v/>
      </c>
      <c r="D1092" s="2" t="n">
        <v>29</v>
      </c>
      <c r="E1092" s="2" t="inlineStr">
        <is>
          <t>CHO</t>
        </is>
      </c>
      <c r="F1092" s="2" t="n">
        <v>2.681</v>
      </c>
      <c r="G1092" s="2" t="n">
        <v>-0.003933</v>
      </c>
    </row>
    <row r="1093">
      <c r="A1093" s="1" t="inlineStr">
        <is>
          <t>C3</t>
        </is>
      </c>
      <c r="B1093" s="1" t="n">
        <v>27</v>
      </c>
      <c r="C1093" s="2">
        <f>_xlfn.XLOOKUP(B1093,Results!$B$23:$B$119,Results!$D$23:$D$119)</f>
        <v/>
      </c>
      <c r="D1093" s="1" t="n">
        <v>30</v>
      </c>
      <c r="E1093" s="1" t="inlineStr">
        <is>
          <t>CHO</t>
        </is>
      </c>
      <c r="F1093" s="1" t="n">
        <v>2.6976</v>
      </c>
      <c r="G1093" s="1" t="n">
        <v>0.003743</v>
      </c>
    </row>
    <row r="1094">
      <c r="A1094" s="2" t="inlineStr">
        <is>
          <t>C3</t>
        </is>
      </c>
      <c r="B1094" s="2" t="n">
        <v>27</v>
      </c>
      <c r="C1094" s="2">
        <f>_xlfn.XLOOKUP(B1094,Results!$B$23:$B$119,Results!$D$23:$D$119)</f>
        <v/>
      </c>
      <c r="D1094" s="2" t="n">
        <v>31</v>
      </c>
      <c r="E1094" s="2" t="inlineStr">
        <is>
          <t>CHO</t>
        </is>
      </c>
      <c r="F1094" s="2" t="n">
        <v>2.7072</v>
      </c>
      <c r="G1094" s="2" t="n">
        <v>0.004354</v>
      </c>
    </row>
    <row r="1095">
      <c r="A1095" s="1" t="inlineStr">
        <is>
          <t>C3</t>
        </is>
      </c>
      <c r="B1095" s="1" t="n">
        <v>27</v>
      </c>
      <c r="C1095" s="2">
        <f>_xlfn.XLOOKUP(B1095,Results!$B$23:$B$119,Results!$D$23:$D$119)</f>
        <v/>
      </c>
      <c r="D1095" s="1" t="n">
        <v>32</v>
      </c>
      <c r="E1095" s="1" t="inlineStr">
        <is>
          <t>CHO</t>
        </is>
      </c>
      <c r="F1095" s="1" t="n">
        <v>2.7198</v>
      </c>
      <c r="G1095" s="1" t="n">
        <v>0.007952000000000001</v>
      </c>
    </row>
    <row r="1096">
      <c r="A1096" s="2" t="inlineStr">
        <is>
          <t>C3</t>
        </is>
      </c>
      <c r="B1096" s="2" t="n">
        <v>27</v>
      </c>
      <c r="C1096" s="2">
        <f>_xlfn.XLOOKUP(B1096,Results!$B$23:$B$119,Results!$D$23:$D$119)</f>
        <v/>
      </c>
      <c r="D1096" s="2" t="n">
        <v>33</v>
      </c>
      <c r="E1096" s="2" t="inlineStr">
        <is>
          <t>CHO</t>
        </is>
      </c>
      <c r="F1096" s="2" t="n">
        <v>2.7302</v>
      </c>
      <c r="G1096" s="2" t="n">
        <v>0.00937</v>
      </c>
    </row>
    <row r="1097">
      <c r="A1097" s="1" t="inlineStr">
        <is>
          <t>C3</t>
        </is>
      </c>
      <c r="B1097" s="1" t="n">
        <v>27</v>
      </c>
      <c r="C1097" s="2">
        <f>_xlfn.XLOOKUP(B1097,Results!$B$23:$B$119,Results!$D$23:$D$119)</f>
        <v/>
      </c>
      <c r="D1097" s="1" t="n">
        <v>34</v>
      </c>
      <c r="E1097" s="1" t="inlineStr">
        <is>
          <t>CHO</t>
        </is>
      </c>
      <c r="F1097" s="1" t="n">
        <v>2.7525</v>
      </c>
      <c r="G1097" s="1" t="n">
        <v>0.022658</v>
      </c>
    </row>
    <row r="1098">
      <c r="A1098" s="2" t="inlineStr">
        <is>
          <t>C3</t>
        </is>
      </c>
      <c r="B1098" s="2" t="n">
        <v>27</v>
      </c>
      <c r="C1098" s="2">
        <f>_xlfn.XLOOKUP(B1098,Results!$B$23:$B$119,Results!$D$23:$D$119)</f>
        <v/>
      </c>
      <c r="D1098" s="2" t="n">
        <v>35</v>
      </c>
      <c r="E1098" s="2" t="inlineStr">
        <is>
          <t>CHO</t>
        </is>
      </c>
      <c r="F1098" s="2" t="n">
        <v>2.7738</v>
      </c>
      <c r="G1098" s="2" t="n">
        <v>0.034983</v>
      </c>
    </row>
    <row r="1099">
      <c r="A1099" s="1" t="inlineStr">
        <is>
          <t>C3</t>
        </is>
      </c>
      <c r="B1099" s="1" t="n">
        <v>27</v>
      </c>
      <c r="C1099" s="2">
        <f>_xlfn.XLOOKUP(B1099,Results!$B$23:$B$119,Results!$D$23:$D$119)</f>
        <v/>
      </c>
      <c r="D1099" s="1" t="n">
        <v>36</v>
      </c>
      <c r="E1099" s="1" t="inlineStr">
        <is>
          <t>CHO</t>
        </is>
      </c>
      <c r="F1099" s="1" t="n">
        <v>2.8143</v>
      </c>
      <c r="G1099" s="1" t="n">
        <v>0.066456</v>
      </c>
    </row>
    <row r="1100">
      <c r="A1100" s="2" t="inlineStr">
        <is>
          <t>C3</t>
        </is>
      </c>
      <c r="B1100" s="2" t="n">
        <v>27</v>
      </c>
      <c r="C1100" s="2">
        <f>_xlfn.XLOOKUP(B1100,Results!$B$23:$B$119,Results!$D$23:$D$119)</f>
        <v/>
      </c>
      <c r="D1100" s="2" t="n">
        <v>37</v>
      </c>
      <c r="E1100" s="2" t="inlineStr">
        <is>
          <t>CHO</t>
        </is>
      </c>
      <c r="F1100" s="2" t="n">
        <v>2.8625</v>
      </c>
      <c r="G1100" s="2" t="n">
        <v>0.105713</v>
      </c>
    </row>
    <row r="1101">
      <c r="A1101" s="1" t="inlineStr">
        <is>
          <t>C3</t>
        </is>
      </c>
      <c r="B1101" s="1" t="n">
        <v>27</v>
      </c>
      <c r="C1101" s="2">
        <f>_xlfn.XLOOKUP(B1101,Results!$B$23:$B$119,Results!$D$23:$D$119)</f>
        <v/>
      </c>
      <c r="D1101" s="1" t="n">
        <v>38</v>
      </c>
      <c r="E1101" s="1" t="inlineStr">
        <is>
          <t>CHO</t>
        </is>
      </c>
      <c r="F1101" s="1" t="n">
        <v>2.9209</v>
      </c>
      <c r="G1101" s="1" t="n">
        <v>0.155167</v>
      </c>
    </row>
    <row r="1102">
      <c r="A1102" s="2" t="inlineStr">
        <is>
          <t>C3</t>
        </is>
      </c>
      <c r="B1102" s="2" t="n">
        <v>27</v>
      </c>
      <c r="C1102" s="2">
        <f>_xlfn.XLOOKUP(B1102,Results!$B$23:$B$119,Results!$D$23:$D$119)</f>
        <v/>
      </c>
      <c r="D1102" s="2" t="n">
        <v>39</v>
      </c>
      <c r="E1102" s="2" t="inlineStr">
        <is>
          <t>CHO</t>
        </is>
      </c>
      <c r="F1102" s="2" t="n">
        <v>2.9844</v>
      </c>
      <c r="G1102" s="2" t="n">
        <v>0.209635</v>
      </c>
    </row>
    <row r="1103">
      <c r="A1103" s="1" t="inlineStr">
        <is>
          <t>C3</t>
        </is>
      </c>
      <c r="B1103" s="1" t="n">
        <v>27</v>
      </c>
      <c r="C1103" s="2">
        <f>_xlfn.XLOOKUP(B1103,Results!$B$23:$B$119,Results!$D$23:$D$119)</f>
        <v/>
      </c>
      <c r="D1103" s="1" t="n">
        <v>40</v>
      </c>
      <c r="E1103" s="1" t="inlineStr">
        <is>
          <t>CHO</t>
        </is>
      </c>
      <c r="F1103" s="1" t="n">
        <v>3.0371</v>
      </c>
      <c r="G1103" s="1" t="n">
        <v>0.253402</v>
      </c>
    </row>
    <row r="1104">
      <c r="A1104" s="2" t="inlineStr">
        <is>
          <t>C4</t>
        </is>
      </c>
      <c r="B1104" s="2" t="n">
        <v>28</v>
      </c>
      <c r="C1104" s="2">
        <f>_xlfn.XLOOKUP(B1104,Results!$B$23:$B$119,Results!$D$23:$D$119)</f>
        <v/>
      </c>
      <c r="D1104" s="2" t="n">
        <v>1</v>
      </c>
      <c r="E1104" s="2" t="inlineStr">
        <is>
          <t>CHO</t>
        </is>
      </c>
      <c r="F1104" s="2" t="n">
        <v>2.3391</v>
      </c>
      <c r="G1104" s="2" t="n">
        <v>0.008944000000000001</v>
      </c>
    </row>
    <row r="1105">
      <c r="A1105" s="1" t="inlineStr">
        <is>
          <t>C4</t>
        </is>
      </c>
      <c r="B1105" s="1" t="n">
        <v>28</v>
      </c>
      <c r="C1105" s="2">
        <f>_xlfn.XLOOKUP(B1105,Results!$B$23:$B$119,Results!$D$23:$D$119)</f>
        <v/>
      </c>
      <c r="D1105" s="1" t="n">
        <v>2</v>
      </c>
      <c r="E1105" s="1" t="inlineStr">
        <is>
          <t>CHO</t>
        </is>
      </c>
      <c r="F1105" s="1" t="n">
        <v>2.3395</v>
      </c>
      <c r="G1105" s="1" t="n">
        <v>0.004968</v>
      </c>
    </row>
    <row r="1106">
      <c r="A1106" s="2" t="inlineStr">
        <is>
          <t>C4</t>
        </is>
      </c>
      <c r="B1106" s="2" t="n">
        <v>28</v>
      </c>
      <c r="C1106" s="2">
        <f>_xlfn.XLOOKUP(B1106,Results!$B$23:$B$119,Results!$D$23:$D$119)</f>
        <v/>
      </c>
      <c r="D1106" s="2" t="n">
        <v>3</v>
      </c>
      <c r="E1106" s="2" t="inlineStr">
        <is>
          <t>CHO</t>
        </is>
      </c>
      <c r="F1106" s="2" t="n">
        <v>2.3369</v>
      </c>
      <c r="G1106" s="2" t="n">
        <v>-0.002005</v>
      </c>
    </row>
    <row r="1107">
      <c r="A1107" s="1" t="inlineStr">
        <is>
          <t>C4</t>
        </is>
      </c>
      <c r="B1107" s="1" t="n">
        <v>28</v>
      </c>
      <c r="C1107" s="2">
        <f>_xlfn.XLOOKUP(B1107,Results!$B$23:$B$119,Results!$D$23:$D$119)</f>
        <v/>
      </c>
      <c r="D1107" s="1" t="n">
        <v>4</v>
      </c>
      <c r="E1107" s="1" t="inlineStr">
        <is>
          <t>CHO</t>
        </is>
      </c>
      <c r="F1107" s="1" t="n">
        <v>2.3429</v>
      </c>
      <c r="G1107" s="1" t="n">
        <v>-0.000473</v>
      </c>
    </row>
    <row r="1108">
      <c r="A1108" s="2" t="inlineStr">
        <is>
          <t>C4</t>
        </is>
      </c>
      <c r="B1108" s="2" t="n">
        <v>28</v>
      </c>
      <c r="C1108" s="2">
        <f>_xlfn.XLOOKUP(B1108,Results!$B$23:$B$119,Results!$D$23:$D$119)</f>
        <v/>
      </c>
      <c r="D1108" s="2" t="n">
        <v>5</v>
      </c>
      <c r="E1108" s="2" t="inlineStr">
        <is>
          <t>CHO</t>
        </is>
      </c>
      <c r="F1108" s="2" t="n">
        <v>2.3475</v>
      </c>
      <c r="G1108" s="2" t="n">
        <v>-0.000244</v>
      </c>
    </row>
    <row r="1109">
      <c r="A1109" s="1" t="inlineStr">
        <is>
          <t>C4</t>
        </is>
      </c>
      <c r="B1109" s="1" t="n">
        <v>28</v>
      </c>
      <c r="C1109" s="2">
        <f>_xlfn.XLOOKUP(B1109,Results!$B$23:$B$119,Results!$D$23:$D$119)</f>
        <v/>
      </c>
      <c r="D1109" s="1" t="n">
        <v>6</v>
      </c>
      <c r="E1109" s="1" t="inlineStr">
        <is>
          <t>CHO</t>
        </is>
      </c>
      <c r="F1109" s="1" t="n">
        <v>2.3504</v>
      </c>
      <c r="G1109" s="1" t="n">
        <v>-0.001765</v>
      </c>
    </row>
    <row r="1110">
      <c r="A1110" s="2" t="inlineStr">
        <is>
          <t>C4</t>
        </is>
      </c>
      <c r="B1110" s="2" t="n">
        <v>28</v>
      </c>
      <c r="C1110" s="2">
        <f>_xlfn.XLOOKUP(B1110,Results!$B$23:$B$119,Results!$D$23:$D$119)</f>
        <v/>
      </c>
      <c r="D1110" s="2" t="n">
        <v>7</v>
      </c>
      <c r="E1110" s="2" t="inlineStr">
        <is>
          <t>CHO</t>
        </is>
      </c>
      <c r="F1110" s="2" t="n">
        <v>2.3556</v>
      </c>
      <c r="G1110" s="2" t="n">
        <v>-0.001031</v>
      </c>
    </row>
    <row r="1111">
      <c r="A1111" s="1" t="inlineStr">
        <is>
          <t>C4</t>
        </is>
      </c>
      <c r="B1111" s="1" t="n">
        <v>28</v>
      </c>
      <c r="C1111" s="2">
        <f>_xlfn.XLOOKUP(B1111,Results!$B$23:$B$119,Results!$D$23:$D$119)</f>
        <v/>
      </c>
      <c r="D1111" s="1" t="n">
        <v>8</v>
      </c>
      <c r="E1111" s="1" t="inlineStr">
        <is>
          <t>CHO</t>
        </is>
      </c>
      <c r="F1111" s="1" t="n">
        <v>2.3625</v>
      </c>
      <c r="G1111" s="1" t="n">
        <v>0.001501</v>
      </c>
    </row>
    <row r="1112">
      <c r="A1112" s="2" t="inlineStr">
        <is>
          <t>C4</t>
        </is>
      </c>
      <c r="B1112" s="2" t="n">
        <v>28</v>
      </c>
      <c r="C1112" s="2">
        <f>_xlfn.XLOOKUP(B1112,Results!$B$23:$B$119,Results!$D$23:$D$119)</f>
        <v/>
      </c>
      <c r="D1112" s="2" t="n">
        <v>9</v>
      </c>
      <c r="E1112" s="2" t="inlineStr">
        <is>
          <t>CHO</t>
        </is>
      </c>
      <c r="F1112" s="2" t="n">
        <v>2.3661</v>
      </c>
      <c r="G1112" s="2" t="n">
        <v>0.00071</v>
      </c>
    </row>
    <row r="1113">
      <c r="A1113" s="1" t="inlineStr">
        <is>
          <t>C4</t>
        </is>
      </c>
      <c r="B1113" s="1" t="n">
        <v>28</v>
      </c>
      <c r="C1113" s="2">
        <f>_xlfn.XLOOKUP(B1113,Results!$B$23:$B$119,Results!$D$23:$D$119)</f>
        <v/>
      </c>
      <c r="D1113" s="1" t="n">
        <v>10</v>
      </c>
      <c r="E1113" s="1" t="inlineStr">
        <is>
          <t>CHO</t>
        </is>
      </c>
      <c r="F1113" s="1" t="n">
        <v>2.3736</v>
      </c>
      <c r="G1113" s="1" t="n">
        <v>0.003821</v>
      </c>
    </row>
    <row r="1114">
      <c r="A1114" s="2" t="inlineStr">
        <is>
          <t>C4</t>
        </is>
      </c>
      <c r="B1114" s="2" t="n">
        <v>28</v>
      </c>
      <c r="C1114" s="2">
        <f>_xlfn.XLOOKUP(B1114,Results!$B$23:$B$119,Results!$D$23:$D$119)</f>
        <v/>
      </c>
      <c r="D1114" s="2" t="n">
        <v>11</v>
      </c>
      <c r="E1114" s="2" t="inlineStr">
        <is>
          <t>CHO</t>
        </is>
      </c>
      <c r="F1114" s="2" t="n">
        <v>2.3762</v>
      </c>
      <c r="G1114" s="2" t="n">
        <v>0.001937</v>
      </c>
    </row>
    <row r="1115">
      <c r="A1115" s="1" t="inlineStr">
        <is>
          <t>C4</t>
        </is>
      </c>
      <c r="B1115" s="1" t="n">
        <v>28</v>
      </c>
      <c r="C1115" s="2">
        <f>_xlfn.XLOOKUP(B1115,Results!$B$23:$B$119,Results!$D$23:$D$119)</f>
        <v/>
      </c>
      <c r="D1115" s="1" t="n">
        <v>12</v>
      </c>
      <c r="E1115" s="1" t="inlineStr">
        <is>
          <t>CHO</t>
        </is>
      </c>
      <c r="F1115" s="1" t="n">
        <v>2.3799</v>
      </c>
      <c r="G1115" s="1" t="n">
        <v>0.001251</v>
      </c>
    </row>
    <row r="1116">
      <c r="A1116" s="2" t="inlineStr">
        <is>
          <t>C4</t>
        </is>
      </c>
      <c r="B1116" s="2" t="n">
        <v>28</v>
      </c>
      <c r="C1116" s="2">
        <f>_xlfn.XLOOKUP(B1116,Results!$B$23:$B$119,Results!$D$23:$D$119)</f>
        <v/>
      </c>
      <c r="D1116" s="2" t="n">
        <v>13</v>
      </c>
      <c r="E1116" s="2" t="inlineStr">
        <is>
          <t>CHO</t>
        </is>
      </c>
      <c r="F1116" s="2" t="n">
        <v>2.3864</v>
      </c>
      <c r="G1116" s="2" t="n">
        <v>0.003387</v>
      </c>
    </row>
    <row r="1117">
      <c r="A1117" s="1" t="inlineStr">
        <is>
          <t>C4</t>
        </is>
      </c>
      <c r="B1117" s="1" t="n">
        <v>28</v>
      </c>
      <c r="C1117" s="2">
        <f>_xlfn.XLOOKUP(B1117,Results!$B$23:$B$119,Results!$D$23:$D$119)</f>
        <v/>
      </c>
      <c r="D1117" s="1" t="n">
        <v>14</v>
      </c>
      <c r="E1117" s="1" t="inlineStr">
        <is>
          <t>CHO</t>
        </is>
      </c>
      <c r="F1117" s="1" t="n">
        <v>2.3886</v>
      </c>
      <c r="G1117" s="1" t="n">
        <v>0.001122</v>
      </c>
    </row>
    <row r="1118">
      <c r="A1118" s="2" t="inlineStr">
        <is>
          <t>C4</t>
        </is>
      </c>
      <c r="B1118" s="2" t="n">
        <v>28</v>
      </c>
      <c r="C1118" s="2">
        <f>_xlfn.XLOOKUP(B1118,Results!$B$23:$B$119,Results!$D$23:$D$119)</f>
        <v/>
      </c>
      <c r="D1118" s="2" t="n">
        <v>15</v>
      </c>
      <c r="E1118" s="2" t="inlineStr">
        <is>
          <t>CHO</t>
        </is>
      </c>
      <c r="F1118" s="2" t="n">
        <v>2.3921</v>
      </c>
      <c r="G1118" s="2" t="n">
        <v>0.000278</v>
      </c>
    </row>
    <row r="1119">
      <c r="A1119" s="1" t="inlineStr">
        <is>
          <t>C4</t>
        </is>
      </c>
      <c r="B1119" s="1" t="n">
        <v>28</v>
      </c>
      <c r="C1119" s="2">
        <f>_xlfn.XLOOKUP(B1119,Results!$B$23:$B$119,Results!$D$23:$D$119)</f>
        <v/>
      </c>
      <c r="D1119" s="1" t="n">
        <v>16</v>
      </c>
      <c r="E1119" s="1" t="inlineStr">
        <is>
          <t>CHO</t>
        </is>
      </c>
      <c r="F1119" s="1" t="n">
        <v>2.3937</v>
      </c>
      <c r="G1119" s="1" t="n">
        <v>-0.002561</v>
      </c>
    </row>
    <row r="1120">
      <c r="A1120" s="2" t="inlineStr">
        <is>
          <t>C4</t>
        </is>
      </c>
      <c r="B1120" s="2" t="n">
        <v>28</v>
      </c>
      <c r="C1120" s="2">
        <f>_xlfn.XLOOKUP(B1120,Results!$B$23:$B$119,Results!$D$23:$D$119)</f>
        <v/>
      </c>
      <c r="D1120" s="2" t="n">
        <v>17</v>
      </c>
      <c r="E1120" s="2" t="inlineStr">
        <is>
          <t>CHO</t>
        </is>
      </c>
      <c r="F1120" s="2" t="n">
        <v>2.396</v>
      </c>
      <c r="G1120" s="2" t="n">
        <v>-0.004655</v>
      </c>
    </row>
    <row r="1121">
      <c r="A1121" s="1" t="inlineStr">
        <is>
          <t>C4</t>
        </is>
      </c>
      <c r="B1121" s="1" t="n">
        <v>28</v>
      </c>
      <c r="C1121" s="2">
        <f>_xlfn.XLOOKUP(B1121,Results!$B$23:$B$119,Results!$D$23:$D$119)</f>
        <v/>
      </c>
      <c r="D1121" s="1" t="n">
        <v>18</v>
      </c>
      <c r="E1121" s="1" t="inlineStr">
        <is>
          <t>CHO</t>
        </is>
      </c>
      <c r="F1121" s="1" t="n">
        <v>2.3994</v>
      </c>
      <c r="G1121" s="1" t="n">
        <v>-0.005748</v>
      </c>
    </row>
    <row r="1122">
      <c r="A1122" s="2" t="inlineStr">
        <is>
          <t>C4</t>
        </is>
      </c>
      <c r="B1122" s="2" t="n">
        <v>28</v>
      </c>
      <c r="C1122" s="2">
        <f>_xlfn.XLOOKUP(B1122,Results!$B$23:$B$119,Results!$D$23:$D$119)</f>
        <v/>
      </c>
      <c r="D1122" s="2" t="n">
        <v>19</v>
      </c>
      <c r="E1122" s="2" t="inlineStr">
        <is>
          <t>CHO</t>
        </is>
      </c>
      <c r="F1122" s="2" t="n">
        <v>2.406</v>
      </c>
      <c r="G1122" s="2" t="n">
        <v>-0.003559</v>
      </c>
    </row>
    <row r="1123">
      <c r="A1123" s="1" t="inlineStr">
        <is>
          <t>C4</t>
        </is>
      </c>
      <c r="B1123" s="1" t="n">
        <v>28</v>
      </c>
      <c r="C1123" s="2">
        <f>_xlfn.XLOOKUP(B1123,Results!$B$23:$B$119,Results!$D$23:$D$119)</f>
        <v/>
      </c>
      <c r="D1123" s="1" t="n">
        <v>20</v>
      </c>
      <c r="E1123" s="1" t="inlineStr">
        <is>
          <t>CHO</t>
        </is>
      </c>
      <c r="F1123" s="1" t="n">
        <v>2.4125</v>
      </c>
      <c r="G1123" s="1" t="n">
        <v>-0.00144</v>
      </c>
    </row>
    <row r="1124">
      <c r="A1124" s="2" t="inlineStr">
        <is>
          <t>C4</t>
        </is>
      </c>
      <c r="B1124" s="2" t="n">
        <v>28</v>
      </c>
      <c r="C1124" s="2">
        <f>_xlfn.XLOOKUP(B1124,Results!$B$23:$B$119,Results!$D$23:$D$119)</f>
        <v/>
      </c>
      <c r="D1124" s="2" t="n">
        <v>21</v>
      </c>
      <c r="E1124" s="2" t="inlineStr">
        <is>
          <t>CHO</t>
        </is>
      </c>
      <c r="F1124" s="2" t="n">
        <v>2.4199</v>
      </c>
      <c r="G1124" s="2" t="n">
        <v>0.001544</v>
      </c>
    </row>
    <row r="1125">
      <c r="A1125" s="1" t="inlineStr">
        <is>
          <t>C4</t>
        </is>
      </c>
      <c r="B1125" s="1" t="n">
        <v>28</v>
      </c>
      <c r="C1125" s="2">
        <f>_xlfn.XLOOKUP(B1125,Results!$B$23:$B$119,Results!$D$23:$D$119)</f>
        <v/>
      </c>
      <c r="D1125" s="1" t="n">
        <v>22</v>
      </c>
      <c r="E1125" s="1" t="inlineStr">
        <is>
          <t>CHO</t>
        </is>
      </c>
      <c r="F1125" s="1" t="n">
        <v>2.4253</v>
      </c>
      <c r="G1125" s="1" t="n">
        <v>0.002587</v>
      </c>
    </row>
    <row r="1126">
      <c r="A1126" s="2" t="inlineStr">
        <is>
          <t>C4</t>
        </is>
      </c>
      <c r="B1126" s="2" t="n">
        <v>28</v>
      </c>
      <c r="C1126" s="2">
        <f>_xlfn.XLOOKUP(B1126,Results!$B$23:$B$119,Results!$D$23:$D$119)</f>
        <v/>
      </c>
      <c r="D1126" s="2" t="n">
        <v>23</v>
      </c>
      <c r="E1126" s="2" t="inlineStr">
        <is>
          <t>CHO</t>
        </is>
      </c>
      <c r="F1126" s="2" t="n">
        <v>2.4281</v>
      </c>
      <c r="G1126" s="2" t="n">
        <v>0.000917</v>
      </c>
    </row>
    <row r="1127">
      <c r="A1127" s="1" t="inlineStr">
        <is>
          <t>C4</t>
        </is>
      </c>
      <c r="B1127" s="1" t="n">
        <v>28</v>
      </c>
      <c r="C1127" s="2">
        <f>_xlfn.XLOOKUP(B1127,Results!$B$23:$B$119,Results!$D$23:$D$119)</f>
        <v/>
      </c>
      <c r="D1127" s="1" t="n">
        <v>24</v>
      </c>
      <c r="E1127" s="1" t="inlineStr">
        <is>
          <t>CHO</t>
        </is>
      </c>
      <c r="F1127" s="1" t="n">
        <v>2.4343</v>
      </c>
      <c r="G1127" s="1" t="n">
        <v>0.002715</v>
      </c>
    </row>
    <row r="1128">
      <c r="A1128" s="2" t="inlineStr">
        <is>
          <t>C4</t>
        </is>
      </c>
      <c r="B1128" s="2" t="n">
        <v>28</v>
      </c>
      <c r="C1128" s="2">
        <f>_xlfn.XLOOKUP(B1128,Results!$B$23:$B$119,Results!$D$23:$D$119)</f>
        <v/>
      </c>
      <c r="D1128" s="2" t="n">
        <v>25</v>
      </c>
      <c r="E1128" s="2" t="inlineStr">
        <is>
          <t>CHO</t>
        </is>
      </c>
      <c r="F1128" s="2" t="n">
        <v>2.4396</v>
      </c>
      <c r="G1128" s="2" t="n">
        <v>0.00362</v>
      </c>
    </row>
    <row r="1129">
      <c r="A1129" s="1" t="inlineStr">
        <is>
          <t>C4</t>
        </is>
      </c>
      <c r="B1129" s="1" t="n">
        <v>28</v>
      </c>
      <c r="C1129" s="2">
        <f>_xlfn.XLOOKUP(B1129,Results!$B$23:$B$119,Results!$D$23:$D$119)</f>
        <v/>
      </c>
      <c r="D1129" s="1" t="n">
        <v>26</v>
      </c>
      <c r="E1129" s="1" t="inlineStr">
        <is>
          <t>CHO</t>
        </is>
      </c>
      <c r="F1129" s="1" t="n">
        <v>2.4429</v>
      </c>
      <c r="G1129" s="1" t="n">
        <v>0.002551</v>
      </c>
    </row>
    <row r="1130">
      <c r="A1130" s="2" t="inlineStr">
        <is>
          <t>C4</t>
        </is>
      </c>
      <c r="B1130" s="2" t="n">
        <v>28</v>
      </c>
      <c r="C1130" s="2">
        <f>_xlfn.XLOOKUP(B1130,Results!$B$23:$B$119,Results!$D$23:$D$119)</f>
        <v/>
      </c>
      <c r="D1130" s="2" t="n">
        <v>27</v>
      </c>
      <c r="E1130" s="2" t="inlineStr">
        <is>
          <t>CHO</t>
        </is>
      </c>
      <c r="F1130" s="2" t="n">
        <v>2.4468</v>
      </c>
      <c r="G1130" s="2" t="n">
        <v>0.002044</v>
      </c>
    </row>
    <row r="1131">
      <c r="A1131" s="1" t="inlineStr">
        <is>
          <t>C4</t>
        </is>
      </c>
      <c r="B1131" s="1" t="n">
        <v>28</v>
      </c>
      <c r="C1131" s="2">
        <f>_xlfn.XLOOKUP(B1131,Results!$B$23:$B$119,Results!$D$23:$D$119)</f>
        <v/>
      </c>
      <c r="D1131" s="1" t="n">
        <v>28</v>
      </c>
      <c r="E1131" s="1" t="inlineStr">
        <is>
          <t>CHO</t>
        </is>
      </c>
      <c r="F1131" s="1" t="n">
        <v>2.4515</v>
      </c>
      <c r="G1131" s="1" t="n">
        <v>0.002269</v>
      </c>
    </row>
    <row r="1132">
      <c r="A1132" s="2" t="inlineStr">
        <is>
          <t>C4</t>
        </is>
      </c>
      <c r="B1132" s="2" t="n">
        <v>28</v>
      </c>
      <c r="C1132" s="2">
        <f>_xlfn.XLOOKUP(B1132,Results!$B$23:$B$119,Results!$D$23:$D$119)</f>
        <v/>
      </c>
      <c r="D1132" s="2" t="n">
        <v>29</v>
      </c>
      <c r="E1132" s="2" t="inlineStr">
        <is>
          <t>CHO</t>
        </is>
      </c>
      <c r="F1132" s="2" t="n">
        <v>2.4513</v>
      </c>
      <c r="G1132" s="2" t="n">
        <v>-0.002281</v>
      </c>
    </row>
    <row r="1133">
      <c r="A1133" s="1" t="inlineStr">
        <is>
          <t>C4</t>
        </is>
      </c>
      <c r="B1133" s="1" t="n">
        <v>28</v>
      </c>
      <c r="C1133" s="2">
        <f>_xlfn.XLOOKUP(B1133,Results!$B$23:$B$119,Results!$D$23:$D$119)</f>
        <v/>
      </c>
      <c r="D1133" s="1" t="n">
        <v>30</v>
      </c>
      <c r="E1133" s="1" t="inlineStr">
        <is>
          <t>CHO</t>
        </is>
      </c>
      <c r="F1133" s="1" t="n">
        <v>2.4527</v>
      </c>
      <c r="G1133" s="1" t="n">
        <v>-0.005319</v>
      </c>
    </row>
    <row r="1134">
      <c r="A1134" s="2" t="inlineStr">
        <is>
          <t>C4</t>
        </is>
      </c>
      <c r="B1134" s="2" t="n">
        <v>28</v>
      </c>
      <c r="C1134" s="2">
        <f>_xlfn.XLOOKUP(B1134,Results!$B$23:$B$119,Results!$D$23:$D$119)</f>
        <v/>
      </c>
      <c r="D1134" s="2" t="n">
        <v>31</v>
      </c>
      <c r="E1134" s="2" t="inlineStr">
        <is>
          <t>CHO</t>
        </is>
      </c>
      <c r="F1134" s="2" t="n">
        <v>2.4611</v>
      </c>
      <c r="G1134" s="2" t="n">
        <v>-0.001382</v>
      </c>
    </row>
    <row r="1135">
      <c r="A1135" s="1" t="inlineStr">
        <is>
          <t>C4</t>
        </is>
      </c>
      <c r="B1135" s="1" t="n">
        <v>28</v>
      </c>
      <c r="C1135" s="2">
        <f>_xlfn.XLOOKUP(B1135,Results!$B$23:$B$119,Results!$D$23:$D$119)</f>
        <v/>
      </c>
      <c r="D1135" s="1" t="n">
        <v>32</v>
      </c>
      <c r="E1135" s="1" t="inlineStr">
        <is>
          <t>CHO</t>
        </is>
      </c>
      <c r="F1135" s="1" t="n">
        <v>2.4667</v>
      </c>
      <c r="G1135" s="1" t="n">
        <v>-0.000153</v>
      </c>
    </row>
    <row r="1136">
      <c r="A1136" s="2" t="inlineStr">
        <is>
          <t>C4</t>
        </is>
      </c>
      <c r="B1136" s="2" t="n">
        <v>28</v>
      </c>
      <c r="C1136" s="2">
        <f>_xlfn.XLOOKUP(B1136,Results!$B$23:$B$119,Results!$D$23:$D$119)</f>
        <v/>
      </c>
      <c r="D1136" s="2" t="n">
        <v>33</v>
      </c>
      <c r="E1136" s="2" t="inlineStr">
        <is>
          <t>CHO</t>
        </is>
      </c>
      <c r="F1136" s="2" t="n">
        <v>2.4711</v>
      </c>
      <c r="G1136" s="2" t="n">
        <v>-0.000149</v>
      </c>
    </row>
    <row r="1137">
      <c r="A1137" s="1" t="inlineStr">
        <is>
          <t>C4</t>
        </is>
      </c>
      <c r="B1137" s="1" t="n">
        <v>28</v>
      </c>
      <c r="C1137" s="2">
        <f>_xlfn.XLOOKUP(B1137,Results!$B$23:$B$119,Results!$D$23:$D$119)</f>
        <v/>
      </c>
      <c r="D1137" s="1" t="n">
        <v>34</v>
      </c>
      <c r="E1137" s="1" t="inlineStr">
        <is>
          <t>CHO</t>
        </is>
      </c>
      <c r="F1137" s="1" t="n">
        <v>2.4762</v>
      </c>
      <c r="G1137" s="1" t="n">
        <v>0.000558</v>
      </c>
    </row>
    <row r="1138">
      <c r="A1138" s="2" t="inlineStr">
        <is>
          <t>C4</t>
        </is>
      </c>
      <c r="B1138" s="2" t="n">
        <v>28</v>
      </c>
      <c r="C1138" s="2">
        <f>_xlfn.XLOOKUP(B1138,Results!$B$23:$B$119,Results!$D$23:$D$119)</f>
        <v/>
      </c>
      <c r="D1138" s="2" t="n">
        <v>35</v>
      </c>
      <c r="E1138" s="2" t="inlineStr">
        <is>
          <t>CHO</t>
        </is>
      </c>
      <c r="F1138" s="2" t="n">
        <v>2.48</v>
      </c>
      <c r="G1138" s="2" t="n">
        <v>-4.6e-05</v>
      </c>
    </row>
    <row r="1139">
      <c r="A1139" s="1" t="inlineStr">
        <is>
          <t>C4</t>
        </is>
      </c>
      <c r="B1139" s="1" t="n">
        <v>28</v>
      </c>
      <c r="C1139" s="2">
        <f>_xlfn.XLOOKUP(B1139,Results!$B$23:$B$119,Results!$D$23:$D$119)</f>
        <v/>
      </c>
      <c r="D1139" s="1" t="n">
        <v>36</v>
      </c>
      <c r="E1139" s="1" t="inlineStr">
        <is>
          <t>CHO</t>
        </is>
      </c>
      <c r="F1139" s="1" t="n">
        <v>2.4849</v>
      </c>
      <c r="G1139" s="1" t="n">
        <v>0.000432</v>
      </c>
    </row>
    <row r="1140">
      <c r="A1140" s="2" t="inlineStr">
        <is>
          <t>C4</t>
        </is>
      </c>
      <c r="B1140" s="2" t="n">
        <v>28</v>
      </c>
      <c r="C1140" s="2">
        <f>_xlfn.XLOOKUP(B1140,Results!$B$23:$B$119,Results!$D$23:$D$119)</f>
        <v/>
      </c>
      <c r="D1140" s="2" t="n">
        <v>37</v>
      </c>
      <c r="E1140" s="2" t="inlineStr">
        <is>
          <t>CHO</t>
        </is>
      </c>
      <c r="F1140" s="2" t="n">
        <v>2.4941</v>
      </c>
      <c r="G1140" s="2" t="n">
        <v>0.005205</v>
      </c>
    </row>
    <row r="1141">
      <c r="A1141" s="1" t="inlineStr">
        <is>
          <t>C4</t>
        </is>
      </c>
      <c r="B1141" s="1" t="n">
        <v>28</v>
      </c>
      <c r="C1141" s="2">
        <f>_xlfn.XLOOKUP(B1141,Results!$B$23:$B$119,Results!$D$23:$D$119)</f>
        <v/>
      </c>
      <c r="D1141" s="1" t="n">
        <v>38</v>
      </c>
      <c r="E1141" s="1" t="inlineStr">
        <is>
          <t>CHO</t>
        </is>
      </c>
      <c r="F1141" s="1" t="n">
        <v>2.5114</v>
      </c>
      <c r="G1141" s="1" t="n">
        <v>0.018099</v>
      </c>
    </row>
    <row r="1142">
      <c r="A1142" s="2" t="inlineStr">
        <is>
          <t>C4</t>
        </is>
      </c>
      <c r="B1142" s="2" t="n">
        <v>28</v>
      </c>
      <c r="C1142" s="2">
        <f>_xlfn.XLOOKUP(B1142,Results!$B$23:$B$119,Results!$D$23:$D$119)</f>
        <v/>
      </c>
      <c r="D1142" s="2" t="n">
        <v>39</v>
      </c>
      <c r="E1142" s="2" t="inlineStr">
        <is>
          <t>CHO</t>
        </is>
      </c>
      <c r="F1142" s="2" t="n">
        <v>2.537</v>
      </c>
      <c r="G1142" s="2" t="n">
        <v>0.039243</v>
      </c>
    </row>
    <row r="1143">
      <c r="A1143" s="1" t="inlineStr">
        <is>
          <t>C4</t>
        </is>
      </c>
      <c r="B1143" s="1" t="n">
        <v>28</v>
      </c>
      <c r="C1143" s="2">
        <f>_xlfn.XLOOKUP(B1143,Results!$B$23:$B$119,Results!$D$23:$D$119)</f>
        <v/>
      </c>
      <c r="D1143" s="1" t="n">
        <v>40</v>
      </c>
      <c r="E1143" s="1" t="inlineStr">
        <is>
          <t>CHO</t>
        </is>
      </c>
      <c r="F1143" s="1" t="n">
        <v>2.5687</v>
      </c>
      <c r="G1143" s="1" t="n">
        <v>0.066617</v>
      </c>
    </row>
    <row r="1144">
      <c r="A1144" s="2" t="inlineStr">
        <is>
          <t>C5</t>
        </is>
      </c>
      <c r="B1144" s="2" t="n">
        <v>29</v>
      </c>
      <c r="C1144" s="2">
        <f>_xlfn.XLOOKUP(B1144,Results!$B$23:$B$119,Results!$D$23:$D$119)</f>
        <v/>
      </c>
      <c r="D1144" s="2" t="n">
        <v>1</v>
      </c>
      <c r="E1144" s="2" t="inlineStr">
        <is>
          <t>CHO</t>
        </is>
      </c>
      <c r="F1144" s="2" t="n">
        <v>2.3198</v>
      </c>
      <c r="G1144" s="2" t="n">
        <v>0.007986</v>
      </c>
    </row>
    <row r="1145">
      <c r="A1145" s="1" t="inlineStr">
        <is>
          <t>C5</t>
        </is>
      </c>
      <c r="B1145" s="1" t="n">
        <v>29</v>
      </c>
      <c r="C1145" s="2">
        <f>_xlfn.XLOOKUP(B1145,Results!$B$23:$B$119,Results!$D$23:$D$119)</f>
        <v/>
      </c>
      <c r="D1145" s="1" t="n">
        <v>2</v>
      </c>
      <c r="E1145" s="1" t="inlineStr">
        <is>
          <t>CHO</t>
        </is>
      </c>
      <c r="F1145" s="1" t="n">
        <v>2.3162</v>
      </c>
      <c r="G1145" s="1" t="n">
        <v>-0.000238</v>
      </c>
    </row>
    <row r="1146">
      <c r="A1146" s="2" t="inlineStr">
        <is>
          <t>C5</t>
        </is>
      </c>
      <c r="B1146" s="2" t="n">
        <v>29</v>
      </c>
      <c r="C1146" s="2">
        <f>_xlfn.XLOOKUP(B1146,Results!$B$23:$B$119,Results!$D$23:$D$119)</f>
        <v/>
      </c>
      <c r="D1146" s="2" t="n">
        <v>3</v>
      </c>
      <c r="E1146" s="2" t="inlineStr">
        <is>
          <t>CHO</t>
        </is>
      </c>
      <c r="F1146" s="2" t="n">
        <v>2.3169</v>
      </c>
      <c r="G1146" s="2" t="n">
        <v>-0.004108</v>
      </c>
    </row>
    <row r="1147">
      <c r="A1147" s="1" t="inlineStr">
        <is>
          <t>C5</t>
        </is>
      </c>
      <c r="B1147" s="1" t="n">
        <v>29</v>
      </c>
      <c r="C1147" s="2">
        <f>_xlfn.XLOOKUP(B1147,Results!$B$23:$B$119,Results!$D$23:$D$119)</f>
        <v/>
      </c>
      <c r="D1147" s="1" t="n">
        <v>4</v>
      </c>
      <c r="E1147" s="1" t="inlineStr">
        <is>
          <t>CHO</t>
        </is>
      </c>
      <c r="F1147" s="1" t="n">
        <v>2.3234</v>
      </c>
      <c r="G1147" s="1" t="n">
        <v>-0.002162</v>
      </c>
    </row>
    <row r="1148">
      <c r="A1148" s="2" t="inlineStr">
        <is>
          <t>C5</t>
        </is>
      </c>
      <c r="B1148" s="2" t="n">
        <v>29</v>
      </c>
      <c r="C1148" s="2">
        <f>_xlfn.XLOOKUP(B1148,Results!$B$23:$B$119,Results!$D$23:$D$119)</f>
        <v/>
      </c>
      <c r="D1148" s="2" t="n">
        <v>5</v>
      </c>
      <c r="E1148" s="2" t="inlineStr">
        <is>
          <t>CHO</t>
        </is>
      </c>
      <c r="F1148" s="2" t="n">
        <v>2.3315</v>
      </c>
      <c r="G1148" s="2" t="n">
        <v>0.00131</v>
      </c>
    </row>
    <row r="1149">
      <c r="A1149" s="1" t="inlineStr">
        <is>
          <t>C5</t>
        </is>
      </c>
      <c r="B1149" s="1" t="n">
        <v>29</v>
      </c>
      <c r="C1149" s="2">
        <f>_xlfn.XLOOKUP(B1149,Results!$B$23:$B$119,Results!$D$23:$D$119)</f>
        <v/>
      </c>
      <c r="D1149" s="1" t="n">
        <v>6</v>
      </c>
      <c r="E1149" s="1" t="inlineStr">
        <is>
          <t>CHO</t>
        </is>
      </c>
      <c r="F1149" s="1" t="n">
        <v>2.3364</v>
      </c>
      <c r="G1149" s="1" t="n">
        <v>0.001629</v>
      </c>
    </row>
    <row r="1150">
      <c r="A1150" s="2" t="inlineStr">
        <is>
          <t>C5</t>
        </is>
      </c>
      <c r="B1150" s="2" t="n">
        <v>29</v>
      </c>
      <c r="C1150" s="2">
        <f>_xlfn.XLOOKUP(B1150,Results!$B$23:$B$119,Results!$D$23:$D$119)</f>
        <v/>
      </c>
      <c r="D1150" s="2" t="n">
        <v>7</v>
      </c>
      <c r="E1150" s="2" t="inlineStr">
        <is>
          <t>CHO</t>
        </is>
      </c>
      <c r="F1150" s="2" t="n">
        <v>2.3408</v>
      </c>
      <c r="G1150" s="2" t="n">
        <v>0.001417</v>
      </c>
    </row>
    <row r="1151">
      <c r="A1151" s="1" t="inlineStr">
        <is>
          <t>C5</t>
        </is>
      </c>
      <c r="B1151" s="1" t="n">
        <v>29</v>
      </c>
      <c r="C1151" s="2">
        <f>_xlfn.XLOOKUP(B1151,Results!$B$23:$B$119,Results!$D$23:$D$119)</f>
        <v/>
      </c>
      <c r="D1151" s="1" t="n">
        <v>8</v>
      </c>
      <c r="E1151" s="1" t="inlineStr">
        <is>
          <t>CHO</t>
        </is>
      </c>
      <c r="F1151" s="1" t="n">
        <v>2.3451</v>
      </c>
      <c r="G1151" s="1" t="n">
        <v>0.001063</v>
      </c>
    </row>
    <row r="1152">
      <c r="A1152" s="2" t="inlineStr">
        <is>
          <t>C5</t>
        </is>
      </c>
      <c r="B1152" s="2" t="n">
        <v>29</v>
      </c>
      <c r="C1152" s="2">
        <f>_xlfn.XLOOKUP(B1152,Results!$B$23:$B$119,Results!$D$23:$D$119)</f>
        <v/>
      </c>
      <c r="D1152" s="2" t="n">
        <v>9</v>
      </c>
      <c r="E1152" s="2" t="inlineStr">
        <is>
          <t>CHO</t>
        </is>
      </c>
      <c r="F1152" s="2" t="n">
        <v>2.3484</v>
      </c>
      <c r="G1152" s="2" t="n">
        <v>-0.000202</v>
      </c>
    </row>
    <row r="1153">
      <c r="A1153" s="1" t="inlineStr">
        <is>
          <t>C5</t>
        </is>
      </c>
      <c r="B1153" s="1" t="n">
        <v>29</v>
      </c>
      <c r="C1153" s="2">
        <f>_xlfn.XLOOKUP(B1153,Results!$B$23:$B$119,Results!$D$23:$D$119)</f>
        <v/>
      </c>
      <c r="D1153" s="1" t="n">
        <v>10</v>
      </c>
      <c r="E1153" s="1" t="inlineStr">
        <is>
          <t>CHO</t>
        </is>
      </c>
      <c r="F1153" s="1" t="n">
        <v>2.3524</v>
      </c>
      <c r="G1153" s="1" t="n">
        <v>-0.000783</v>
      </c>
    </row>
    <row r="1154">
      <c r="A1154" s="2" t="inlineStr">
        <is>
          <t>C5</t>
        </is>
      </c>
      <c r="B1154" s="2" t="n">
        <v>29</v>
      </c>
      <c r="C1154" s="2">
        <f>_xlfn.XLOOKUP(B1154,Results!$B$23:$B$119,Results!$D$23:$D$119)</f>
        <v/>
      </c>
      <c r="D1154" s="2" t="n">
        <v>11</v>
      </c>
      <c r="E1154" s="2" t="inlineStr">
        <is>
          <t>CHO</t>
        </is>
      </c>
      <c r="F1154" s="2" t="n">
        <v>2.3576</v>
      </c>
      <c r="G1154" s="2" t="n">
        <v>-0.000234</v>
      </c>
    </row>
    <row r="1155">
      <c r="A1155" s="1" t="inlineStr">
        <is>
          <t>C5</t>
        </is>
      </c>
      <c r="B1155" s="1" t="n">
        <v>29</v>
      </c>
      <c r="C1155" s="2">
        <f>_xlfn.XLOOKUP(B1155,Results!$B$23:$B$119,Results!$D$23:$D$119)</f>
        <v/>
      </c>
      <c r="D1155" s="1" t="n">
        <v>12</v>
      </c>
      <c r="E1155" s="1" t="inlineStr">
        <is>
          <t>CHO</t>
        </is>
      </c>
      <c r="F1155" s="1" t="n">
        <v>2.3634</v>
      </c>
      <c r="G1155" s="1" t="n">
        <v>0.000955</v>
      </c>
    </row>
    <row r="1156">
      <c r="A1156" s="2" t="inlineStr">
        <is>
          <t>C5</t>
        </is>
      </c>
      <c r="B1156" s="2" t="n">
        <v>29</v>
      </c>
      <c r="C1156" s="2">
        <f>_xlfn.XLOOKUP(B1156,Results!$B$23:$B$119,Results!$D$23:$D$119)</f>
        <v/>
      </c>
      <c r="D1156" s="2" t="n">
        <v>13</v>
      </c>
      <c r="E1156" s="2" t="inlineStr">
        <is>
          <t>CHO</t>
        </is>
      </c>
      <c r="F1156" s="2" t="n">
        <v>2.3686</v>
      </c>
      <c r="G1156" s="2" t="n">
        <v>0.001559</v>
      </c>
    </row>
    <row r="1157">
      <c r="A1157" s="1" t="inlineStr">
        <is>
          <t>C5</t>
        </is>
      </c>
      <c r="B1157" s="1" t="n">
        <v>29</v>
      </c>
      <c r="C1157" s="2">
        <f>_xlfn.XLOOKUP(B1157,Results!$B$23:$B$119,Results!$D$23:$D$119)</f>
        <v/>
      </c>
      <c r="D1157" s="1" t="n">
        <v>14</v>
      </c>
      <c r="E1157" s="1" t="inlineStr">
        <is>
          <t>CHO</t>
        </is>
      </c>
      <c r="F1157" s="1" t="n">
        <v>2.3746</v>
      </c>
      <c r="G1157" s="1" t="n">
        <v>0.002944</v>
      </c>
    </row>
    <row r="1158">
      <c r="A1158" s="2" t="inlineStr">
        <is>
          <t>C5</t>
        </is>
      </c>
      <c r="B1158" s="2" t="n">
        <v>29</v>
      </c>
      <c r="C1158" s="2">
        <f>_xlfn.XLOOKUP(B1158,Results!$B$23:$B$119,Results!$D$23:$D$119)</f>
        <v/>
      </c>
      <c r="D1158" s="2" t="n">
        <v>15</v>
      </c>
      <c r="E1158" s="2" t="inlineStr">
        <is>
          <t>CHO</t>
        </is>
      </c>
      <c r="F1158" s="2" t="n">
        <v>2.3785</v>
      </c>
      <c r="G1158" s="2" t="n">
        <v>0.002222</v>
      </c>
    </row>
    <row r="1159">
      <c r="A1159" s="1" t="inlineStr">
        <is>
          <t>C5</t>
        </is>
      </c>
      <c r="B1159" s="1" t="n">
        <v>29</v>
      </c>
      <c r="C1159" s="2">
        <f>_xlfn.XLOOKUP(B1159,Results!$B$23:$B$119,Results!$D$23:$D$119)</f>
        <v/>
      </c>
      <c r="D1159" s="1" t="n">
        <v>16</v>
      </c>
      <c r="E1159" s="1" t="inlineStr">
        <is>
          <t>CHO</t>
        </is>
      </c>
      <c r="F1159" s="1" t="n">
        <v>2.3807</v>
      </c>
      <c r="G1159" s="1" t="n">
        <v>-0.000115</v>
      </c>
    </row>
    <row r="1160">
      <c r="A1160" s="2" t="inlineStr">
        <is>
          <t>C5</t>
        </is>
      </c>
      <c r="B1160" s="2" t="n">
        <v>29</v>
      </c>
      <c r="C1160" s="2">
        <f>_xlfn.XLOOKUP(B1160,Results!$B$23:$B$119,Results!$D$23:$D$119)</f>
        <v/>
      </c>
      <c r="D1160" s="2" t="n">
        <v>17</v>
      </c>
      <c r="E1160" s="2" t="inlineStr">
        <is>
          <t>CHO</t>
        </is>
      </c>
      <c r="F1160" s="2" t="n">
        <v>2.3841</v>
      </c>
      <c r="G1160" s="2" t="n">
        <v>-0.001315</v>
      </c>
    </row>
    <row r="1161">
      <c r="A1161" s="1" t="inlineStr">
        <is>
          <t>C5</t>
        </is>
      </c>
      <c r="B1161" s="1" t="n">
        <v>29</v>
      </c>
      <c r="C1161" s="2">
        <f>_xlfn.XLOOKUP(B1161,Results!$B$23:$B$119,Results!$D$23:$D$119)</f>
        <v/>
      </c>
      <c r="D1161" s="1" t="n">
        <v>18</v>
      </c>
      <c r="E1161" s="1" t="inlineStr">
        <is>
          <t>CHO</t>
        </is>
      </c>
      <c r="F1161" s="1" t="n">
        <v>2.3924</v>
      </c>
      <c r="G1161" s="1" t="n">
        <v>0.002365</v>
      </c>
    </row>
    <row r="1162">
      <c r="A1162" s="2" t="inlineStr">
        <is>
          <t>C5</t>
        </is>
      </c>
      <c r="B1162" s="2" t="n">
        <v>29</v>
      </c>
      <c r="C1162" s="2">
        <f>_xlfn.XLOOKUP(B1162,Results!$B$23:$B$119,Results!$D$23:$D$119)</f>
        <v/>
      </c>
      <c r="D1162" s="2" t="n">
        <v>19</v>
      </c>
      <c r="E1162" s="2" t="inlineStr">
        <is>
          <t>CHO</t>
        </is>
      </c>
      <c r="F1162" s="2" t="n">
        <v>2.3946</v>
      </c>
      <c r="G1162" s="2" t="n">
        <v>-2.2e-05</v>
      </c>
    </row>
    <row r="1163">
      <c r="A1163" s="1" t="inlineStr">
        <is>
          <t>C5</t>
        </is>
      </c>
      <c r="B1163" s="1" t="n">
        <v>29</v>
      </c>
      <c r="C1163" s="2">
        <f>_xlfn.XLOOKUP(B1163,Results!$B$23:$B$119,Results!$D$23:$D$119)</f>
        <v/>
      </c>
      <c r="D1163" s="1" t="n">
        <v>20</v>
      </c>
      <c r="E1163" s="1" t="inlineStr">
        <is>
          <t>CHO</t>
        </is>
      </c>
      <c r="F1163" s="1" t="n">
        <v>2.3974</v>
      </c>
      <c r="G1163" s="1" t="n">
        <v>-0.001862</v>
      </c>
    </row>
    <row r="1164">
      <c r="A1164" s="2" t="inlineStr">
        <is>
          <t>C5</t>
        </is>
      </c>
      <c r="B1164" s="2" t="n">
        <v>29</v>
      </c>
      <c r="C1164" s="2">
        <f>_xlfn.XLOOKUP(B1164,Results!$B$23:$B$119,Results!$D$23:$D$119)</f>
        <v/>
      </c>
      <c r="D1164" s="2" t="n">
        <v>21</v>
      </c>
      <c r="E1164" s="2" t="inlineStr">
        <is>
          <t>CHO</t>
        </is>
      </c>
      <c r="F1164" s="2" t="n">
        <v>2.4043</v>
      </c>
      <c r="G1164" s="2" t="n">
        <v>0.000453</v>
      </c>
    </row>
    <row r="1165">
      <c r="A1165" s="1" t="inlineStr">
        <is>
          <t>C5</t>
        </is>
      </c>
      <c r="B1165" s="1" t="n">
        <v>29</v>
      </c>
      <c r="C1165" s="2">
        <f>_xlfn.XLOOKUP(B1165,Results!$B$23:$B$119,Results!$D$23:$D$119)</f>
        <v/>
      </c>
      <c r="D1165" s="1" t="n">
        <v>22</v>
      </c>
      <c r="E1165" s="1" t="inlineStr">
        <is>
          <t>CHO</t>
        </is>
      </c>
      <c r="F1165" s="1" t="n">
        <v>2.4073</v>
      </c>
      <c r="G1165" s="1" t="n">
        <v>-0.001178</v>
      </c>
    </row>
    <row r="1166">
      <c r="A1166" s="2" t="inlineStr">
        <is>
          <t>C5</t>
        </is>
      </c>
      <c r="B1166" s="2" t="n">
        <v>29</v>
      </c>
      <c r="C1166" s="2">
        <f>_xlfn.XLOOKUP(B1166,Results!$B$23:$B$119,Results!$D$23:$D$119)</f>
        <v/>
      </c>
      <c r="D1166" s="2" t="n">
        <v>23</v>
      </c>
      <c r="E1166" s="2" t="inlineStr">
        <is>
          <t>CHO</t>
        </is>
      </c>
      <c r="F1166" s="2" t="n">
        <v>2.4118</v>
      </c>
      <c r="G1166" s="2" t="n">
        <v>-0.001262</v>
      </c>
    </row>
    <row r="1167">
      <c r="A1167" s="1" t="inlineStr">
        <is>
          <t>C5</t>
        </is>
      </c>
      <c r="B1167" s="1" t="n">
        <v>29</v>
      </c>
      <c r="C1167" s="2">
        <f>_xlfn.XLOOKUP(B1167,Results!$B$23:$B$119,Results!$D$23:$D$119)</f>
        <v/>
      </c>
      <c r="D1167" s="1" t="n">
        <v>24</v>
      </c>
      <c r="E1167" s="1" t="inlineStr">
        <is>
          <t>CHO</t>
        </is>
      </c>
      <c r="F1167" s="1" t="n">
        <v>2.4165</v>
      </c>
      <c r="G1167" s="1" t="n">
        <v>-0.001132</v>
      </c>
    </row>
    <row r="1168">
      <c r="A1168" s="2" t="inlineStr">
        <is>
          <t>C5</t>
        </is>
      </c>
      <c r="B1168" s="2" t="n">
        <v>29</v>
      </c>
      <c r="C1168" s="2">
        <f>_xlfn.XLOOKUP(B1168,Results!$B$23:$B$119,Results!$D$23:$D$119)</f>
        <v/>
      </c>
      <c r="D1168" s="2" t="n">
        <v>25</v>
      </c>
      <c r="E1168" s="2" t="inlineStr">
        <is>
          <t>CHO</t>
        </is>
      </c>
      <c r="F1168" s="2" t="n">
        <v>2.4211</v>
      </c>
      <c r="G1168" s="2" t="n">
        <v>-0.001186</v>
      </c>
    </row>
    <row r="1169">
      <c r="A1169" s="1" t="inlineStr">
        <is>
          <t>C5</t>
        </is>
      </c>
      <c r="B1169" s="1" t="n">
        <v>29</v>
      </c>
      <c r="C1169" s="2">
        <f>_xlfn.XLOOKUP(B1169,Results!$B$23:$B$119,Results!$D$23:$D$119)</f>
        <v/>
      </c>
      <c r="D1169" s="1" t="n">
        <v>26</v>
      </c>
      <c r="E1169" s="1" t="inlineStr">
        <is>
          <t>CHO</t>
        </is>
      </c>
      <c r="F1169" s="1" t="n">
        <v>2.4277</v>
      </c>
      <c r="G1169" s="1" t="n">
        <v>0.000793</v>
      </c>
    </row>
    <row r="1170">
      <c r="A1170" s="2" t="inlineStr">
        <is>
          <t>C5</t>
        </is>
      </c>
      <c r="B1170" s="2" t="n">
        <v>29</v>
      </c>
      <c r="C1170" s="2">
        <f>_xlfn.XLOOKUP(B1170,Results!$B$23:$B$119,Results!$D$23:$D$119)</f>
        <v/>
      </c>
      <c r="D1170" s="2" t="n">
        <v>27</v>
      </c>
      <c r="E1170" s="2" t="inlineStr">
        <is>
          <t>CHO</t>
        </is>
      </c>
      <c r="F1170" s="2" t="n">
        <v>2.4301</v>
      </c>
      <c r="G1170" s="2" t="n">
        <v>-0.001386</v>
      </c>
    </row>
    <row r="1171">
      <c r="A1171" s="1" t="inlineStr">
        <is>
          <t>C5</t>
        </is>
      </c>
      <c r="B1171" s="1" t="n">
        <v>29</v>
      </c>
      <c r="C1171" s="2">
        <f>_xlfn.XLOOKUP(B1171,Results!$B$23:$B$119,Results!$D$23:$D$119)</f>
        <v/>
      </c>
      <c r="D1171" s="1" t="n">
        <v>28</v>
      </c>
      <c r="E1171" s="1" t="inlineStr">
        <is>
          <t>CHO</t>
        </is>
      </c>
      <c r="F1171" s="1" t="n">
        <v>2.4357</v>
      </c>
      <c r="G1171" s="1" t="n">
        <v>-0.000351</v>
      </c>
    </row>
    <row r="1172">
      <c r="A1172" s="2" t="inlineStr">
        <is>
          <t>C5</t>
        </is>
      </c>
      <c r="B1172" s="2" t="n">
        <v>29</v>
      </c>
      <c r="C1172" s="2">
        <f>_xlfn.XLOOKUP(B1172,Results!$B$23:$B$119,Results!$D$23:$D$119)</f>
        <v/>
      </c>
      <c r="D1172" s="2" t="n">
        <v>29</v>
      </c>
      <c r="E1172" s="2" t="inlineStr">
        <is>
          <t>CHO</t>
        </is>
      </c>
      <c r="F1172" s="2" t="n">
        <v>2.4385</v>
      </c>
      <c r="G1172" s="2" t="n">
        <v>-0.002146</v>
      </c>
    </row>
    <row r="1173">
      <c r="A1173" s="1" t="inlineStr">
        <is>
          <t>C5</t>
        </is>
      </c>
      <c r="B1173" s="1" t="n">
        <v>29</v>
      </c>
      <c r="C1173" s="2">
        <f>_xlfn.XLOOKUP(B1173,Results!$B$23:$B$119,Results!$D$23:$D$119)</f>
        <v/>
      </c>
      <c r="D1173" s="1" t="n">
        <v>30</v>
      </c>
      <c r="E1173" s="1" t="inlineStr">
        <is>
          <t>CHO</t>
        </is>
      </c>
      <c r="F1173" s="1" t="n">
        <v>2.4398</v>
      </c>
      <c r="G1173" s="1" t="n">
        <v>-0.005471</v>
      </c>
    </row>
    <row r="1174">
      <c r="A1174" s="2" t="inlineStr">
        <is>
          <t>C5</t>
        </is>
      </c>
      <c r="B1174" s="2" t="n">
        <v>29</v>
      </c>
      <c r="C1174" s="2">
        <f>_xlfn.XLOOKUP(B1174,Results!$B$23:$B$119,Results!$D$23:$D$119)</f>
        <v/>
      </c>
      <c r="D1174" s="2" t="n">
        <v>31</v>
      </c>
      <c r="E1174" s="2" t="inlineStr">
        <is>
          <t>CHO</t>
        </is>
      </c>
      <c r="F1174" s="2" t="n">
        <v>2.4508</v>
      </c>
      <c r="G1174" s="2" t="n">
        <v>0.000946</v>
      </c>
    </row>
    <row r="1175">
      <c r="A1175" s="1" t="inlineStr">
        <is>
          <t>C5</t>
        </is>
      </c>
      <c r="B1175" s="1" t="n">
        <v>29</v>
      </c>
      <c r="C1175" s="2">
        <f>_xlfn.XLOOKUP(B1175,Results!$B$23:$B$119,Results!$D$23:$D$119)</f>
        <v/>
      </c>
      <c r="D1175" s="1" t="n">
        <v>32</v>
      </c>
      <c r="E1175" s="1" t="inlineStr">
        <is>
          <t>CHO</t>
        </is>
      </c>
      <c r="F1175" s="1" t="n">
        <v>2.4567</v>
      </c>
      <c r="G1175" s="1" t="n">
        <v>0.002187</v>
      </c>
    </row>
    <row r="1176">
      <c r="A1176" s="2" t="inlineStr">
        <is>
          <t>C5</t>
        </is>
      </c>
      <c r="B1176" s="2" t="n">
        <v>29</v>
      </c>
      <c r="C1176" s="2">
        <f>_xlfn.XLOOKUP(B1176,Results!$B$23:$B$119,Results!$D$23:$D$119)</f>
        <v/>
      </c>
      <c r="D1176" s="2" t="n">
        <v>33</v>
      </c>
      <c r="E1176" s="2" t="inlineStr">
        <is>
          <t>CHO</t>
        </is>
      </c>
      <c r="F1176" s="2" t="n">
        <v>2.4642</v>
      </c>
      <c r="G1176" s="2" t="n">
        <v>0.005072</v>
      </c>
    </row>
    <row r="1177">
      <c r="A1177" s="1" t="inlineStr">
        <is>
          <t>C5</t>
        </is>
      </c>
      <c r="B1177" s="1" t="n">
        <v>29</v>
      </c>
      <c r="C1177" s="2">
        <f>_xlfn.XLOOKUP(B1177,Results!$B$23:$B$119,Results!$D$23:$D$119)</f>
        <v/>
      </c>
      <c r="D1177" s="1" t="n">
        <v>34</v>
      </c>
      <c r="E1177" s="1" t="inlineStr">
        <is>
          <t>CHO</t>
        </is>
      </c>
      <c r="F1177" s="1" t="n">
        <v>2.4756</v>
      </c>
      <c r="G1177" s="1" t="n">
        <v>0.011942</v>
      </c>
    </row>
    <row r="1178">
      <c r="A1178" s="2" t="inlineStr">
        <is>
          <t>C5</t>
        </is>
      </c>
      <c r="B1178" s="2" t="n">
        <v>29</v>
      </c>
      <c r="C1178" s="2">
        <f>_xlfn.XLOOKUP(B1178,Results!$B$23:$B$119,Results!$D$23:$D$119)</f>
        <v/>
      </c>
      <c r="D1178" s="2" t="n">
        <v>35</v>
      </c>
      <c r="E1178" s="2" t="inlineStr">
        <is>
          <t>CHO</t>
        </is>
      </c>
      <c r="F1178" s="2" t="n">
        <v>2.4939</v>
      </c>
      <c r="G1178" s="2" t="n">
        <v>0.025638</v>
      </c>
    </row>
    <row r="1179">
      <c r="A1179" s="1" t="inlineStr">
        <is>
          <t>C5</t>
        </is>
      </c>
      <c r="B1179" s="1" t="n">
        <v>29</v>
      </c>
      <c r="C1179" s="2">
        <f>_xlfn.XLOOKUP(B1179,Results!$B$23:$B$119,Results!$D$23:$D$119)</f>
        <v/>
      </c>
      <c r="D1179" s="1" t="n">
        <v>36</v>
      </c>
      <c r="E1179" s="1" t="inlineStr">
        <is>
          <t>CHO</t>
        </is>
      </c>
      <c r="F1179" s="1" t="n">
        <v>2.5281</v>
      </c>
      <c r="G1179" s="1" t="n">
        <v>0.055241</v>
      </c>
    </row>
    <row r="1180">
      <c r="A1180" s="2" t="inlineStr">
        <is>
          <t>C5</t>
        </is>
      </c>
      <c r="B1180" s="2" t="n">
        <v>29</v>
      </c>
      <c r="C1180" s="2">
        <f>_xlfn.XLOOKUP(B1180,Results!$B$23:$B$119,Results!$D$23:$D$119)</f>
        <v/>
      </c>
      <c r="D1180" s="2" t="n">
        <v>37</v>
      </c>
      <c r="E1180" s="2" t="inlineStr">
        <is>
          <t>CHO</t>
        </is>
      </c>
      <c r="F1180" s="2" t="n">
        <v>2.5767</v>
      </c>
      <c r="G1180" s="2" t="n">
        <v>0.099166</v>
      </c>
    </row>
    <row r="1181">
      <c r="A1181" s="1" t="inlineStr">
        <is>
          <t>C5</t>
        </is>
      </c>
      <c r="B1181" s="1" t="n">
        <v>29</v>
      </c>
      <c r="C1181" s="2">
        <f>_xlfn.XLOOKUP(B1181,Results!$B$23:$B$119,Results!$D$23:$D$119)</f>
        <v/>
      </c>
      <c r="D1181" s="1" t="n">
        <v>38</v>
      </c>
      <c r="E1181" s="1" t="inlineStr">
        <is>
          <t>CHO</t>
        </is>
      </c>
      <c r="F1181" s="1" t="n">
        <v>2.6567</v>
      </c>
      <c r="G1181" s="1" t="n">
        <v>0.17455</v>
      </c>
    </row>
    <row r="1182">
      <c r="A1182" s="2" t="inlineStr">
        <is>
          <t>C5</t>
        </is>
      </c>
      <c r="B1182" s="2" t="n">
        <v>29</v>
      </c>
      <c r="C1182" s="2">
        <f>_xlfn.XLOOKUP(B1182,Results!$B$23:$B$119,Results!$D$23:$D$119)</f>
        <v/>
      </c>
      <c r="D1182" s="2" t="n">
        <v>39</v>
      </c>
      <c r="E1182" s="2" t="inlineStr">
        <is>
          <t>CHO</t>
        </is>
      </c>
      <c r="F1182" s="2" t="n">
        <v>2.7558</v>
      </c>
      <c r="G1182" s="2" t="n">
        <v>0.26911</v>
      </c>
    </row>
    <row r="1183">
      <c r="A1183" s="1" t="inlineStr">
        <is>
          <t>C5</t>
        </is>
      </c>
      <c r="B1183" s="1" t="n">
        <v>29</v>
      </c>
      <c r="C1183" s="2">
        <f>_xlfn.XLOOKUP(B1183,Results!$B$23:$B$119,Results!$D$23:$D$119)</f>
        <v/>
      </c>
      <c r="D1183" s="1" t="n">
        <v>40</v>
      </c>
      <c r="E1183" s="1" t="inlineStr">
        <is>
          <t>CHO</t>
        </is>
      </c>
      <c r="F1183" s="1" t="n">
        <v>2.8576</v>
      </c>
      <c r="G1183" s="1" t="n">
        <v>0.366292</v>
      </c>
    </row>
    <row r="1184">
      <c r="A1184" s="2" t="inlineStr">
        <is>
          <t>C6</t>
        </is>
      </c>
      <c r="B1184" s="2" t="n">
        <v>30</v>
      </c>
      <c r="C1184" s="2">
        <f>_xlfn.XLOOKUP(B1184,Results!$B$23:$B$119,Results!$D$23:$D$119)</f>
        <v/>
      </c>
      <c r="D1184" s="2" t="n">
        <v>1</v>
      </c>
      <c r="E1184" s="2" t="inlineStr">
        <is>
          <t>CHO</t>
        </is>
      </c>
      <c r="F1184" s="2" t="n">
        <v>2.3394</v>
      </c>
      <c r="G1184" s="2" t="n">
        <v>0.014618</v>
      </c>
    </row>
    <row r="1185">
      <c r="A1185" s="1" t="inlineStr">
        <is>
          <t>C6</t>
        </is>
      </c>
      <c r="B1185" s="1" t="n">
        <v>30</v>
      </c>
      <c r="C1185" s="2">
        <f>_xlfn.XLOOKUP(B1185,Results!$B$23:$B$119,Results!$D$23:$D$119)</f>
        <v/>
      </c>
      <c r="D1185" s="1" t="n">
        <v>2</v>
      </c>
      <c r="E1185" s="1" t="inlineStr">
        <is>
          <t>CHO</t>
        </is>
      </c>
      <c r="F1185" s="1" t="n">
        <v>2.3395</v>
      </c>
      <c r="G1185" s="1" t="n">
        <v>0.010219</v>
      </c>
    </row>
    <row r="1186">
      <c r="A1186" s="2" t="inlineStr">
        <is>
          <t>C6</t>
        </is>
      </c>
      <c r="B1186" s="2" t="n">
        <v>30</v>
      </c>
      <c r="C1186" s="2">
        <f>_xlfn.XLOOKUP(B1186,Results!$B$23:$B$119,Results!$D$23:$D$119)</f>
        <v/>
      </c>
      <c r="D1186" s="2" t="n">
        <v>3</v>
      </c>
      <c r="E1186" s="2" t="inlineStr">
        <is>
          <t>CHO</t>
        </is>
      </c>
      <c r="F1186" s="2" t="n">
        <v>2.3382</v>
      </c>
      <c r="G1186" s="2" t="n">
        <v>0.004302</v>
      </c>
    </row>
    <row r="1187">
      <c r="A1187" s="1" t="inlineStr">
        <is>
          <t>C6</t>
        </is>
      </c>
      <c r="B1187" s="1" t="n">
        <v>30</v>
      </c>
      <c r="C1187" s="2">
        <f>_xlfn.XLOOKUP(B1187,Results!$B$23:$B$119,Results!$D$23:$D$119)</f>
        <v/>
      </c>
      <c r="D1187" s="1" t="n">
        <v>4</v>
      </c>
      <c r="E1187" s="1" t="inlineStr">
        <is>
          <t>CHO</t>
        </is>
      </c>
      <c r="F1187" s="1" t="n">
        <v>2.3401</v>
      </c>
      <c r="G1187" s="1" t="n">
        <v>0.001647</v>
      </c>
    </row>
    <row r="1188">
      <c r="A1188" s="2" t="inlineStr">
        <is>
          <t>C6</t>
        </is>
      </c>
      <c r="B1188" s="2" t="n">
        <v>30</v>
      </c>
      <c r="C1188" s="2">
        <f>_xlfn.XLOOKUP(B1188,Results!$B$23:$B$119,Results!$D$23:$D$119)</f>
        <v/>
      </c>
      <c r="D1188" s="2" t="n">
        <v>5</v>
      </c>
      <c r="E1188" s="2" t="inlineStr">
        <is>
          <t>CHO</t>
        </is>
      </c>
      <c r="F1188" s="2" t="n">
        <v>2.3445</v>
      </c>
      <c r="G1188" s="2" t="n">
        <v>0.001552</v>
      </c>
    </row>
    <row r="1189">
      <c r="A1189" s="1" t="inlineStr">
        <is>
          <t>C6</t>
        </is>
      </c>
      <c r="B1189" s="1" t="n">
        <v>30</v>
      </c>
      <c r="C1189" s="2">
        <f>_xlfn.XLOOKUP(B1189,Results!$B$23:$B$119,Results!$D$23:$D$119)</f>
        <v/>
      </c>
      <c r="D1189" s="1" t="n">
        <v>6</v>
      </c>
      <c r="E1189" s="1" t="inlineStr">
        <is>
          <t>CHO</t>
        </is>
      </c>
      <c r="F1189" s="1" t="n">
        <v>2.3482</v>
      </c>
      <c r="G1189" s="1" t="n">
        <v>0.0007069999999999999</v>
      </c>
    </row>
    <row r="1190">
      <c r="A1190" s="2" t="inlineStr">
        <is>
          <t>C6</t>
        </is>
      </c>
      <c r="B1190" s="2" t="n">
        <v>30</v>
      </c>
      <c r="C1190" s="2">
        <f>_xlfn.XLOOKUP(B1190,Results!$B$23:$B$119,Results!$D$23:$D$119)</f>
        <v/>
      </c>
      <c r="D1190" s="2" t="n">
        <v>7</v>
      </c>
      <c r="E1190" s="2" t="inlineStr">
        <is>
          <t>CHO</t>
        </is>
      </c>
      <c r="F1190" s="2" t="n">
        <v>2.3514</v>
      </c>
      <c r="G1190" s="2" t="n">
        <v>-0.000684</v>
      </c>
    </row>
    <row r="1191">
      <c r="A1191" s="1" t="inlineStr">
        <is>
          <t>C6</t>
        </is>
      </c>
      <c r="B1191" s="1" t="n">
        <v>30</v>
      </c>
      <c r="C1191" s="2">
        <f>_xlfn.XLOOKUP(B1191,Results!$B$23:$B$119,Results!$D$23:$D$119)</f>
        <v/>
      </c>
      <c r="D1191" s="1" t="n">
        <v>8</v>
      </c>
      <c r="E1191" s="1" t="inlineStr">
        <is>
          <t>CHO</t>
        </is>
      </c>
      <c r="F1191" s="1" t="n">
        <v>2.3573</v>
      </c>
      <c r="G1191" s="1" t="n">
        <v>0.000708</v>
      </c>
    </row>
    <row r="1192">
      <c r="A1192" s="2" t="inlineStr">
        <is>
          <t>C6</t>
        </is>
      </c>
      <c r="B1192" s="2" t="n">
        <v>30</v>
      </c>
      <c r="C1192" s="2">
        <f>_xlfn.XLOOKUP(B1192,Results!$B$23:$B$119,Results!$D$23:$D$119)</f>
        <v/>
      </c>
      <c r="D1192" s="2" t="n">
        <v>9</v>
      </c>
      <c r="E1192" s="2" t="inlineStr">
        <is>
          <t>CHO</t>
        </is>
      </c>
      <c r="F1192" s="2" t="n">
        <v>2.3618</v>
      </c>
      <c r="G1192" s="2" t="n">
        <v>0.000632</v>
      </c>
    </row>
    <row r="1193">
      <c r="A1193" s="1" t="inlineStr">
        <is>
          <t>C6</t>
        </is>
      </c>
      <c r="B1193" s="1" t="n">
        <v>30</v>
      </c>
      <c r="C1193" s="2">
        <f>_xlfn.XLOOKUP(B1193,Results!$B$23:$B$119,Results!$D$23:$D$119)</f>
        <v/>
      </c>
      <c r="D1193" s="1" t="n">
        <v>10</v>
      </c>
      <c r="E1193" s="1" t="inlineStr">
        <is>
          <t>CHO</t>
        </is>
      </c>
      <c r="F1193" s="1" t="n">
        <v>2.3647</v>
      </c>
      <c r="G1193" s="1" t="n">
        <v>-0.000949</v>
      </c>
    </row>
    <row r="1194">
      <c r="A1194" s="2" t="inlineStr">
        <is>
          <t>C6</t>
        </is>
      </c>
      <c r="B1194" s="2" t="n">
        <v>30</v>
      </c>
      <c r="C1194" s="2">
        <f>_xlfn.XLOOKUP(B1194,Results!$B$23:$B$119,Results!$D$23:$D$119)</f>
        <v/>
      </c>
      <c r="D1194" s="2" t="n">
        <v>11</v>
      </c>
      <c r="E1194" s="2" t="inlineStr">
        <is>
          <t>CHO</t>
        </is>
      </c>
      <c r="F1194" s="2" t="n">
        <v>2.3691</v>
      </c>
      <c r="G1194" s="2" t="n">
        <v>-0.001143</v>
      </c>
    </row>
    <row r="1195">
      <c r="A1195" s="1" t="inlineStr">
        <is>
          <t>C6</t>
        </is>
      </c>
      <c r="B1195" s="1" t="n">
        <v>30</v>
      </c>
      <c r="C1195" s="2">
        <f>_xlfn.XLOOKUP(B1195,Results!$B$23:$B$119,Results!$D$23:$D$119)</f>
        <v/>
      </c>
      <c r="D1195" s="1" t="n">
        <v>12</v>
      </c>
      <c r="E1195" s="1" t="inlineStr">
        <is>
          <t>CHO</t>
        </is>
      </c>
      <c r="F1195" s="1" t="n">
        <v>2.3728</v>
      </c>
      <c r="G1195" s="1" t="n">
        <v>-0.001902</v>
      </c>
    </row>
    <row r="1196">
      <c r="A1196" s="2" t="inlineStr">
        <is>
          <t>C6</t>
        </is>
      </c>
      <c r="B1196" s="2" t="n">
        <v>30</v>
      </c>
      <c r="C1196" s="2">
        <f>_xlfn.XLOOKUP(B1196,Results!$B$23:$B$119,Results!$D$23:$D$119)</f>
        <v/>
      </c>
      <c r="D1196" s="2" t="n">
        <v>13</v>
      </c>
      <c r="E1196" s="2" t="inlineStr">
        <is>
          <t>CHO</t>
        </is>
      </c>
      <c r="F1196" s="2" t="n">
        <v>2.3786</v>
      </c>
      <c r="G1196" s="2" t="n">
        <v>-0.000655</v>
      </c>
    </row>
    <row r="1197">
      <c r="A1197" s="1" t="inlineStr">
        <is>
          <t>C6</t>
        </is>
      </c>
      <c r="B1197" s="1" t="n">
        <v>30</v>
      </c>
      <c r="C1197" s="2">
        <f>_xlfn.XLOOKUP(B1197,Results!$B$23:$B$119,Results!$D$23:$D$119)</f>
        <v/>
      </c>
      <c r="D1197" s="1" t="n">
        <v>14</v>
      </c>
      <c r="E1197" s="1" t="inlineStr">
        <is>
          <t>CHO</t>
        </is>
      </c>
      <c r="F1197" s="1" t="n">
        <v>2.3829</v>
      </c>
      <c r="G1197" s="1" t="n">
        <v>-0.0009790000000000001</v>
      </c>
    </row>
    <row r="1198">
      <c r="A1198" s="2" t="inlineStr">
        <is>
          <t>C6</t>
        </is>
      </c>
      <c r="B1198" s="2" t="n">
        <v>30</v>
      </c>
      <c r="C1198" s="2">
        <f>_xlfn.XLOOKUP(B1198,Results!$B$23:$B$119,Results!$D$23:$D$119)</f>
        <v/>
      </c>
      <c r="D1198" s="2" t="n">
        <v>15</v>
      </c>
      <c r="E1198" s="2" t="inlineStr">
        <is>
          <t>CHO</t>
        </is>
      </c>
      <c r="F1198" s="2" t="n">
        <v>2.3847</v>
      </c>
      <c r="G1198" s="2" t="n">
        <v>-0.003647</v>
      </c>
    </row>
    <row r="1199">
      <c r="A1199" s="1" t="inlineStr">
        <is>
          <t>C6</t>
        </is>
      </c>
      <c r="B1199" s="1" t="n">
        <v>30</v>
      </c>
      <c r="C1199" s="2">
        <f>_xlfn.XLOOKUP(B1199,Results!$B$23:$B$119,Results!$D$23:$D$119)</f>
        <v/>
      </c>
      <c r="D1199" s="1" t="n">
        <v>16</v>
      </c>
      <c r="E1199" s="1" t="inlineStr">
        <is>
          <t>CHO</t>
        </is>
      </c>
      <c r="F1199" s="1" t="n">
        <v>2.3934</v>
      </c>
      <c r="G1199" s="1" t="n">
        <v>0.000448</v>
      </c>
    </row>
    <row r="1200">
      <c r="A1200" s="2" t="inlineStr">
        <is>
          <t>C6</t>
        </is>
      </c>
      <c r="B1200" s="2" t="n">
        <v>30</v>
      </c>
      <c r="C1200" s="2">
        <f>_xlfn.XLOOKUP(B1200,Results!$B$23:$B$119,Results!$D$23:$D$119)</f>
        <v/>
      </c>
      <c r="D1200" s="2" t="n">
        <v>17</v>
      </c>
      <c r="E1200" s="2" t="inlineStr">
        <is>
          <t>CHO</t>
        </is>
      </c>
      <c r="F1200" s="2" t="n">
        <v>2.397</v>
      </c>
      <c r="G1200" s="2" t="n">
        <v>-0.000491</v>
      </c>
    </row>
    <row r="1201">
      <c r="A1201" s="1" t="inlineStr">
        <is>
          <t>C6</t>
        </is>
      </c>
      <c r="B1201" s="1" t="n">
        <v>30</v>
      </c>
      <c r="C1201" s="2">
        <f>_xlfn.XLOOKUP(B1201,Results!$B$23:$B$119,Results!$D$23:$D$119)</f>
        <v/>
      </c>
      <c r="D1201" s="1" t="n">
        <v>18</v>
      </c>
      <c r="E1201" s="1" t="inlineStr">
        <is>
          <t>CHO</t>
        </is>
      </c>
      <c r="F1201" s="1" t="n">
        <v>2.4025</v>
      </c>
      <c r="G1201" s="1" t="n">
        <v>0.00045</v>
      </c>
    </row>
    <row r="1202">
      <c r="A1202" s="2" t="inlineStr">
        <is>
          <t>C6</t>
        </is>
      </c>
      <c r="B1202" s="2" t="n">
        <v>30</v>
      </c>
      <c r="C1202" s="2">
        <f>_xlfn.XLOOKUP(B1202,Results!$B$23:$B$119,Results!$D$23:$D$119)</f>
        <v/>
      </c>
      <c r="D1202" s="2" t="n">
        <v>19</v>
      </c>
      <c r="E1202" s="2" t="inlineStr">
        <is>
          <t>CHO</t>
        </is>
      </c>
      <c r="F1202" s="2" t="n">
        <v>2.4048</v>
      </c>
      <c r="G1202" s="2" t="n">
        <v>-0.001725</v>
      </c>
    </row>
    <row r="1203">
      <c r="A1203" s="1" t="inlineStr">
        <is>
          <t>C6</t>
        </is>
      </c>
      <c r="B1203" s="1" t="n">
        <v>30</v>
      </c>
      <c r="C1203" s="2">
        <f>_xlfn.XLOOKUP(B1203,Results!$B$23:$B$119,Results!$D$23:$D$119)</f>
        <v/>
      </c>
      <c r="D1203" s="1" t="n">
        <v>20</v>
      </c>
      <c r="E1203" s="1" t="inlineStr">
        <is>
          <t>CHO</t>
        </is>
      </c>
      <c r="F1203" s="1" t="n">
        <v>2.4064</v>
      </c>
      <c r="G1203" s="1" t="n">
        <v>-0.004736</v>
      </c>
    </row>
    <row r="1204">
      <c r="A1204" s="2" t="inlineStr">
        <is>
          <t>C6</t>
        </is>
      </c>
      <c r="B1204" s="2" t="n">
        <v>30</v>
      </c>
      <c r="C1204" s="2">
        <f>_xlfn.XLOOKUP(B1204,Results!$B$23:$B$119,Results!$D$23:$D$119)</f>
        <v/>
      </c>
      <c r="D1204" s="2" t="n">
        <v>21</v>
      </c>
      <c r="E1204" s="2" t="inlineStr">
        <is>
          <t>CHO</t>
        </is>
      </c>
      <c r="F1204" s="2" t="n">
        <v>2.4148</v>
      </c>
      <c r="G1204" s="2" t="n">
        <v>-0.000802</v>
      </c>
    </row>
    <row r="1205">
      <c r="A1205" s="1" t="inlineStr">
        <is>
          <t>C6</t>
        </is>
      </c>
      <c r="B1205" s="1" t="n">
        <v>30</v>
      </c>
      <c r="C1205" s="2">
        <f>_xlfn.XLOOKUP(B1205,Results!$B$23:$B$119,Results!$D$23:$D$119)</f>
        <v/>
      </c>
      <c r="D1205" s="1" t="n">
        <v>22</v>
      </c>
      <c r="E1205" s="1" t="inlineStr">
        <is>
          <t>CHO</t>
        </is>
      </c>
      <c r="F1205" s="1" t="n">
        <v>2.4217</v>
      </c>
      <c r="G1205" s="1" t="n">
        <v>0.001523</v>
      </c>
    </row>
    <row r="1206">
      <c r="A1206" s="2" t="inlineStr">
        <is>
          <t>C6</t>
        </is>
      </c>
      <c r="B1206" s="2" t="n">
        <v>30</v>
      </c>
      <c r="C1206" s="2">
        <f>_xlfn.XLOOKUP(B1206,Results!$B$23:$B$119,Results!$D$23:$D$119)</f>
        <v/>
      </c>
      <c r="D1206" s="2" t="n">
        <v>23</v>
      </c>
      <c r="E1206" s="2" t="inlineStr">
        <is>
          <t>CHO</t>
        </is>
      </c>
      <c r="F1206" s="2" t="n">
        <v>2.4242</v>
      </c>
      <c r="G1206" s="2" t="n">
        <v>-0.000531</v>
      </c>
    </row>
    <row r="1207">
      <c r="A1207" s="1" t="inlineStr">
        <is>
          <t>C6</t>
        </is>
      </c>
      <c r="B1207" s="1" t="n">
        <v>30</v>
      </c>
      <c r="C1207" s="2">
        <f>_xlfn.XLOOKUP(B1207,Results!$B$23:$B$119,Results!$D$23:$D$119)</f>
        <v/>
      </c>
      <c r="D1207" s="1" t="n">
        <v>24</v>
      </c>
      <c r="E1207" s="1" t="inlineStr">
        <is>
          <t>CHO</t>
        </is>
      </c>
      <c r="F1207" s="1" t="n">
        <v>2.4308</v>
      </c>
      <c r="G1207" s="1" t="n">
        <v>0.001505</v>
      </c>
    </row>
    <row r="1208">
      <c r="A1208" s="2" t="inlineStr">
        <is>
          <t>C6</t>
        </is>
      </c>
      <c r="B1208" s="2" t="n">
        <v>30</v>
      </c>
      <c r="C1208" s="2">
        <f>_xlfn.XLOOKUP(B1208,Results!$B$23:$B$119,Results!$D$23:$D$119)</f>
        <v/>
      </c>
      <c r="D1208" s="2" t="n">
        <v>25</v>
      </c>
      <c r="E1208" s="2" t="inlineStr">
        <is>
          <t>CHO</t>
        </is>
      </c>
      <c r="F1208" s="2" t="n">
        <v>2.4352</v>
      </c>
      <c r="G1208" s="2" t="n">
        <v>0.001384</v>
      </c>
    </row>
    <row r="1209">
      <c r="A1209" s="1" t="inlineStr">
        <is>
          <t>C6</t>
        </is>
      </c>
      <c r="B1209" s="1" t="n">
        <v>30</v>
      </c>
      <c r="C1209" s="2">
        <f>_xlfn.XLOOKUP(B1209,Results!$B$23:$B$119,Results!$D$23:$D$119)</f>
        <v/>
      </c>
      <c r="D1209" s="1" t="n">
        <v>26</v>
      </c>
      <c r="E1209" s="1" t="inlineStr">
        <is>
          <t>CHO</t>
        </is>
      </c>
      <c r="F1209" s="1" t="n">
        <v>2.44</v>
      </c>
      <c r="G1209" s="1" t="n">
        <v>0.001619</v>
      </c>
    </row>
    <row r="1210">
      <c r="A1210" s="2" t="inlineStr">
        <is>
          <t>C6</t>
        </is>
      </c>
      <c r="B1210" s="2" t="n">
        <v>30</v>
      </c>
      <c r="C1210" s="2">
        <f>_xlfn.XLOOKUP(B1210,Results!$B$23:$B$119,Results!$D$23:$D$119)</f>
        <v/>
      </c>
      <c r="D1210" s="2" t="n">
        <v>27</v>
      </c>
      <c r="E1210" s="2" t="inlineStr">
        <is>
          <t>CHO</t>
        </is>
      </c>
      <c r="F1210" s="2" t="n">
        <v>2.4418</v>
      </c>
      <c r="G1210" s="2" t="n">
        <v>-0.00108</v>
      </c>
    </row>
    <row r="1211">
      <c r="A1211" s="1" t="inlineStr">
        <is>
          <t>C6</t>
        </is>
      </c>
      <c r="B1211" s="1" t="n">
        <v>30</v>
      </c>
      <c r="C1211" s="2">
        <f>_xlfn.XLOOKUP(B1211,Results!$B$23:$B$119,Results!$D$23:$D$119)</f>
        <v/>
      </c>
      <c r="D1211" s="1" t="n">
        <v>28</v>
      </c>
      <c r="E1211" s="1" t="inlineStr">
        <is>
          <t>CHO</t>
        </is>
      </c>
      <c r="F1211" s="1" t="n">
        <v>2.4493</v>
      </c>
      <c r="G1211" s="1" t="n">
        <v>0.001859</v>
      </c>
    </row>
    <row r="1212">
      <c r="A1212" s="2" t="inlineStr">
        <is>
          <t>C6</t>
        </is>
      </c>
      <c r="B1212" s="2" t="n">
        <v>30</v>
      </c>
      <c r="C1212" s="2">
        <f>_xlfn.XLOOKUP(B1212,Results!$B$23:$B$119,Results!$D$23:$D$119)</f>
        <v/>
      </c>
      <c r="D1212" s="2" t="n">
        <v>29</v>
      </c>
      <c r="E1212" s="2" t="inlineStr">
        <is>
          <t>CHO</t>
        </is>
      </c>
      <c r="F1212" s="2" t="n">
        <v>2.4528</v>
      </c>
      <c r="G1212" s="2" t="n">
        <v>0.000776</v>
      </c>
    </row>
    <row r="1213">
      <c r="A1213" s="1" t="inlineStr">
        <is>
          <t>C6</t>
        </is>
      </c>
      <c r="B1213" s="1" t="n">
        <v>30</v>
      </c>
      <c r="C1213" s="2">
        <f>_xlfn.XLOOKUP(B1213,Results!$B$23:$B$119,Results!$D$23:$D$119)</f>
        <v/>
      </c>
      <c r="D1213" s="1" t="n">
        <v>30</v>
      </c>
      <c r="E1213" s="1" t="inlineStr">
        <is>
          <t>CHO</t>
        </is>
      </c>
      <c r="F1213" s="1" t="n">
        <v>2.4562</v>
      </c>
      <c r="G1213" s="1" t="n">
        <v>-0.000281</v>
      </c>
    </row>
    <row r="1214">
      <c r="A1214" s="2" t="inlineStr">
        <is>
          <t>C6</t>
        </is>
      </c>
      <c r="B1214" s="2" t="n">
        <v>30</v>
      </c>
      <c r="C1214" s="2">
        <f>_xlfn.XLOOKUP(B1214,Results!$B$23:$B$119,Results!$D$23:$D$119)</f>
        <v/>
      </c>
      <c r="D1214" s="2" t="n">
        <v>31</v>
      </c>
      <c r="E1214" s="2" t="inlineStr">
        <is>
          <t>CHO</t>
        </is>
      </c>
      <c r="F1214" s="2" t="n">
        <v>2.4602</v>
      </c>
      <c r="G1214" s="2" t="n">
        <v>-0.000847</v>
      </c>
    </row>
    <row r="1215">
      <c r="A1215" s="1" t="inlineStr">
        <is>
          <t>C6</t>
        </is>
      </c>
      <c r="B1215" s="1" t="n">
        <v>30</v>
      </c>
      <c r="C1215" s="2">
        <f>_xlfn.XLOOKUP(B1215,Results!$B$23:$B$119,Results!$D$23:$D$119)</f>
        <v/>
      </c>
      <c r="D1215" s="1" t="n">
        <v>32</v>
      </c>
      <c r="E1215" s="1" t="inlineStr">
        <is>
          <t>CHO</t>
        </is>
      </c>
      <c r="F1215" s="1" t="n">
        <v>2.4637</v>
      </c>
      <c r="G1215" s="1" t="n">
        <v>-0.001878</v>
      </c>
    </row>
    <row r="1216">
      <c r="A1216" s="2" t="inlineStr">
        <is>
          <t>C6</t>
        </is>
      </c>
      <c r="B1216" s="2" t="n">
        <v>30</v>
      </c>
      <c r="C1216" s="2">
        <f>_xlfn.XLOOKUP(B1216,Results!$B$23:$B$119,Results!$D$23:$D$119)</f>
        <v/>
      </c>
      <c r="D1216" s="2" t="n">
        <v>33</v>
      </c>
      <c r="E1216" s="2" t="inlineStr">
        <is>
          <t>CHO</t>
        </is>
      </c>
      <c r="F1216" s="2" t="n">
        <v>2.4693</v>
      </c>
      <c r="G1216" s="2" t="n">
        <v>-0.000818</v>
      </c>
    </row>
    <row r="1217">
      <c r="A1217" s="1" t="inlineStr">
        <is>
          <t>C6</t>
        </is>
      </c>
      <c r="B1217" s="1" t="n">
        <v>30</v>
      </c>
      <c r="C1217" s="2">
        <f>_xlfn.XLOOKUP(B1217,Results!$B$23:$B$119,Results!$D$23:$D$119)</f>
        <v/>
      </c>
      <c r="D1217" s="1" t="n">
        <v>34</v>
      </c>
      <c r="E1217" s="1" t="inlineStr">
        <is>
          <t>CHO</t>
        </is>
      </c>
      <c r="F1217" s="1" t="n">
        <v>2.4731</v>
      </c>
      <c r="G1217" s="1" t="n">
        <v>-0.001603</v>
      </c>
    </row>
    <row r="1218">
      <c r="A1218" s="2" t="inlineStr">
        <is>
          <t>C6</t>
        </is>
      </c>
      <c r="B1218" s="2" t="n">
        <v>30</v>
      </c>
      <c r="C1218" s="2">
        <f>_xlfn.XLOOKUP(B1218,Results!$B$23:$B$119,Results!$D$23:$D$119)</f>
        <v/>
      </c>
      <c r="D1218" s="2" t="n">
        <v>35</v>
      </c>
      <c r="E1218" s="2" t="inlineStr">
        <is>
          <t>CHO</t>
        </is>
      </c>
      <c r="F1218" s="2" t="n">
        <v>2.4788</v>
      </c>
      <c r="G1218" s="2" t="n">
        <v>-0.000477</v>
      </c>
    </row>
    <row r="1219">
      <c r="A1219" s="1" t="inlineStr">
        <is>
          <t>C6</t>
        </is>
      </c>
      <c r="B1219" s="1" t="n">
        <v>30</v>
      </c>
      <c r="C1219" s="2">
        <f>_xlfn.XLOOKUP(B1219,Results!$B$23:$B$119,Results!$D$23:$D$119)</f>
        <v/>
      </c>
      <c r="D1219" s="1" t="n">
        <v>36</v>
      </c>
      <c r="E1219" s="1" t="inlineStr">
        <is>
          <t>CHO</t>
        </is>
      </c>
      <c r="F1219" s="1" t="n">
        <v>2.4839</v>
      </c>
      <c r="G1219" s="1" t="n">
        <v>8.1e-05</v>
      </c>
    </row>
    <row r="1220">
      <c r="A1220" s="2" t="inlineStr">
        <is>
          <t>C6</t>
        </is>
      </c>
      <c r="B1220" s="2" t="n">
        <v>30</v>
      </c>
      <c r="C1220" s="2">
        <f>_xlfn.XLOOKUP(B1220,Results!$B$23:$B$119,Results!$D$23:$D$119)</f>
        <v/>
      </c>
      <c r="D1220" s="2" t="n">
        <v>37</v>
      </c>
      <c r="E1220" s="2" t="inlineStr">
        <is>
          <t>CHO</t>
        </is>
      </c>
      <c r="F1220" s="2" t="n">
        <v>2.4891</v>
      </c>
      <c r="G1220" s="2" t="n">
        <v>0.000792</v>
      </c>
    </row>
    <row r="1221">
      <c r="A1221" s="1" t="inlineStr">
        <is>
          <t>C6</t>
        </is>
      </c>
      <c r="B1221" s="1" t="n">
        <v>30</v>
      </c>
      <c r="C1221" s="2">
        <f>_xlfn.XLOOKUP(B1221,Results!$B$23:$B$119,Results!$D$23:$D$119)</f>
        <v/>
      </c>
      <c r="D1221" s="1" t="n">
        <v>38</v>
      </c>
      <c r="E1221" s="1" t="inlineStr">
        <is>
          <t>CHO</t>
        </is>
      </c>
      <c r="F1221" s="1" t="n">
        <v>2.4949</v>
      </c>
      <c r="G1221" s="1" t="n">
        <v>0.00203</v>
      </c>
    </row>
    <row r="1222">
      <c r="A1222" s="2" t="inlineStr">
        <is>
          <t>C6</t>
        </is>
      </c>
      <c r="B1222" s="2" t="n">
        <v>30</v>
      </c>
      <c r="C1222" s="2">
        <f>_xlfn.XLOOKUP(B1222,Results!$B$23:$B$119,Results!$D$23:$D$119)</f>
        <v/>
      </c>
      <c r="D1222" s="2" t="n">
        <v>39</v>
      </c>
      <c r="E1222" s="2" t="inlineStr">
        <is>
          <t>CHO</t>
        </is>
      </c>
      <c r="F1222" s="2" t="n">
        <v>2.5006</v>
      </c>
      <c r="G1222" s="2" t="n">
        <v>0.003212</v>
      </c>
    </row>
    <row r="1223">
      <c r="A1223" s="1" t="inlineStr">
        <is>
          <t>C6</t>
        </is>
      </c>
      <c r="B1223" s="1" t="n">
        <v>30</v>
      </c>
      <c r="C1223" s="2">
        <f>_xlfn.XLOOKUP(B1223,Results!$B$23:$B$119,Results!$D$23:$D$119)</f>
        <v/>
      </c>
      <c r="D1223" s="1" t="n">
        <v>40</v>
      </c>
      <c r="E1223" s="1" t="inlineStr">
        <is>
          <t>CHO</t>
        </is>
      </c>
      <c r="F1223" s="1" t="n">
        <v>2.5027</v>
      </c>
      <c r="G1223" s="1" t="n">
        <v>0.000778</v>
      </c>
    </row>
    <row r="1224">
      <c r="A1224" s="2" t="inlineStr">
        <is>
          <t>C7</t>
        </is>
      </c>
      <c r="B1224" s="2" t="n">
        <v>31</v>
      </c>
      <c r="C1224" s="2">
        <f>_xlfn.XLOOKUP(B1224,Results!$B$23:$B$119,Results!$D$23:$D$119)</f>
        <v/>
      </c>
      <c r="D1224" s="2" t="n">
        <v>1</v>
      </c>
      <c r="E1224" s="2" t="inlineStr">
        <is>
          <t>CHO</t>
        </is>
      </c>
      <c r="F1224" s="2" t="n">
        <v>2.469</v>
      </c>
      <c r="G1224" s="2" t="n">
        <v>0.002533</v>
      </c>
    </row>
    <row r="1225">
      <c r="A1225" s="1" t="inlineStr">
        <is>
          <t>C7</t>
        </is>
      </c>
      <c r="B1225" s="1" t="n">
        <v>31</v>
      </c>
      <c r="C1225" s="2">
        <f>_xlfn.XLOOKUP(B1225,Results!$B$23:$B$119,Results!$D$23:$D$119)</f>
        <v/>
      </c>
      <c r="D1225" s="1" t="n">
        <v>2</v>
      </c>
      <c r="E1225" s="1" t="inlineStr">
        <is>
          <t>CHO</t>
        </is>
      </c>
      <c r="F1225" s="1" t="n">
        <v>2.4713</v>
      </c>
      <c r="G1225" s="1" t="n">
        <v>-0.00345</v>
      </c>
    </row>
    <row r="1226">
      <c r="A1226" s="2" t="inlineStr">
        <is>
          <t>C7</t>
        </is>
      </c>
      <c r="B1226" s="2" t="n">
        <v>31</v>
      </c>
      <c r="C1226" s="2">
        <f>_xlfn.XLOOKUP(B1226,Results!$B$23:$B$119,Results!$D$23:$D$119)</f>
        <v/>
      </c>
      <c r="D1226" s="2" t="n">
        <v>3</v>
      </c>
      <c r="E1226" s="2" t="inlineStr">
        <is>
          <t>CHO</t>
        </is>
      </c>
      <c r="F1226" s="2" t="n">
        <v>2.4807</v>
      </c>
      <c r="G1226" s="2" t="n">
        <v>-0.002389</v>
      </c>
    </row>
    <row r="1227">
      <c r="A1227" s="1" t="inlineStr">
        <is>
          <t>C7</t>
        </is>
      </c>
      <c r="B1227" s="1" t="n">
        <v>31</v>
      </c>
      <c r="C1227" s="2">
        <f>_xlfn.XLOOKUP(B1227,Results!$B$23:$B$119,Results!$D$23:$D$119)</f>
        <v/>
      </c>
      <c r="D1227" s="1" t="n">
        <v>4</v>
      </c>
      <c r="E1227" s="1" t="inlineStr">
        <is>
          <t>CHO</t>
        </is>
      </c>
      <c r="F1227" s="1" t="n">
        <v>2.4943</v>
      </c>
      <c r="G1227" s="1" t="n">
        <v>0.002856</v>
      </c>
    </row>
    <row r="1228">
      <c r="A1228" s="2" t="inlineStr">
        <is>
          <t>C7</t>
        </is>
      </c>
      <c r="B1228" s="2" t="n">
        <v>31</v>
      </c>
      <c r="C1228" s="2">
        <f>_xlfn.XLOOKUP(B1228,Results!$B$23:$B$119,Results!$D$23:$D$119)</f>
        <v/>
      </c>
      <c r="D1228" s="2" t="n">
        <v>5</v>
      </c>
      <c r="E1228" s="2" t="inlineStr">
        <is>
          <t>CHO</t>
        </is>
      </c>
      <c r="F1228" s="2" t="n">
        <v>2.5022</v>
      </c>
      <c r="G1228" s="2" t="n">
        <v>0.002429</v>
      </c>
    </row>
    <row r="1229">
      <c r="A1229" s="1" t="inlineStr">
        <is>
          <t>C7</t>
        </is>
      </c>
      <c r="B1229" s="1" t="n">
        <v>31</v>
      </c>
      <c r="C1229" s="2">
        <f>_xlfn.XLOOKUP(B1229,Results!$B$23:$B$119,Results!$D$23:$D$119)</f>
        <v/>
      </c>
      <c r="D1229" s="1" t="n">
        <v>6</v>
      </c>
      <c r="E1229" s="1" t="inlineStr">
        <is>
          <t>CHO</t>
        </is>
      </c>
      <c r="F1229" s="1" t="n">
        <v>2.5076</v>
      </c>
      <c r="G1229" s="1" t="n">
        <v>-0.000558</v>
      </c>
    </row>
    <row r="1230">
      <c r="A1230" s="2" t="inlineStr">
        <is>
          <t>C7</t>
        </is>
      </c>
      <c r="B1230" s="2" t="n">
        <v>31</v>
      </c>
      <c r="C1230" s="2">
        <f>_xlfn.XLOOKUP(B1230,Results!$B$23:$B$119,Results!$D$23:$D$119)</f>
        <v/>
      </c>
      <c r="D1230" s="2" t="n">
        <v>7</v>
      </c>
      <c r="E1230" s="2" t="inlineStr">
        <is>
          <t>CHO</t>
        </is>
      </c>
      <c r="F1230" s="2" t="n">
        <v>2.5142</v>
      </c>
      <c r="G1230" s="2" t="n">
        <v>-0.002305</v>
      </c>
    </row>
    <row r="1231">
      <c r="A1231" s="1" t="inlineStr">
        <is>
          <t>C7</t>
        </is>
      </c>
      <c r="B1231" s="1" t="n">
        <v>31</v>
      </c>
      <c r="C1231" s="2">
        <f>_xlfn.XLOOKUP(B1231,Results!$B$23:$B$119,Results!$D$23:$D$119)</f>
        <v/>
      </c>
      <c r="D1231" s="1" t="n">
        <v>8</v>
      </c>
      <c r="E1231" s="1" t="inlineStr">
        <is>
          <t>CHO</t>
        </is>
      </c>
      <c r="F1231" s="1" t="n">
        <v>2.5258</v>
      </c>
      <c r="G1231" s="1" t="n">
        <v>0.001053</v>
      </c>
    </row>
    <row r="1232">
      <c r="A1232" s="2" t="inlineStr">
        <is>
          <t>C7</t>
        </is>
      </c>
      <c r="B1232" s="2" t="n">
        <v>31</v>
      </c>
      <c r="C1232" s="2">
        <f>_xlfn.XLOOKUP(B1232,Results!$B$23:$B$119,Results!$D$23:$D$119)</f>
        <v/>
      </c>
      <c r="D1232" s="2" t="n">
        <v>9</v>
      </c>
      <c r="E1232" s="2" t="inlineStr">
        <is>
          <t>CHO</t>
        </is>
      </c>
      <c r="F1232" s="2" t="n">
        <v>2.5335</v>
      </c>
      <c r="G1232" s="2" t="n">
        <v>0.000387</v>
      </c>
    </row>
    <row r="1233">
      <c r="A1233" s="1" t="inlineStr">
        <is>
          <t>C7</t>
        </is>
      </c>
      <c r="B1233" s="1" t="n">
        <v>31</v>
      </c>
      <c r="C1233" s="2">
        <f>_xlfn.XLOOKUP(B1233,Results!$B$23:$B$119,Results!$D$23:$D$119)</f>
        <v/>
      </c>
      <c r="D1233" s="1" t="n">
        <v>10</v>
      </c>
      <c r="E1233" s="1" t="inlineStr">
        <is>
          <t>CHO</t>
        </is>
      </c>
      <c r="F1233" s="1" t="n">
        <v>2.5385</v>
      </c>
      <c r="G1233" s="1" t="n">
        <v>-0.002952</v>
      </c>
    </row>
    <row r="1234">
      <c r="A1234" s="2" t="inlineStr">
        <is>
          <t>C7</t>
        </is>
      </c>
      <c r="B1234" s="2" t="n">
        <v>31</v>
      </c>
      <c r="C1234" s="2">
        <f>_xlfn.XLOOKUP(B1234,Results!$B$23:$B$119,Results!$D$23:$D$119)</f>
        <v/>
      </c>
      <c r="D1234" s="2" t="n">
        <v>11</v>
      </c>
      <c r="E1234" s="2" t="inlineStr">
        <is>
          <t>CHO</t>
        </is>
      </c>
      <c r="F1234" s="2" t="n">
        <v>2.5489</v>
      </c>
      <c r="G1234" s="2" t="n">
        <v>-0.000935</v>
      </c>
    </row>
    <row r="1235">
      <c r="A1235" s="1" t="inlineStr">
        <is>
          <t>C7</t>
        </is>
      </c>
      <c r="B1235" s="1" t="n">
        <v>31</v>
      </c>
      <c r="C1235" s="2">
        <f>_xlfn.XLOOKUP(B1235,Results!$B$23:$B$119,Results!$D$23:$D$119)</f>
        <v/>
      </c>
      <c r="D1235" s="1" t="n">
        <v>12</v>
      </c>
      <c r="E1235" s="1" t="inlineStr">
        <is>
          <t>CHO</t>
        </is>
      </c>
      <c r="F1235" s="1" t="n">
        <v>2.5585</v>
      </c>
      <c r="G1235" s="1" t="n">
        <v>0.000403</v>
      </c>
    </row>
    <row r="1236">
      <c r="A1236" s="2" t="inlineStr">
        <is>
          <t>C7</t>
        </is>
      </c>
      <c r="B1236" s="2" t="n">
        <v>31</v>
      </c>
      <c r="C1236" s="2">
        <f>_xlfn.XLOOKUP(B1236,Results!$B$23:$B$119,Results!$D$23:$D$119)</f>
        <v/>
      </c>
      <c r="D1236" s="2" t="n">
        <v>13</v>
      </c>
      <c r="E1236" s="2" t="inlineStr">
        <is>
          <t>CHO</t>
        </is>
      </c>
      <c r="F1236" s="2" t="n">
        <v>2.5685</v>
      </c>
      <c r="G1236" s="2" t="n">
        <v>0.002011</v>
      </c>
    </row>
    <row r="1237">
      <c r="A1237" s="1" t="inlineStr">
        <is>
          <t>C7</t>
        </is>
      </c>
      <c r="B1237" s="1" t="n">
        <v>31</v>
      </c>
      <c r="C1237" s="2">
        <f>_xlfn.XLOOKUP(B1237,Results!$B$23:$B$119,Results!$D$23:$D$119)</f>
        <v/>
      </c>
      <c r="D1237" s="1" t="n">
        <v>14</v>
      </c>
      <c r="E1237" s="1" t="inlineStr">
        <is>
          <t>CHO</t>
        </is>
      </c>
      <c r="F1237" s="1" t="n">
        <v>2.5846</v>
      </c>
      <c r="G1237" s="1" t="n">
        <v>0.009799</v>
      </c>
    </row>
    <row r="1238">
      <c r="A1238" s="2" t="inlineStr">
        <is>
          <t>C7</t>
        </is>
      </c>
      <c r="B1238" s="2" t="n">
        <v>31</v>
      </c>
      <c r="C1238" s="2">
        <f>_xlfn.XLOOKUP(B1238,Results!$B$23:$B$119,Results!$D$23:$D$119)</f>
        <v/>
      </c>
      <c r="D1238" s="2" t="n">
        <v>15</v>
      </c>
      <c r="E1238" s="2" t="inlineStr">
        <is>
          <t>CHO</t>
        </is>
      </c>
      <c r="F1238" s="2" t="n">
        <v>2.6005</v>
      </c>
      <c r="G1238" s="2" t="n">
        <v>0.01734</v>
      </c>
    </row>
    <row r="1239">
      <c r="A1239" s="1" t="inlineStr">
        <is>
          <t>C7</t>
        </is>
      </c>
      <c r="B1239" s="1" t="n">
        <v>31</v>
      </c>
      <c r="C1239" s="2">
        <f>_xlfn.XLOOKUP(B1239,Results!$B$23:$B$119,Results!$D$23:$D$119)</f>
        <v/>
      </c>
      <c r="D1239" s="1" t="n">
        <v>16</v>
      </c>
      <c r="E1239" s="1" t="inlineStr">
        <is>
          <t>CHO</t>
        </is>
      </c>
      <c r="F1239" s="1" t="n">
        <v>2.6252</v>
      </c>
      <c r="G1239" s="1" t="n">
        <v>0.033754</v>
      </c>
    </row>
    <row r="1240">
      <c r="A1240" s="2" t="inlineStr">
        <is>
          <t>C7</t>
        </is>
      </c>
      <c r="B1240" s="2" t="n">
        <v>31</v>
      </c>
      <c r="C1240" s="2">
        <f>_xlfn.XLOOKUP(B1240,Results!$B$23:$B$119,Results!$D$23:$D$119)</f>
        <v/>
      </c>
      <c r="D1240" s="2" t="n">
        <v>17</v>
      </c>
      <c r="E1240" s="2" t="inlineStr">
        <is>
          <t>CHO</t>
        </is>
      </c>
      <c r="F1240" s="2" t="n">
        <v>2.6741</v>
      </c>
      <c r="G1240" s="2" t="n">
        <v>0.074277</v>
      </c>
    </row>
    <row r="1241">
      <c r="A1241" s="1" t="inlineStr">
        <is>
          <t>C7</t>
        </is>
      </c>
      <c r="B1241" s="1" t="n">
        <v>31</v>
      </c>
      <c r="C1241" s="2">
        <f>_xlfn.XLOOKUP(B1241,Results!$B$23:$B$119,Results!$D$23:$D$119)</f>
        <v/>
      </c>
      <c r="D1241" s="1" t="n">
        <v>18</v>
      </c>
      <c r="E1241" s="1" t="inlineStr">
        <is>
          <t>CHO</t>
        </is>
      </c>
      <c r="F1241" s="1" t="n">
        <v>2.7527</v>
      </c>
      <c r="G1241" s="1" t="n">
        <v>0.144552</v>
      </c>
    </row>
    <row r="1242">
      <c r="A1242" s="2" t="inlineStr">
        <is>
          <t>C7</t>
        </is>
      </c>
      <c r="B1242" s="2" t="n">
        <v>31</v>
      </c>
      <c r="C1242" s="2">
        <f>_xlfn.XLOOKUP(B1242,Results!$B$23:$B$119,Results!$D$23:$D$119)</f>
        <v/>
      </c>
      <c r="D1242" s="2" t="n">
        <v>19</v>
      </c>
      <c r="E1242" s="2" t="inlineStr">
        <is>
          <t>CHO</t>
        </is>
      </c>
      <c r="F1242" s="2" t="n">
        <v>2.8902</v>
      </c>
      <c r="G1242" s="2" t="n">
        <v>0.273707</v>
      </c>
    </row>
    <row r="1243">
      <c r="A1243" s="1" t="inlineStr">
        <is>
          <t>C7</t>
        </is>
      </c>
      <c r="B1243" s="1" t="n">
        <v>31</v>
      </c>
      <c r="C1243" s="2">
        <f>_xlfn.XLOOKUP(B1243,Results!$B$23:$B$119,Results!$D$23:$D$119)</f>
        <v/>
      </c>
      <c r="D1243" s="1" t="n">
        <v>20</v>
      </c>
      <c r="E1243" s="1" t="inlineStr">
        <is>
          <t>CHO</t>
        </is>
      </c>
      <c r="F1243" s="1" t="n">
        <v>3.1183</v>
      </c>
      <c r="G1243" s="1" t="n">
        <v>0.493533</v>
      </c>
    </row>
    <row r="1244">
      <c r="A1244" s="2" t="inlineStr">
        <is>
          <t>C7</t>
        </is>
      </c>
      <c r="B1244" s="2" t="n">
        <v>31</v>
      </c>
      <c r="C1244" s="2">
        <f>_xlfn.XLOOKUP(B1244,Results!$B$23:$B$119,Results!$D$23:$D$119)</f>
        <v/>
      </c>
      <c r="D1244" s="2" t="n">
        <v>21</v>
      </c>
      <c r="E1244" s="2" t="inlineStr">
        <is>
          <t>CHO</t>
        </is>
      </c>
      <c r="F1244" s="2" t="n">
        <v>3.4378</v>
      </c>
      <c r="G1244" s="2" t="n">
        <v>0.804635</v>
      </c>
    </row>
    <row r="1245">
      <c r="A1245" s="1" t="inlineStr">
        <is>
          <t>C7</t>
        </is>
      </c>
      <c r="B1245" s="1" t="n">
        <v>31</v>
      </c>
      <c r="C1245" s="2">
        <f>_xlfn.XLOOKUP(B1245,Results!$B$23:$B$119,Results!$D$23:$D$119)</f>
        <v/>
      </c>
      <c r="D1245" s="1" t="n">
        <v>22</v>
      </c>
      <c r="E1245" s="1" t="inlineStr">
        <is>
          <t>CHO</t>
        </is>
      </c>
      <c r="F1245" s="1" t="n">
        <v>3.8514</v>
      </c>
      <c r="G1245" s="1" t="n">
        <v>1.209901</v>
      </c>
    </row>
    <row r="1246">
      <c r="A1246" s="2" t="inlineStr">
        <is>
          <t>C7</t>
        </is>
      </c>
      <c r="B1246" s="2" t="n">
        <v>31</v>
      </c>
      <c r="C1246" s="2">
        <f>_xlfn.XLOOKUP(B1246,Results!$B$23:$B$119,Results!$D$23:$D$119)</f>
        <v/>
      </c>
      <c r="D1246" s="2" t="n">
        <v>23</v>
      </c>
      <c r="E1246" s="2" t="inlineStr">
        <is>
          <t>CHO</t>
        </is>
      </c>
      <c r="F1246" s="2" t="n">
        <v>4.2984</v>
      </c>
      <c r="G1246" s="2" t="n">
        <v>1.648563</v>
      </c>
    </row>
    <row r="1247">
      <c r="A1247" s="1" t="inlineStr">
        <is>
          <t>C7</t>
        </is>
      </c>
      <c r="B1247" s="1" t="n">
        <v>31</v>
      </c>
      <c r="C1247" s="2">
        <f>_xlfn.XLOOKUP(B1247,Results!$B$23:$B$119,Results!$D$23:$D$119)</f>
        <v/>
      </c>
      <c r="D1247" s="1" t="n">
        <v>24</v>
      </c>
      <c r="E1247" s="1" t="inlineStr">
        <is>
          <t>CHO</t>
        </is>
      </c>
      <c r="F1247" s="1" t="n">
        <v>4.7506</v>
      </c>
      <c r="G1247" s="1" t="n">
        <v>2.092466</v>
      </c>
    </row>
    <row r="1248">
      <c r="A1248" s="2" t="inlineStr">
        <is>
          <t>C7</t>
        </is>
      </c>
      <c r="B1248" s="2" t="n">
        <v>31</v>
      </c>
      <c r="C1248" s="2">
        <f>_xlfn.XLOOKUP(B1248,Results!$B$23:$B$119,Results!$D$23:$D$119)</f>
        <v/>
      </c>
      <c r="D1248" s="2" t="n">
        <v>25</v>
      </c>
      <c r="E1248" s="2" t="inlineStr">
        <is>
          <t>CHO</t>
        </is>
      </c>
      <c r="F1248" s="2" t="n">
        <v>5.1875</v>
      </c>
      <c r="G1248" s="2" t="n">
        <v>2.520988</v>
      </c>
    </row>
    <row r="1249">
      <c r="A1249" s="1" t="inlineStr">
        <is>
          <t>C7</t>
        </is>
      </c>
      <c r="B1249" s="1" t="n">
        <v>31</v>
      </c>
      <c r="C1249" s="2">
        <f>_xlfn.XLOOKUP(B1249,Results!$B$23:$B$119,Results!$D$23:$D$119)</f>
        <v/>
      </c>
      <c r="D1249" s="1" t="n">
        <v>26</v>
      </c>
      <c r="E1249" s="1" t="inlineStr">
        <is>
          <t>CHO</t>
        </is>
      </c>
      <c r="F1249" s="1" t="n">
        <v>5.5729</v>
      </c>
      <c r="G1249" s="1" t="n">
        <v>2.898134</v>
      </c>
    </row>
    <row r="1250">
      <c r="A1250" s="2" t="inlineStr">
        <is>
          <t>C7</t>
        </is>
      </c>
      <c r="B1250" s="2" t="n">
        <v>31</v>
      </c>
      <c r="C1250" s="2">
        <f>_xlfn.XLOOKUP(B1250,Results!$B$23:$B$119,Results!$D$23:$D$119)</f>
        <v/>
      </c>
      <c r="D1250" s="2" t="n">
        <v>27</v>
      </c>
      <c r="E1250" s="2" t="inlineStr">
        <is>
          <t>CHO</t>
        </is>
      </c>
      <c r="F1250" s="2" t="n">
        <v>5.9267</v>
      </c>
      <c r="G1250" s="2" t="n">
        <v>3.243545</v>
      </c>
    </row>
    <row r="1251">
      <c r="A1251" s="1" t="inlineStr">
        <is>
          <t>C7</t>
        </is>
      </c>
      <c r="B1251" s="1" t="n">
        <v>31</v>
      </c>
      <c r="C1251" s="2">
        <f>_xlfn.XLOOKUP(B1251,Results!$B$23:$B$119,Results!$D$23:$D$119)</f>
        <v/>
      </c>
      <c r="D1251" s="1" t="n">
        <v>28</v>
      </c>
      <c r="E1251" s="1" t="inlineStr">
        <is>
          <t>CHO</t>
        </is>
      </c>
      <c r="F1251" s="1" t="n">
        <v>6.2423</v>
      </c>
      <c r="G1251" s="1" t="n">
        <v>3.550794</v>
      </c>
    </row>
    <row r="1252">
      <c r="A1252" s="2" t="inlineStr">
        <is>
          <t>C7</t>
        </is>
      </c>
      <c r="B1252" s="2" t="n">
        <v>31</v>
      </c>
      <c r="C1252" s="2">
        <f>_xlfn.XLOOKUP(B1252,Results!$B$23:$B$119,Results!$D$23:$D$119)</f>
        <v/>
      </c>
      <c r="D1252" s="2" t="n">
        <v>29</v>
      </c>
      <c r="E1252" s="2" t="inlineStr">
        <is>
          <t>CHO</t>
        </is>
      </c>
      <c r="F1252" s="2" t="n">
        <v>6.4866</v>
      </c>
      <c r="G1252" s="2" t="n">
        <v>3.786846</v>
      </c>
    </row>
    <row r="1253">
      <c r="A1253" s="1" t="inlineStr">
        <is>
          <t>C7</t>
        </is>
      </c>
      <c r="B1253" s="1" t="n">
        <v>31</v>
      </c>
      <c r="C1253" s="2">
        <f>_xlfn.XLOOKUP(B1253,Results!$B$23:$B$119,Results!$D$23:$D$119)</f>
        <v/>
      </c>
      <c r="D1253" s="1" t="n">
        <v>30</v>
      </c>
      <c r="E1253" s="1" t="inlineStr">
        <is>
          <t>CHO</t>
        </is>
      </c>
      <c r="F1253" s="1" t="n">
        <v>6.7272</v>
      </c>
      <c r="G1253" s="1" t="n">
        <v>4.019116</v>
      </c>
    </row>
    <row r="1254">
      <c r="A1254" s="2" t="inlineStr">
        <is>
          <t>C7</t>
        </is>
      </c>
      <c r="B1254" s="2" t="n">
        <v>31</v>
      </c>
      <c r="C1254" s="2">
        <f>_xlfn.XLOOKUP(B1254,Results!$B$23:$B$119,Results!$D$23:$D$119)</f>
        <v/>
      </c>
      <c r="D1254" s="2" t="n">
        <v>31</v>
      </c>
      <c r="E1254" s="2" t="inlineStr">
        <is>
          <t>CHO</t>
        </is>
      </c>
      <c r="F1254" s="2" t="n">
        <v>6.9515</v>
      </c>
      <c r="G1254" s="2" t="n">
        <v>4.235013</v>
      </c>
    </row>
    <row r="1255">
      <c r="A1255" s="1" t="inlineStr">
        <is>
          <t>C7</t>
        </is>
      </c>
      <c r="B1255" s="1" t="n">
        <v>31</v>
      </c>
      <c r="C1255" s="2">
        <f>_xlfn.XLOOKUP(B1255,Results!$B$23:$B$119,Results!$D$23:$D$119)</f>
        <v/>
      </c>
      <c r="D1255" s="1" t="n">
        <v>32</v>
      </c>
      <c r="E1255" s="1" t="inlineStr">
        <is>
          <t>CHO</t>
        </is>
      </c>
      <c r="F1255" s="1" t="n">
        <v>7.1529</v>
      </c>
      <c r="G1255" s="1" t="n">
        <v>4.428134</v>
      </c>
    </row>
    <row r="1256">
      <c r="A1256" s="2" t="inlineStr">
        <is>
          <t>C7</t>
        </is>
      </c>
      <c r="B1256" s="2" t="n">
        <v>31</v>
      </c>
      <c r="C1256" s="2">
        <f>_xlfn.XLOOKUP(B1256,Results!$B$23:$B$119,Results!$D$23:$D$119)</f>
        <v/>
      </c>
      <c r="D1256" s="2" t="n">
        <v>33</v>
      </c>
      <c r="E1256" s="2" t="inlineStr">
        <is>
          <t>CHO</t>
        </is>
      </c>
      <c r="F1256" s="2" t="n">
        <v>7.3225</v>
      </c>
      <c r="G1256" s="2" t="n">
        <v>4.589317</v>
      </c>
    </row>
    <row r="1257">
      <c r="A1257" s="1" t="inlineStr">
        <is>
          <t>C7</t>
        </is>
      </c>
      <c r="B1257" s="1" t="n">
        <v>31</v>
      </c>
      <c r="C1257" s="2">
        <f>_xlfn.XLOOKUP(B1257,Results!$B$23:$B$119,Results!$D$23:$D$119)</f>
        <v/>
      </c>
      <c r="D1257" s="1" t="n">
        <v>34</v>
      </c>
      <c r="E1257" s="1" t="inlineStr">
        <is>
          <t>CHO</t>
        </is>
      </c>
      <c r="F1257" s="1" t="n">
        <v>7.439</v>
      </c>
      <c r="G1257" s="1" t="n">
        <v>4.697553</v>
      </c>
    </row>
    <row r="1258">
      <c r="A1258" s="2" t="inlineStr">
        <is>
          <t>C7</t>
        </is>
      </c>
      <c r="B1258" s="2" t="n">
        <v>31</v>
      </c>
      <c r="C1258" s="2">
        <f>_xlfn.XLOOKUP(B1258,Results!$B$23:$B$119,Results!$D$23:$D$119)</f>
        <v/>
      </c>
      <c r="D1258" s="2" t="n">
        <v>35</v>
      </c>
      <c r="E1258" s="2" t="inlineStr">
        <is>
          <t>CHO</t>
        </is>
      </c>
      <c r="F1258" s="2" t="n">
        <v>7.5864</v>
      </c>
      <c r="G1258" s="2" t="n">
        <v>4.836609</v>
      </c>
    </row>
    <row r="1259">
      <c r="A1259" s="1" t="inlineStr">
        <is>
          <t>C7</t>
        </is>
      </c>
      <c r="B1259" s="1" t="n">
        <v>31</v>
      </c>
      <c r="C1259" s="2">
        <f>_xlfn.XLOOKUP(B1259,Results!$B$23:$B$119,Results!$D$23:$D$119)</f>
        <v/>
      </c>
      <c r="D1259" s="1" t="n">
        <v>36</v>
      </c>
      <c r="E1259" s="1" t="inlineStr">
        <is>
          <t>CHO</t>
        </is>
      </c>
      <c r="F1259" s="1" t="n">
        <v>7.6907</v>
      </c>
      <c r="G1259" s="1" t="n">
        <v>4.932577</v>
      </c>
    </row>
    <row r="1260">
      <c r="A1260" s="2" t="inlineStr">
        <is>
          <t>C7</t>
        </is>
      </c>
      <c r="B1260" s="2" t="n">
        <v>31</v>
      </c>
      <c r="C1260" s="2">
        <f>_xlfn.XLOOKUP(B1260,Results!$B$23:$B$119,Results!$D$23:$D$119)</f>
        <v/>
      </c>
      <c r="D1260" s="2" t="n">
        <v>37</v>
      </c>
      <c r="E1260" s="2" t="inlineStr">
        <is>
          <t>CHO</t>
        </is>
      </c>
      <c r="F1260" s="2" t="n">
        <v>7.8116</v>
      </c>
      <c r="G1260" s="2" t="n">
        <v>5.045093</v>
      </c>
    </row>
    <row r="1261">
      <c r="A1261" s="1" t="inlineStr">
        <is>
          <t>C7</t>
        </is>
      </c>
      <c r="B1261" s="1" t="n">
        <v>31</v>
      </c>
      <c r="C1261" s="2">
        <f>_xlfn.XLOOKUP(B1261,Results!$B$23:$B$119,Results!$D$23:$D$119)</f>
        <v/>
      </c>
      <c r="D1261" s="1" t="n">
        <v>38</v>
      </c>
      <c r="E1261" s="1" t="inlineStr">
        <is>
          <t>CHO</t>
        </is>
      </c>
      <c r="F1261" s="1" t="n">
        <v>7.8722</v>
      </c>
      <c r="G1261" s="1" t="n">
        <v>5.097396</v>
      </c>
    </row>
    <row r="1262">
      <c r="A1262" s="2" t="inlineStr">
        <is>
          <t>C7</t>
        </is>
      </c>
      <c r="B1262" s="2" t="n">
        <v>31</v>
      </c>
      <c r="C1262" s="2">
        <f>_xlfn.XLOOKUP(B1262,Results!$B$23:$B$119,Results!$D$23:$D$119)</f>
        <v/>
      </c>
      <c r="D1262" s="2" t="n">
        <v>39</v>
      </c>
      <c r="E1262" s="2" t="inlineStr">
        <is>
          <t>CHO</t>
        </is>
      </c>
      <c r="F1262" s="2" t="n">
        <v>7.9507</v>
      </c>
      <c r="G1262" s="2" t="n">
        <v>5.167564</v>
      </c>
    </row>
    <row r="1263">
      <c r="A1263" s="1" t="inlineStr">
        <is>
          <t>C7</t>
        </is>
      </c>
      <c r="B1263" s="1" t="n">
        <v>31</v>
      </c>
      <c r="C1263" s="2">
        <f>_xlfn.XLOOKUP(B1263,Results!$B$23:$B$119,Results!$D$23:$D$119)</f>
        <v/>
      </c>
      <c r="D1263" s="1" t="n">
        <v>40</v>
      </c>
      <c r="E1263" s="1" t="inlineStr">
        <is>
          <t>CHO</t>
        </is>
      </c>
      <c r="F1263" s="1" t="n">
        <v>8.0198</v>
      </c>
      <c r="G1263" s="1" t="n">
        <v>5.228354</v>
      </c>
    </row>
    <row r="1264">
      <c r="A1264" s="2" t="inlineStr">
        <is>
          <t>C8</t>
        </is>
      </c>
      <c r="B1264" s="2" t="n">
        <v>32</v>
      </c>
      <c r="C1264" s="2">
        <f>_xlfn.XLOOKUP(B1264,Results!$B$23:$B$119,Results!$D$23:$D$119)</f>
        <v/>
      </c>
      <c r="D1264" s="2" t="n">
        <v>1</v>
      </c>
      <c r="E1264" s="2" t="inlineStr">
        <is>
          <t>CHO</t>
        </is>
      </c>
      <c r="F1264" s="2" t="n">
        <v>2.4691</v>
      </c>
      <c r="G1264" s="2" t="n">
        <v>0.011469</v>
      </c>
    </row>
    <row r="1265">
      <c r="A1265" s="1" t="inlineStr">
        <is>
          <t>C8</t>
        </is>
      </c>
      <c r="B1265" s="1" t="n">
        <v>32</v>
      </c>
      <c r="C1265" s="2">
        <f>_xlfn.XLOOKUP(B1265,Results!$B$23:$B$119,Results!$D$23:$D$119)</f>
        <v/>
      </c>
      <c r="D1265" s="1" t="n">
        <v>2</v>
      </c>
      <c r="E1265" s="1" t="inlineStr">
        <is>
          <t>CHO</t>
        </is>
      </c>
      <c r="F1265" s="1" t="n">
        <v>2.4702</v>
      </c>
      <c r="G1265" s="1" t="n">
        <v>0.00409</v>
      </c>
    </row>
    <row r="1266">
      <c r="A1266" s="2" t="inlineStr">
        <is>
          <t>C8</t>
        </is>
      </c>
      <c r="B1266" s="2" t="n">
        <v>32</v>
      </c>
      <c r="C1266" s="2">
        <f>_xlfn.XLOOKUP(B1266,Results!$B$23:$B$119,Results!$D$23:$D$119)</f>
        <v/>
      </c>
      <c r="D1266" s="2" t="n">
        <v>3</v>
      </c>
      <c r="E1266" s="2" t="inlineStr">
        <is>
          <t>CHO</t>
        </is>
      </c>
      <c r="F1266" s="2" t="n">
        <v>2.4759</v>
      </c>
      <c r="G1266" s="2" t="n">
        <v>0.001207</v>
      </c>
    </row>
    <row r="1267">
      <c r="A1267" s="1" t="inlineStr">
        <is>
          <t>C8</t>
        </is>
      </c>
      <c r="B1267" s="1" t="n">
        <v>32</v>
      </c>
      <c r="C1267" s="2">
        <f>_xlfn.XLOOKUP(B1267,Results!$B$23:$B$119,Results!$D$23:$D$119)</f>
        <v/>
      </c>
      <c r="D1267" s="1" t="n">
        <v>4</v>
      </c>
      <c r="E1267" s="1" t="inlineStr">
        <is>
          <t>CHO</t>
        </is>
      </c>
      <c r="F1267" s="1" t="n">
        <v>2.4828</v>
      </c>
      <c r="G1267" s="1" t="n">
        <v>-0.000315</v>
      </c>
    </row>
    <row r="1268">
      <c r="A1268" s="2" t="inlineStr">
        <is>
          <t>C8</t>
        </is>
      </c>
      <c r="B1268" s="2" t="n">
        <v>32</v>
      </c>
      <c r="C1268" s="2">
        <f>_xlfn.XLOOKUP(B1268,Results!$B$23:$B$119,Results!$D$23:$D$119)</f>
        <v/>
      </c>
      <c r="D1268" s="2" t="n">
        <v>5</v>
      </c>
      <c r="E1268" s="2" t="inlineStr">
        <is>
          <t>CHO</t>
        </is>
      </c>
      <c r="F1268" s="2" t="n">
        <v>2.4929</v>
      </c>
      <c r="G1268" s="2" t="n">
        <v>0.001217</v>
      </c>
    </row>
    <row r="1269">
      <c r="A1269" s="1" t="inlineStr">
        <is>
          <t>C8</t>
        </is>
      </c>
      <c r="B1269" s="1" t="n">
        <v>32</v>
      </c>
      <c r="C1269" s="2">
        <f>_xlfn.XLOOKUP(B1269,Results!$B$23:$B$119,Results!$D$23:$D$119)</f>
        <v/>
      </c>
      <c r="D1269" s="1" t="n">
        <v>6</v>
      </c>
      <c r="E1269" s="1" t="inlineStr">
        <is>
          <t>CHO</t>
        </is>
      </c>
      <c r="F1269" s="1" t="n">
        <v>2.5001</v>
      </c>
      <c r="G1269" s="1" t="n">
        <v>-5.4e-05</v>
      </c>
    </row>
    <row r="1270">
      <c r="A1270" s="2" t="inlineStr">
        <is>
          <t>C8</t>
        </is>
      </c>
      <c r="B1270" s="2" t="n">
        <v>32</v>
      </c>
      <c r="C1270" s="2">
        <f>_xlfn.XLOOKUP(B1270,Results!$B$23:$B$119,Results!$D$23:$D$119)</f>
        <v/>
      </c>
      <c r="D1270" s="2" t="n">
        <v>7</v>
      </c>
      <c r="E1270" s="2" t="inlineStr">
        <is>
          <t>CHO</t>
        </is>
      </c>
      <c r="F1270" s="2" t="n">
        <v>2.507</v>
      </c>
      <c r="G1270" s="2" t="n">
        <v>-0.00171</v>
      </c>
    </row>
    <row r="1271">
      <c r="A1271" s="1" t="inlineStr">
        <is>
          <t>C8</t>
        </is>
      </c>
      <c r="B1271" s="1" t="n">
        <v>32</v>
      </c>
      <c r="C1271" s="2">
        <f>_xlfn.XLOOKUP(B1271,Results!$B$23:$B$119,Results!$D$23:$D$119)</f>
        <v/>
      </c>
      <c r="D1271" s="1" t="n">
        <v>8</v>
      </c>
      <c r="E1271" s="1" t="inlineStr">
        <is>
          <t>CHO</t>
        </is>
      </c>
      <c r="F1271" s="1" t="n">
        <v>2.5166</v>
      </c>
      <c r="G1271" s="1" t="n">
        <v>-0.0005999999999999999</v>
      </c>
    </row>
    <row r="1272">
      <c r="A1272" s="2" t="inlineStr">
        <is>
          <t>C8</t>
        </is>
      </c>
      <c r="B1272" s="2" t="n">
        <v>32</v>
      </c>
      <c r="C1272" s="2">
        <f>_xlfn.XLOOKUP(B1272,Results!$B$23:$B$119,Results!$D$23:$D$119)</f>
        <v/>
      </c>
      <c r="D1272" s="2" t="n">
        <v>9</v>
      </c>
      <c r="E1272" s="2" t="inlineStr">
        <is>
          <t>CHO</t>
        </is>
      </c>
      <c r="F1272" s="2" t="n">
        <v>2.5254</v>
      </c>
      <c r="G1272" s="2" t="n">
        <v>-0.000252</v>
      </c>
    </row>
    <row r="1273">
      <c r="A1273" s="1" t="inlineStr">
        <is>
          <t>C8</t>
        </is>
      </c>
      <c r="B1273" s="1" t="n">
        <v>32</v>
      </c>
      <c r="C1273" s="2">
        <f>_xlfn.XLOOKUP(B1273,Results!$B$23:$B$119,Results!$D$23:$D$119)</f>
        <v/>
      </c>
      <c r="D1273" s="1" t="n">
        <v>10</v>
      </c>
      <c r="E1273" s="1" t="inlineStr">
        <is>
          <t>CHO</t>
        </is>
      </c>
      <c r="F1273" s="1" t="n">
        <v>2.5327</v>
      </c>
      <c r="G1273" s="1" t="n">
        <v>-0.001429</v>
      </c>
    </row>
    <row r="1274">
      <c r="A1274" s="2" t="inlineStr">
        <is>
          <t>C8</t>
        </is>
      </c>
      <c r="B1274" s="2" t="n">
        <v>32</v>
      </c>
      <c r="C1274" s="2">
        <f>_xlfn.XLOOKUP(B1274,Results!$B$23:$B$119,Results!$D$23:$D$119)</f>
        <v/>
      </c>
      <c r="D1274" s="2" t="n">
        <v>11</v>
      </c>
      <c r="E1274" s="2" t="inlineStr">
        <is>
          <t>CHO</t>
        </is>
      </c>
      <c r="F1274" s="2" t="n">
        <v>2.5419</v>
      </c>
      <c r="G1274" s="2" t="n">
        <v>-0.000817</v>
      </c>
    </row>
    <row r="1275">
      <c r="A1275" s="1" t="inlineStr">
        <is>
          <t>C8</t>
        </is>
      </c>
      <c r="B1275" s="1" t="n">
        <v>32</v>
      </c>
      <c r="C1275" s="2">
        <f>_xlfn.XLOOKUP(B1275,Results!$B$23:$B$119,Results!$D$23:$D$119)</f>
        <v/>
      </c>
      <c r="D1275" s="1" t="n">
        <v>12</v>
      </c>
      <c r="E1275" s="1" t="inlineStr">
        <is>
          <t>CHO</t>
        </is>
      </c>
      <c r="F1275" s="1" t="n">
        <v>2.5528</v>
      </c>
      <c r="G1275" s="1" t="n">
        <v>0.001598</v>
      </c>
    </row>
    <row r="1276">
      <c r="A1276" s="2" t="inlineStr">
        <is>
          <t>C8</t>
        </is>
      </c>
      <c r="B1276" s="2" t="n">
        <v>32</v>
      </c>
      <c r="C1276" s="2">
        <f>_xlfn.XLOOKUP(B1276,Results!$B$23:$B$119,Results!$D$23:$D$119)</f>
        <v/>
      </c>
      <c r="D1276" s="2" t="n">
        <v>13</v>
      </c>
      <c r="E1276" s="2" t="inlineStr">
        <is>
          <t>CHO</t>
        </is>
      </c>
      <c r="F1276" s="2" t="n">
        <v>2.5608</v>
      </c>
      <c r="G1276" s="2" t="n">
        <v>0.001155</v>
      </c>
    </row>
    <row r="1277">
      <c r="A1277" s="1" t="inlineStr">
        <is>
          <t>C8</t>
        </is>
      </c>
      <c r="B1277" s="1" t="n">
        <v>32</v>
      </c>
      <c r="C1277" s="2">
        <f>_xlfn.XLOOKUP(B1277,Results!$B$23:$B$119,Results!$D$23:$D$119)</f>
        <v/>
      </c>
      <c r="D1277" s="1" t="n">
        <v>14</v>
      </c>
      <c r="E1277" s="1" t="inlineStr">
        <is>
          <t>CHO</t>
        </is>
      </c>
      <c r="F1277" s="1" t="n">
        <v>2.5717</v>
      </c>
      <c r="G1277" s="1" t="n">
        <v>0.003513</v>
      </c>
    </row>
    <row r="1278">
      <c r="A1278" s="2" t="inlineStr">
        <is>
          <t>C8</t>
        </is>
      </c>
      <c r="B1278" s="2" t="n">
        <v>32</v>
      </c>
      <c r="C1278" s="2">
        <f>_xlfn.XLOOKUP(B1278,Results!$B$23:$B$119,Results!$D$23:$D$119)</f>
        <v/>
      </c>
      <c r="D1278" s="2" t="n">
        <v>15</v>
      </c>
      <c r="E1278" s="2" t="inlineStr">
        <is>
          <t>CHO</t>
        </is>
      </c>
      <c r="F1278" s="2" t="n">
        <v>2.5917</v>
      </c>
      <c r="G1278" s="2" t="n">
        <v>0.015023</v>
      </c>
    </row>
    <row r="1279">
      <c r="A1279" s="1" t="inlineStr">
        <is>
          <t>C8</t>
        </is>
      </c>
      <c r="B1279" s="1" t="n">
        <v>32</v>
      </c>
      <c r="C1279" s="2">
        <f>_xlfn.XLOOKUP(B1279,Results!$B$23:$B$119,Results!$D$23:$D$119)</f>
        <v/>
      </c>
      <c r="D1279" s="1" t="n">
        <v>16</v>
      </c>
      <c r="E1279" s="1" t="inlineStr">
        <is>
          <t>CHO</t>
        </is>
      </c>
      <c r="F1279" s="1" t="n">
        <v>2.6193</v>
      </c>
      <c r="G1279" s="1" t="n">
        <v>0.034139</v>
      </c>
    </row>
    <row r="1280">
      <c r="A1280" s="2" t="inlineStr">
        <is>
          <t>C8</t>
        </is>
      </c>
      <c r="B1280" s="2" t="n">
        <v>32</v>
      </c>
      <c r="C1280" s="2">
        <f>_xlfn.XLOOKUP(B1280,Results!$B$23:$B$119,Results!$D$23:$D$119)</f>
        <v/>
      </c>
      <c r="D1280" s="2" t="n">
        <v>17</v>
      </c>
      <c r="E1280" s="2" t="inlineStr">
        <is>
          <t>CHO</t>
        </is>
      </c>
      <c r="F1280" s="2" t="n">
        <v>2.6661</v>
      </c>
      <c r="G1280" s="2" t="n">
        <v>0.072408</v>
      </c>
    </row>
    <row r="1281">
      <c r="A1281" s="1" t="inlineStr">
        <is>
          <t>C8</t>
        </is>
      </c>
      <c r="B1281" s="1" t="n">
        <v>32</v>
      </c>
      <c r="C1281" s="2">
        <f>_xlfn.XLOOKUP(B1281,Results!$B$23:$B$119,Results!$D$23:$D$119)</f>
        <v/>
      </c>
      <c r="D1281" s="1" t="n">
        <v>18</v>
      </c>
      <c r="E1281" s="1" t="inlineStr">
        <is>
          <t>CHO</t>
        </is>
      </c>
      <c r="F1281" s="1" t="n">
        <v>2.7461</v>
      </c>
      <c r="G1281" s="1" t="n">
        <v>0.143892</v>
      </c>
    </row>
    <row r="1282">
      <c r="A1282" s="2" t="inlineStr">
        <is>
          <t>C8</t>
        </is>
      </c>
      <c r="B1282" s="2" t="n">
        <v>32</v>
      </c>
      <c r="C1282" s="2">
        <f>_xlfn.XLOOKUP(B1282,Results!$B$23:$B$119,Results!$D$23:$D$119)</f>
        <v/>
      </c>
      <c r="D1282" s="2" t="n">
        <v>19</v>
      </c>
      <c r="E1282" s="2" t="inlineStr">
        <is>
          <t>CHO</t>
        </is>
      </c>
      <c r="F1282" s="2" t="n">
        <v>2.8824</v>
      </c>
      <c r="G1282" s="2" t="n">
        <v>0.271726</v>
      </c>
    </row>
    <row r="1283">
      <c r="A1283" s="1" t="inlineStr">
        <is>
          <t>C8</t>
        </is>
      </c>
      <c r="B1283" s="1" t="n">
        <v>32</v>
      </c>
      <c r="C1283" s="2">
        <f>_xlfn.XLOOKUP(B1283,Results!$B$23:$B$119,Results!$D$23:$D$119)</f>
        <v/>
      </c>
      <c r="D1283" s="1" t="n">
        <v>20</v>
      </c>
      <c r="E1283" s="1" t="inlineStr">
        <is>
          <t>CHO</t>
        </is>
      </c>
      <c r="F1283" s="1" t="n">
        <v>3.107</v>
      </c>
      <c r="G1283" s="1" t="n">
        <v>0.487811</v>
      </c>
    </row>
    <row r="1284">
      <c r="A1284" s="2" t="inlineStr">
        <is>
          <t>C8</t>
        </is>
      </c>
      <c r="B1284" s="2" t="n">
        <v>32</v>
      </c>
      <c r="C1284" s="2">
        <f>_xlfn.XLOOKUP(B1284,Results!$B$23:$B$119,Results!$D$23:$D$119)</f>
        <v/>
      </c>
      <c r="D1284" s="2" t="n">
        <v>21</v>
      </c>
      <c r="E1284" s="2" t="inlineStr">
        <is>
          <t>CHO</t>
        </is>
      </c>
      <c r="F1284" s="2" t="n">
        <v>3.4319</v>
      </c>
      <c r="G1284" s="2" t="n">
        <v>0.804226</v>
      </c>
    </row>
    <row r="1285">
      <c r="A1285" s="1" t="inlineStr">
        <is>
          <t>C8</t>
        </is>
      </c>
      <c r="B1285" s="1" t="n">
        <v>32</v>
      </c>
      <c r="C1285" s="2">
        <f>_xlfn.XLOOKUP(B1285,Results!$B$23:$B$119,Results!$D$23:$D$119)</f>
        <v/>
      </c>
      <c r="D1285" s="1" t="n">
        <v>22</v>
      </c>
      <c r="E1285" s="1" t="inlineStr">
        <is>
          <t>CHO</t>
        </is>
      </c>
      <c r="F1285" s="1" t="n">
        <v>3.8421</v>
      </c>
      <c r="G1285" s="1" t="n">
        <v>1.205883</v>
      </c>
    </row>
    <row r="1286">
      <c r="A1286" s="2" t="inlineStr">
        <is>
          <t>C8</t>
        </is>
      </c>
      <c r="B1286" s="2" t="n">
        <v>32</v>
      </c>
      <c r="C1286" s="2">
        <f>_xlfn.XLOOKUP(B1286,Results!$B$23:$B$119,Results!$D$23:$D$119)</f>
        <v/>
      </c>
      <c r="D1286" s="2" t="n">
        <v>23</v>
      </c>
      <c r="E1286" s="2" t="inlineStr">
        <is>
          <t>CHO</t>
        </is>
      </c>
      <c r="F1286" s="2" t="n">
        <v>4.2924</v>
      </c>
      <c r="G1286" s="2" t="n">
        <v>1.647705</v>
      </c>
    </row>
    <row r="1287">
      <c r="A1287" s="1" t="inlineStr">
        <is>
          <t>C8</t>
        </is>
      </c>
      <c r="B1287" s="1" t="n">
        <v>32</v>
      </c>
      <c r="C1287" s="2">
        <f>_xlfn.XLOOKUP(B1287,Results!$B$23:$B$119,Results!$D$23:$D$119)</f>
        <v/>
      </c>
      <c r="D1287" s="1" t="n">
        <v>24</v>
      </c>
      <c r="E1287" s="1" t="inlineStr">
        <is>
          <t>CHO</t>
        </is>
      </c>
      <c r="F1287" s="1" t="n">
        <v>4.7453</v>
      </c>
      <c r="G1287" s="1" t="n">
        <v>2.092031</v>
      </c>
    </row>
    <row r="1288">
      <c r="A1288" s="2" t="inlineStr">
        <is>
          <t>C8</t>
        </is>
      </c>
      <c r="B1288" s="2" t="n">
        <v>32</v>
      </c>
      <c r="C1288" s="2">
        <f>_xlfn.XLOOKUP(B1288,Results!$B$23:$B$119,Results!$D$23:$D$119)</f>
        <v/>
      </c>
      <c r="D1288" s="2" t="n">
        <v>25</v>
      </c>
      <c r="E1288" s="2" t="inlineStr">
        <is>
          <t>CHO</t>
        </is>
      </c>
      <c r="F1288" s="2" t="n">
        <v>5.181</v>
      </c>
      <c r="G1288" s="2" t="n">
        <v>2.519302</v>
      </c>
    </row>
    <row r="1289">
      <c r="A1289" s="1" t="inlineStr">
        <is>
          <t>C8</t>
        </is>
      </c>
      <c r="B1289" s="1" t="n">
        <v>32</v>
      </c>
      <c r="C1289" s="2">
        <f>_xlfn.XLOOKUP(B1289,Results!$B$23:$B$119,Results!$D$23:$D$119)</f>
        <v/>
      </c>
      <c r="D1289" s="1" t="n">
        <v>26</v>
      </c>
      <c r="E1289" s="1" t="inlineStr">
        <is>
          <t>CHO</t>
        </is>
      </c>
      <c r="F1289" s="1" t="n">
        <v>5.5685</v>
      </c>
      <c r="G1289" s="1" t="n">
        <v>2.898263</v>
      </c>
    </row>
    <row r="1290">
      <c r="A1290" s="2" t="inlineStr">
        <is>
          <t>C8</t>
        </is>
      </c>
      <c r="B1290" s="2" t="n">
        <v>32</v>
      </c>
      <c r="C1290" s="2">
        <f>_xlfn.XLOOKUP(B1290,Results!$B$23:$B$119,Results!$D$23:$D$119)</f>
        <v/>
      </c>
      <c r="D1290" s="2" t="n">
        <v>27</v>
      </c>
      <c r="E1290" s="2" t="inlineStr">
        <is>
          <t>CHO</t>
        </is>
      </c>
      <c r="F1290" s="2" t="n">
        <v>5.9348</v>
      </c>
      <c r="G1290" s="2" t="n">
        <v>3.25606</v>
      </c>
    </row>
    <row r="1291">
      <c r="A1291" s="1" t="inlineStr">
        <is>
          <t>C8</t>
        </is>
      </c>
      <c r="B1291" s="1" t="n">
        <v>32</v>
      </c>
      <c r="C1291" s="2">
        <f>_xlfn.XLOOKUP(B1291,Results!$B$23:$B$119,Results!$D$23:$D$119)</f>
        <v/>
      </c>
      <c r="D1291" s="1" t="n">
        <v>28</v>
      </c>
      <c r="E1291" s="1" t="inlineStr">
        <is>
          <t>CHO</t>
        </is>
      </c>
      <c r="F1291" s="1" t="n">
        <v>6.2239</v>
      </c>
      <c r="G1291" s="1" t="n">
        <v>3.536638</v>
      </c>
    </row>
    <row r="1292">
      <c r="A1292" s="2" t="inlineStr">
        <is>
          <t>C8</t>
        </is>
      </c>
      <c r="B1292" s="2" t="n">
        <v>32</v>
      </c>
      <c r="C1292" s="2">
        <f>_xlfn.XLOOKUP(B1292,Results!$B$23:$B$119,Results!$D$23:$D$119)</f>
        <v/>
      </c>
      <c r="D1292" s="2" t="n">
        <v>29</v>
      </c>
      <c r="E1292" s="2" t="inlineStr">
        <is>
          <t>CHO</t>
        </is>
      </c>
      <c r="F1292" s="2" t="n">
        <v>6.5056</v>
      </c>
      <c r="G1292" s="2" t="n">
        <v>3.8098</v>
      </c>
    </row>
    <row r="1293">
      <c r="A1293" s="1" t="inlineStr">
        <is>
          <t>C8</t>
        </is>
      </c>
      <c r="B1293" s="1" t="n">
        <v>32</v>
      </c>
      <c r="C1293" s="2">
        <f>_xlfn.XLOOKUP(B1293,Results!$B$23:$B$119,Results!$D$23:$D$119)</f>
        <v/>
      </c>
      <c r="D1293" s="1" t="n">
        <v>30</v>
      </c>
      <c r="E1293" s="1" t="inlineStr">
        <is>
          <t>CHO</t>
        </is>
      </c>
      <c r="F1293" s="1" t="n">
        <v>6.7513</v>
      </c>
      <c r="G1293" s="1" t="n">
        <v>4.047021</v>
      </c>
    </row>
    <row r="1294">
      <c r="A1294" s="2" t="inlineStr">
        <is>
          <t>C8</t>
        </is>
      </c>
      <c r="B1294" s="2" t="n">
        <v>32</v>
      </c>
      <c r="C1294" s="2">
        <f>_xlfn.XLOOKUP(B1294,Results!$B$23:$B$119,Results!$D$23:$D$119)</f>
        <v/>
      </c>
      <c r="D1294" s="2" t="n">
        <v>31</v>
      </c>
      <c r="E1294" s="2" t="inlineStr">
        <is>
          <t>CHO</t>
        </is>
      </c>
      <c r="F1294" s="2" t="n">
        <v>6.9517</v>
      </c>
      <c r="G1294" s="2" t="n">
        <v>4.238905</v>
      </c>
    </row>
    <row r="1295">
      <c r="A1295" s="1" t="inlineStr">
        <is>
          <t>C8</t>
        </is>
      </c>
      <c r="B1295" s="1" t="n">
        <v>32</v>
      </c>
      <c r="C1295" s="2">
        <f>_xlfn.XLOOKUP(B1295,Results!$B$23:$B$119,Results!$D$23:$D$119)</f>
        <v/>
      </c>
      <c r="D1295" s="1" t="n">
        <v>32</v>
      </c>
      <c r="E1295" s="1" t="inlineStr">
        <is>
          <t>CHO</t>
        </is>
      </c>
      <c r="F1295" s="1" t="n">
        <v>7.1504</v>
      </c>
      <c r="G1295" s="1" t="n">
        <v>4.429168</v>
      </c>
    </row>
    <row r="1296">
      <c r="A1296" s="2" t="inlineStr">
        <is>
          <t>C8</t>
        </is>
      </c>
      <c r="B1296" s="2" t="n">
        <v>32</v>
      </c>
      <c r="C1296" s="2">
        <f>_xlfn.XLOOKUP(B1296,Results!$B$23:$B$119,Results!$D$23:$D$119)</f>
        <v/>
      </c>
      <c r="D1296" s="2" t="n">
        <v>33</v>
      </c>
      <c r="E1296" s="2" t="inlineStr">
        <is>
          <t>CHO</t>
        </is>
      </c>
      <c r="F1296" s="2" t="n">
        <v>7.3274</v>
      </c>
      <c r="G1296" s="2" t="n">
        <v>4.597584</v>
      </c>
    </row>
    <row r="1297">
      <c r="A1297" s="1" t="inlineStr">
        <is>
          <t>C8</t>
        </is>
      </c>
      <c r="B1297" s="1" t="n">
        <v>32</v>
      </c>
      <c r="C1297" s="2">
        <f>_xlfn.XLOOKUP(B1297,Results!$B$23:$B$119,Results!$D$23:$D$119)</f>
        <v/>
      </c>
      <c r="D1297" s="1" t="n">
        <v>34</v>
      </c>
      <c r="E1297" s="1" t="inlineStr">
        <is>
          <t>CHO</t>
        </is>
      </c>
      <c r="F1297" s="1" t="n">
        <v>7.4718</v>
      </c>
      <c r="G1297" s="1" t="n">
        <v>4.733539</v>
      </c>
    </row>
    <row r="1298">
      <c r="A1298" s="2" t="inlineStr">
        <is>
          <t>C8</t>
        </is>
      </c>
      <c r="B1298" s="2" t="n">
        <v>32</v>
      </c>
      <c r="C1298" s="2">
        <f>_xlfn.XLOOKUP(B1298,Results!$B$23:$B$119,Results!$D$23:$D$119)</f>
        <v/>
      </c>
      <c r="D1298" s="2" t="n">
        <v>35</v>
      </c>
      <c r="E1298" s="2" t="inlineStr">
        <is>
          <t>CHO</t>
        </is>
      </c>
      <c r="F1298" s="2" t="n">
        <v>7.5643</v>
      </c>
      <c r="G1298" s="2" t="n">
        <v>4.817475</v>
      </c>
    </row>
    <row r="1299">
      <c r="A1299" s="1" t="inlineStr">
        <is>
          <t>C8</t>
        </is>
      </c>
      <c r="B1299" s="1" t="n">
        <v>32</v>
      </c>
      <c r="C1299" s="2">
        <f>_xlfn.XLOOKUP(B1299,Results!$B$23:$B$119,Results!$D$23:$D$119)</f>
        <v/>
      </c>
      <c r="D1299" s="1" t="n">
        <v>36</v>
      </c>
      <c r="E1299" s="1" t="inlineStr">
        <is>
          <t>CHO</t>
        </is>
      </c>
      <c r="F1299" s="1" t="n">
        <v>7.6961</v>
      </c>
      <c r="G1299" s="1" t="n">
        <v>4.940788</v>
      </c>
    </row>
    <row r="1300">
      <c r="A1300" s="2" t="inlineStr">
        <is>
          <t>C8</t>
        </is>
      </c>
      <c r="B1300" s="2" t="n">
        <v>32</v>
      </c>
      <c r="C1300" s="2">
        <f>_xlfn.XLOOKUP(B1300,Results!$B$23:$B$119,Results!$D$23:$D$119)</f>
        <v/>
      </c>
      <c r="D1300" s="2" t="n">
        <v>37</v>
      </c>
      <c r="E1300" s="2" t="inlineStr">
        <is>
          <t>CHO</t>
        </is>
      </c>
      <c r="F1300" s="2" t="n">
        <v>7.7945</v>
      </c>
      <c r="G1300" s="2" t="n">
        <v>5.030754</v>
      </c>
    </row>
    <row r="1301">
      <c r="A1301" s="1" t="inlineStr">
        <is>
          <t>C8</t>
        </is>
      </c>
      <c r="B1301" s="1" t="n">
        <v>32</v>
      </c>
      <c r="C1301" s="2">
        <f>_xlfn.XLOOKUP(B1301,Results!$B$23:$B$119,Results!$D$23:$D$119)</f>
        <v/>
      </c>
      <c r="D1301" s="1" t="n">
        <v>38</v>
      </c>
      <c r="E1301" s="1" t="inlineStr">
        <is>
          <t>CHO</t>
        </is>
      </c>
      <c r="F1301" s="1" t="n">
        <v>7.9074</v>
      </c>
      <c r="G1301" s="1" t="n">
        <v>5.135134</v>
      </c>
    </row>
    <row r="1302">
      <c r="A1302" s="2" t="inlineStr">
        <is>
          <t>C8</t>
        </is>
      </c>
      <c r="B1302" s="2" t="n">
        <v>32</v>
      </c>
      <c r="C1302" s="2">
        <f>_xlfn.XLOOKUP(B1302,Results!$B$23:$B$119,Results!$D$23:$D$119)</f>
        <v/>
      </c>
      <c r="D1302" s="2" t="n">
        <v>39</v>
      </c>
      <c r="E1302" s="2" t="inlineStr">
        <is>
          <t>CHO</t>
        </is>
      </c>
      <c r="F1302" s="2" t="n">
        <v>7.9761</v>
      </c>
      <c r="G1302" s="2" t="n">
        <v>5.195339</v>
      </c>
    </row>
    <row r="1303">
      <c r="A1303" s="1" t="inlineStr">
        <is>
          <t>C8</t>
        </is>
      </c>
      <c r="B1303" s="1" t="n">
        <v>32</v>
      </c>
      <c r="C1303" s="2">
        <f>_xlfn.XLOOKUP(B1303,Results!$B$23:$B$119,Results!$D$23:$D$119)</f>
        <v/>
      </c>
      <c r="D1303" s="1" t="n">
        <v>40</v>
      </c>
      <c r="E1303" s="1" t="inlineStr">
        <is>
          <t>CHO</t>
        </is>
      </c>
      <c r="F1303" s="1" t="n">
        <v>8.062099999999999</v>
      </c>
      <c r="G1303" s="1" t="n">
        <v>5.272783</v>
      </c>
    </row>
    <row r="1304">
      <c r="A1304" s="2" t="inlineStr">
        <is>
          <t>C9</t>
        </is>
      </c>
      <c r="B1304" s="2" t="n">
        <v>33</v>
      </c>
      <c r="C1304" s="2">
        <f>_xlfn.XLOOKUP(B1304,Results!$B$23:$B$119,Results!$D$23:$D$119)</f>
        <v/>
      </c>
      <c r="D1304" s="2" t="n">
        <v>1</v>
      </c>
      <c r="E1304" s="2" t="inlineStr">
        <is>
          <t>CHO</t>
        </is>
      </c>
      <c r="F1304" s="2" t="n">
        <v>2.4513</v>
      </c>
      <c r="G1304" s="2" t="n">
        <v>-0.009226</v>
      </c>
    </row>
    <row r="1305">
      <c r="A1305" s="1" t="inlineStr">
        <is>
          <t>C9</t>
        </is>
      </c>
      <c r="B1305" s="1" t="n">
        <v>33</v>
      </c>
      <c r="C1305" s="2">
        <f>_xlfn.XLOOKUP(B1305,Results!$B$23:$B$119,Results!$D$23:$D$119)</f>
        <v/>
      </c>
      <c r="D1305" s="1" t="n">
        <v>2</v>
      </c>
      <c r="E1305" s="1" t="inlineStr">
        <is>
          <t>CHO</t>
        </is>
      </c>
      <c r="F1305" s="1" t="n">
        <v>2.4568</v>
      </c>
      <c r="G1305" s="1" t="n">
        <v>-0.01222</v>
      </c>
    </row>
    <row r="1306">
      <c r="A1306" s="2" t="inlineStr">
        <is>
          <t>C9</t>
        </is>
      </c>
      <c r="B1306" s="2" t="n">
        <v>33</v>
      </c>
      <c r="C1306" s="2">
        <f>_xlfn.XLOOKUP(B1306,Results!$B$23:$B$119,Results!$D$23:$D$119)</f>
        <v/>
      </c>
      <c r="D1306" s="2" t="n">
        <v>3</v>
      </c>
      <c r="E1306" s="2" t="inlineStr">
        <is>
          <t>CHO</t>
        </is>
      </c>
      <c r="F1306" s="2" t="n">
        <v>2.4708</v>
      </c>
      <c r="G1306" s="2" t="n">
        <v>-0.006624</v>
      </c>
    </row>
    <row r="1307">
      <c r="A1307" s="1" t="inlineStr">
        <is>
          <t>C9</t>
        </is>
      </c>
      <c r="B1307" s="1" t="n">
        <v>33</v>
      </c>
      <c r="C1307" s="2">
        <f>_xlfn.XLOOKUP(B1307,Results!$B$23:$B$119,Results!$D$23:$D$119)</f>
        <v/>
      </c>
      <c r="D1307" s="1" t="n">
        <v>4</v>
      </c>
      <c r="E1307" s="1" t="inlineStr">
        <is>
          <t>CHO</t>
        </is>
      </c>
      <c r="F1307" s="1" t="n">
        <v>2.4876</v>
      </c>
      <c r="G1307" s="1" t="n">
        <v>0.001732</v>
      </c>
    </row>
    <row r="1308">
      <c r="A1308" s="2" t="inlineStr">
        <is>
          <t>C9</t>
        </is>
      </c>
      <c r="B1308" s="2" t="n">
        <v>33</v>
      </c>
      <c r="C1308" s="2">
        <f>_xlfn.XLOOKUP(B1308,Results!$B$23:$B$119,Results!$D$23:$D$119)</f>
        <v/>
      </c>
      <c r="D1308" s="2" t="n">
        <v>5</v>
      </c>
      <c r="E1308" s="2" t="inlineStr">
        <is>
          <t>CHO</t>
        </is>
      </c>
      <c r="F1308" s="2" t="n">
        <v>2.4983</v>
      </c>
      <c r="G1308" s="2" t="n">
        <v>0.004015</v>
      </c>
    </row>
    <row r="1309">
      <c r="A1309" s="1" t="inlineStr">
        <is>
          <t>C9</t>
        </is>
      </c>
      <c r="B1309" s="1" t="n">
        <v>33</v>
      </c>
      <c r="C1309" s="2">
        <f>_xlfn.XLOOKUP(B1309,Results!$B$23:$B$119,Results!$D$23:$D$119)</f>
        <v/>
      </c>
      <c r="D1309" s="1" t="n">
        <v>6</v>
      </c>
      <c r="E1309" s="1" t="inlineStr">
        <is>
          <t>CHO</t>
        </is>
      </c>
      <c r="F1309" s="1" t="n">
        <v>2.5047</v>
      </c>
      <c r="G1309" s="1" t="n">
        <v>0.001971</v>
      </c>
    </row>
    <row r="1310">
      <c r="A1310" s="2" t="inlineStr">
        <is>
          <t>C9</t>
        </is>
      </c>
      <c r="B1310" s="2" t="n">
        <v>33</v>
      </c>
      <c r="C1310" s="2">
        <f>_xlfn.XLOOKUP(B1310,Results!$B$23:$B$119,Results!$D$23:$D$119)</f>
        <v/>
      </c>
      <c r="D1310" s="2" t="n">
        <v>7</v>
      </c>
      <c r="E1310" s="2" t="inlineStr">
        <is>
          <t>CHO</t>
        </is>
      </c>
      <c r="F1310" s="2" t="n">
        <v>2.5101</v>
      </c>
      <c r="G1310" s="2" t="n">
        <v>-0.001041</v>
      </c>
    </row>
    <row r="1311">
      <c r="A1311" s="1" t="inlineStr">
        <is>
          <t>C9</t>
        </is>
      </c>
      <c r="B1311" s="1" t="n">
        <v>33</v>
      </c>
      <c r="C1311" s="2">
        <f>_xlfn.XLOOKUP(B1311,Results!$B$23:$B$119,Results!$D$23:$D$119)</f>
        <v/>
      </c>
      <c r="D1311" s="1" t="n">
        <v>8</v>
      </c>
      <c r="E1311" s="1" t="inlineStr">
        <is>
          <t>CHO</t>
        </is>
      </c>
      <c r="F1311" s="1" t="n">
        <v>2.5207</v>
      </c>
      <c r="G1311" s="1" t="n">
        <v>0.001093</v>
      </c>
    </row>
    <row r="1312">
      <c r="A1312" s="2" t="inlineStr">
        <is>
          <t>C9</t>
        </is>
      </c>
      <c r="B1312" s="2" t="n">
        <v>33</v>
      </c>
      <c r="C1312" s="2">
        <f>_xlfn.XLOOKUP(B1312,Results!$B$23:$B$119,Results!$D$23:$D$119)</f>
        <v/>
      </c>
      <c r="D1312" s="2" t="n">
        <v>9</v>
      </c>
      <c r="E1312" s="2" t="inlineStr">
        <is>
          <t>CHO</t>
        </is>
      </c>
      <c r="F1312" s="2" t="n">
        <v>2.5301</v>
      </c>
      <c r="G1312" s="2" t="n">
        <v>0.002059</v>
      </c>
    </row>
    <row r="1313">
      <c r="A1313" s="1" t="inlineStr">
        <is>
          <t>C9</t>
        </is>
      </c>
      <c r="B1313" s="1" t="n">
        <v>33</v>
      </c>
      <c r="C1313" s="2">
        <f>_xlfn.XLOOKUP(B1313,Results!$B$23:$B$119,Results!$D$23:$D$119)</f>
        <v/>
      </c>
      <c r="D1313" s="1" t="n">
        <v>10</v>
      </c>
      <c r="E1313" s="1" t="inlineStr">
        <is>
          <t>CHO</t>
        </is>
      </c>
      <c r="F1313" s="1" t="n">
        <v>2.5376</v>
      </c>
      <c r="G1313" s="1" t="n">
        <v>0.001105</v>
      </c>
    </row>
    <row r="1314">
      <c r="A1314" s="2" t="inlineStr">
        <is>
          <t>C9</t>
        </is>
      </c>
      <c r="B1314" s="2" t="n">
        <v>33</v>
      </c>
      <c r="C1314" s="2">
        <f>_xlfn.XLOOKUP(B1314,Results!$B$23:$B$119,Results!$D$23:$D$119)</f>
        <v/>
      </c>
      <c r="D1314" s="2" t="n">
        <v>11</v>
      </c>
      <c r="E1314" s="2" t="inlineStr">
        <is>
          <t>CHO</t>
        </is>
      </c>
      <c r="F1314" s="2" t="n">
        <v>2.5424</v>
      </c>
      <c r="G1314" s="2" t="n">
        <v>-0.002525</v>
      </c>
    </row>
    <row r="1315">
      <c r="A1315" s="1" t="inlineStr">
        <is>
          <t>C9</t>
        </is>
      </c>
      <c r="B1315" s="1" t="n">
        <v>33</v>
      </c>
      <c r="C1315" s="2">
        <f>_xlfn.XLOOKUP(B1315,Results!$B$23:$B$119,Results!$D$23:$D$119)</f>
        <v/>
      </c>
      <c r="D1315" s="1" t="n">
        <v>12</v>
      </c>
      <c r="E1315" s="1" t="inlineStr">
        <is>
          <t>CHO</t>
        </is>
      </c>
      <c r="F1315" s="1" t="n">
        <v>2.5523</v>
      </c>
      <c r="G1315" s="1" t="n">
        <v>-0.0009879999999999999</v>
      </c>
    </row>
    <row r="1316">
      <c r="A1316" s="2" t="inlineStr">
        <is>
          <t>C9</t>
        </is>
      </c>
      <c r="B1316" s="2" t="n">
        <v>33</v>
      </c>
      <c r="C1316" s="2">
        <f>_xlfn.XLOOKUP(B1316,Results!$B$23:$B$119,Results!$D$23:$D$119)</f>
        <v/>
      </c>
      <c r="D1316" s="2" t="n">
        <v>13</v>
      </c>
      <c r="E1316" s="2" t="inlineStr">
        <is>
          <t>CHO</t>
        </is>
      </c>
      <c r="F1316" s="2" t="n">
        <v>2.561</v>
      </c>
      <c r="G1316" s="2" t="n">
        <v>-0.000797</v>
      </c>
    </row>
    <row r="1317">
      <c r="A1317" s="1" t="inlineStr">
        <is>
          <t>C9</t>
        </is>
      </c>
      <c r="B1317" s="1" t="n">
        <v>33</v>
      </c>
      <c r="C1317" s="2">
        <f>_xlfn.XLOOKUP(B1317,Results!$B$23:$B$119,Results!$D$23:$D$119)</f>
        <v/>
      </c>
      <c r="D1317" s="1" t="n">
        <v>14</v>
      </c>
      <c r="E1317" s="1" t="inlineStr">
        <is>
          <t>CHO</t>
        </is>
      </c>
      <c r="F1317" s="1" t="n">
        <v>2.5747</v>
      </c>
      <c r="G1317" s="1" t="n">
        <v>0.004481</v>
      </c>
    </row>
    <row r="1318">
      <c r="A1318" s="2" t="inlineStr">
        <is>
          <t>C9</t>
        </is>
      </c>
      <c r="B1318" s="2" t="n">
        <v>33</v>
      </c>
      <c r="C1318" s="2">
        <f>_xlfn.XLOOKUP(B1318,Results!$B$23:$B$119,Results!$D$23:$D$119)</f>
        <v/>
      </c>
      <c r="D1318" s="2" t="n">
        <v>15</v>
      </c>
      <c r="E1318" s="2" t="inlineStr">
        <is>
          <t>CHO</t>
        </is>
      </c>
      <c r="F1318" s="2" t="n">
        <v>2.5927</v>
      </c>
      <c r="G1318" s="2" t="n">
        <v>0.014016</v>
      </c>
    </row>
    <row r="1319">
      <c r="A1319" s="1" t="inlineStr">
        <is>
          <t>C9</t>
        </is>
      </c>
      <c r="B1319" s="1" t="n">
        <v>33</v>
      </c>
      <c r="C1319" s="2">
        <f>_xlfn.XLOOKUP(B1319,Results!$B$23:$B$119,Results!$D$23:$D$119)</f>
        <v/>
      </c>
      <c r="D1319" s="1" t="n">
        <v>16</v>
      </c>
      <c r="E1319" s="1" t="inlineStr">
        <is>
          <t>CHO</t>
        </is>
      </c>
      <c r="F1319" s="1" t="n">
        <v>2.6198</v>
      </c>
      <c r="G1319" s="1" t="n">
        <v>0.032687</v>
      </c>
    </row>
    <row r="1320">
      <c r="A1320" s="2" t="inlineStr">
        <is>
          <t>C9</t>
        </is>
      </c>
      <c r="B1320" s="2" t="n">
        <v>33</v>
      </c>
      <c r="C1320" s="2">
        <f>_xlfn.XLOOKUP(B1320,Results!$B$23:$B$119,Results!$D$23:$D$119)</f>
        <v/>
      </c>
      <c r="D1320" s="2" t="n">
        <v>17</v>
      </c>
      <c r="E1320" s="2" t="inlineStr">
        <is>
          <t>CHO</t>
        </is>
      </c>
      <c r="F1320" s="2" t="n">
        <v>2.6684</v>
      </c>
      <c r="G1320" s="2" t="n">
        <v>0.072864</v>
      </c>
    </row>
    <row r="1321">
      <c r="A1321" s="1" t="inlineStr">
        <is>
          <t>C9</t>
        </is>
      </c>
      <c r="B1321" s="1" t="n">
        <v>33</v>
      </c>
      <c r="C1321" s="2">
        <f>_xlfn.XLOOKUP(B1321,Results!$B$23:$B$119,Results!$D$23:$D$119)</f>
        <v/>
      </c>
      <c r="D1321" s="1" t="n">
        <v>18</v>
      </c>
      <c r="E1321" s="1" t="inlineStr">
        <is>
          <t>CHO</t>
        </is>
      </c>
      <c r="F1321" s="1" t="n">
        <v>2.7424</v>
      </c>
      <c r="G1321" s="1" t="n">
        <v>0.138424</v>
      </c>
    </row>
    <row r="1322">
      <c r="A1322" s="2" t="inlineStr">
        <is>
          <t>C9</t>
        </is>
      </c>
      <c r="B1322" s="2" t="n">
        <v>33</v>
      </c>
      <c r="C1322" s="2">
        <f>_xlfn.XLOOKUP(B1322,Results!$B$23:$B$119,Results!$D$23:$D$119)</f>
        <v/>
      </c>
      <c r="D1322" s="2" t="n">
        <v>19</v>
      </c>
      <c r="E1322" s="2" t="inlineStr">
        <is>
          <t>CHO</t>
        </is>
      </c>
      <c r="F1322" s="2" t="n">
        <v>2.8826</v>
      </c>
      <c r="G1322" s="2" t="n">
        <v>0.270213</v>
      </c>
    </row>
    <row r="1323">
      <c r="A1323" s="1" t="inlineStr">
        <is>
          <t>C9</t>
        </is>
      </c>
      <c r="B1323" s="1" t="n">
        <v>33</v>
      </c>
      <c r="C1323" s="2">
        <f>_xlfn.XLOOKUP(B1323,Results!$B$23:$B$119,Results!$D$23:$D$119)</f>
        <v/>
      </c>
      <c r="D1323" s="1" t="n">
        <v>20</v>
      </c>
      <c r="E1323" s="1" t="inlineStr">
        <is>
          <t>CHO</t>
        </is>
      </c>
      <c r="F1323" s="1" t="n">
        <v>3.1103</v>
      </c>
      <c r="G1323" s="1" t="n">
        <v>0.489436</v>
      </c>
    </row>
    <row r="1324">
      <c r="A1324" s="2" t="inlineStr">
        <is>
          <t>C9</t>
        </is>
      </c>
      <c r="B1324" s="2" t="n">
        <v>33</v>
      </c>
      <c r="C1324" s="2">
        <f>_xlfn.XLOOKUP(B1324,Results!$B$23:$B$119,Results!$D$23:$D$119)</f>
        <v/>
      </c>
      <c r="D1324" s="2" t="n">
        <v>21</v>
      </c>
      <c r="E1324" s="2" t="inlineStr">
        <is>
          <t>CHO</t>
        </is>
      </c>
      <c r="F1324" s="2" t="n">
        <v>3.4309</v>
      </c>
      <c r="G1324" s="2" t="n">
        <v>0.801695</v>
      </c>
    </row>
    <row r="1325">
      <c r="A1325" s="1" t="inlineStr">
        <is>
          <t>C9</t>
        </is>
      </c>
      <c r="B1325" s="1" t="n">
        <v>33</v>
      </c>
      <c r="C1325" s="2">
        <f>_xlfn.XLOOKUP(B1325,Results!$B$23:$B$119,Results!$D$23:$D$119)</f>
        <v/>
      </c>
      <c r="D1325" s="1" t="n">
        <v>22</v>
      </c>
      <c r="E1325" s="1" t="inlineStr">
        <is>
          <t>CHO</t>
        </is>
      </c>
      <c r="F1325" s="1" t="n">
        <v>3.8494</v>
      </c>
      <c r="G1325" s="1" t="n">
        <v>1.211724</v>
      </c>
    </row>
    <row r="1326">
      <c r="A1326" s="2" t="inlineStr">
        <is>
          <t>C9</t>
        </is>
      </c>
      <c r="B1326" s="2" t="n">
        <v>33</v>
      </c>
      <c r="C1326" s="2">
        <f>_xlfn.XLOOKUP(B1326,Results!$B$23:$B$119,Results!$D$23:$D$119)</f>
        <v/>
      </c>
      <c r="D1326" s="2" t="n">
        <v>23</v>
      </c>
      <c r="E1326" s="2" t="inlineStr">
        <is>
          <t>CHO</t>
        </is>
      </c>
      <c r="F1326" s="2" t="n">
        <v>4.3078</v>
      </c>
      <c r="G1326" s="2" t="n">
        <v>1.661638</v>
      </c>
    </row>
    <row r="1327">
      <c r="A1327" s="1" t="inlineStr">
        <is>
          <t>C9</t>
        </is>
      </c>
      <c r="B1327" s="1" t="n">
        <v>33</v>
      </c>
      <c r="C1327" s="2">
        <f>_xlfn.XLOOKUP(B1327,Results!$B$23:$B$119,Results!$D$23:$D$119)</f>
        <v/>
      </c>
      <c r="D1327" s="1" t="n">
        <v>24</v>
      </c>
      <c r="E1327" s="1" t="inlineStr">
        <is>
          <t>CHO</t>
        </is>
      </c>
      <c r="F1327" s="1" t="n">
        <v>4.7573</v>
      </c>
      <c r="G1327" s="1" t="n">
        <v>2.102747</v>
      </c>
    </row>
    <row r="1328">
      <c r="A1328" s="2" t="inlineStr">
        <is>
          <t>C9</t>
        </is>
      </c>
      <c r="B1328" s="2" t="n">
        <v>33</v>
      </c>
      <c r="C1328" s="2">
        <f>_xlfn.XLOOKUP(B1328,Results!$B$23:$B$119,Results!$D$23:$D$119)</f>
        <v/>
      </c>
      <c r="D1328" s="2" t="n">
        <v>25</v>
      </c>
      <c r="E1328" s="2" t="inlineStr">
        <is>
          <t>CHO</t>
        </is>
      </c>
      <c r="F1328" s="2" t="n">
        <v>5.1793</v>
      </c>
      <c r="G1328" s="2" t="n">
        <v>2.516263</v>
      </c>
    </row>
    <row r="1329">
      <c r="A1329" s="1" t="inlineStr">
        <is>
          <t>C9</t>
        </is>
      </c>
      <c r="B1329" s="1" t="n">
        <v>33</v>
      </c>
      <c r="C1329" s="2">
        <f>_xlfn.XLOOKUP(B1329,Results!$B$23:$B$119,Results!$D$23:$D$119)</f>
        <v/>
      </c>
      <c r="D1329" s="1" t="n">
        <v>26</v>
      </c>
      <c r="E1329" s="1" t="inlineStr">
        <is>
          <t>CHO</t>
        </is>
      </c>
      <c r="F1329" s="1" t="n">
        <v>5.5761</v>
      </c>
      <c r="G1329" s="1" t="n">
        <v>2.90462</v>
      </c>
    </row>
    <row r="1330">
      <c r="A1330" s="2" t="inlineStr">
        <is>
          <t>C9</t>
        </is>
      </c>
      <c r="B1330" s="2" t="n">
        <v>33</v>
      </c>
      <c r="C1330" s="2">
        <f>_xlfn.XLOOKUP(B1330,Results!$B$23:$B$119,Results!$D$23:$D$119)</f>
        <v/>
      </c>
      <c r="D1330" s="2" t="n">
        <v>27</v>
      </c>
      <c r="E1330" s="2" t="inlineStr">
        <is>
          <t>CHO</t>
        </is>
      </c>
      <c r="F1330" s="2" t="n">
        <v>5.9197</v>
      </c>
      <c r="G1330" s="2" t="n">
        <v>3.23983</v>
      </c>
    </row>
    <row r="1331">
      <c r="A1331" s="1" t="inlineStr">
        <is>
          <t>C9</t>
        </is>
      </c>
      <c r="B1331" s="1" t="n">
        <v>33</v>
      </c>
      <c r="C1331" s="2">
        <f>_xlfn.XLOOKUP(B1331,Results!$B$23:$B$119,Results!$D$23:$D$119)</f>
        <v/>
      </c>
      <c r="D1331" s="1" t="n">
        <v>28</v>
      </c>
      <c r="E1331" s="1" t="inlineStr">
        <is>
          <t>CHO</t>
        </is>
      </c>
      <c r="F1331" s="1" t="n">
        <v>6.2176</v>
      </c>
      <c r="G1331" s="1" t="n">
        <v>3.529337</v>
      </c>
    </row>
    <row r="1332">
      <c r="A1332" s="2" t="inlineStr">
        <is>
          <t>C9</t>
        </is>
      </c>
      <c r="B1332" s="2" t="n">
        <v>33</v>
      </c>
      <c r="C1332" s="2">
        <f>_xlfn.XLOOKUP(B1332,Results!$B$23:$B$119,Results!$D$23:$D$119)</f>
        <v/>
      </c>
      <c r="D1332" s="2" t="n">
        <v>29</v>
      </c>
      <c r="E1332" s="2" t="inlineStr">
        <is>
          <t>CHO</t>
        </is>
      </c>
      <c r="F1332" s="2" t="n">
        <v>6.4774</v>
      </c>
      <c r="G1332" s="2" t="n">
        <v>3.780676</v>
      </c>
    </row>
    <row r="1333">
      <c r="A1333" s="1" t="inlineStr">
        <is>
          <t>C9</t>
        </is>
      </c>
      <c r="B1333" s="1" t="n">
        <v>33</v>
      </c>
      <c r="C1333" s="2">
        <f>_xlfn.XLOOKUP(B1333,Results!$B$23:$B$119,Results!$D$23:$D$119)</f>
        <v/>
      </c>
      <c r="D1333" s="1" t="n">
        <v>30</v>
      </c>
      <c r="E1333" s="1" t="inlineStr">
        <is>
          <t>CHO</t>
        </is>
      </c>
      <c r="F1333" s="1" t="n">
        <v>6.7387</v>
      </c>
      <c r="G1333" s="1" t="n">
        <v>4.033534</v>
      </c>
    </row>
    <row r="1334">
      <c r="A1334" s="2" t="inlineStr">
        <is>
          <t>C9</t>
        </is>
      </c>
      <c r="B1334" s="2" t="n">
        <v>33</v>
      </c>
      <c r="C1334" s="2">
        <f>_xlfn.XLOOKUP(B1334,Results!$B$23:$B$119,Results!$D$23:$D$119)</f>
        <v/>
      </c>
      <c r="D1334" s="2" t="n">
        <v>31</v>
      </c>
      <c r="E1334" s="2" t="inlineStr">
        <is>
          <t>CHO</t>
        </is>
      </c>
      <c r="F1334" s="2" t="n">
        <v>6.9527</v>
      </c>
      <c r="G1334" s="2" t="n">
        <v>4.239076</v>
      </c>
    </row>
    <row r="1335">
      <c r="A1335" s="1" t="inlineStr">
        <is>
          <t>C9</t>
        </is>
      </c>
      <c r="B1335" s="1" t="n">
        <v>33</v>
      </c>
      <c r="C1335" s="2">
        <f>_xlfn.XLOOKUP(B1335,Results!$B$23:$B$119,Results!$D$23:$D$119)</f>
        <v/>
      </c>
      <c r="D1335" s="1" t="n">
        <v>32</v>
      </c>
      <c r="E1335" s="1" t="inlineStr">
        <is>
          <t>CHO</t>
        </is>
      </c>
      <c r="F1335" s="1" t="n">
        <v>7.1156</v>
      </c>
      <c r="G1335" s="1" t="n">
        <v>4.393569</v>
      </c>
    </row>
    <row r="1336">
      <c r="A1336" s="2" t="inlineStr">
        <is>
          <t>C9</t>
        </is>
      </c>
      <c r="B1336" s="2" t="n">
        <v>33</v>
      </c>
      <c r="C1336" s="2">
        <f>_xlfn.XLOOKUP(B1336,Results!$B$23:$B$119,Results!$D$23:$D$119)</f>
        <v/>
      </c>
      <c r="D1336" s="2" t="n">
        <v>33</v>
      </c>
      <c r="E1336" s="2" t="inlineStr">
        <is>
          <t>CHO</t>
        </is>
      </c>
      <c r="F1336" s="2" t="n">
        <v>7.2716</v>
      </c>
      <c r="G1336" s="2" t="n">
        <v>4.541142</v>
      </c>
    </row>
    <row r="1337">
      <c r="A1337" s="1" t="inlineStr">
        <is>
          <t>C9</t>
        </is>
      </c>
      <c r="B1337" s="1" t="n">
        <v>33</v>
      </c>
      <c r="C1337" s="2">
        <f>_xlfn.XLOOKUP(B1337,Results!$B$23:$B$119,Results!$D$23:$D$119)</f>
        <v/>
      </c>
      <c r="D1337" s="1" t="n">
        <v>34</v>
      </c>
      <c r="E1337" s="1" t="inlineStr">
        <is>
          <t>CHO</t>
        </is>
      </c>
      <c r="F1337" s="1" t="n">
        <v>7.4182</v>
      </c>
      <c r="G1337" s="1" t="n">
        <v>4.679278</v>
      </c>
    </row>
    <row r="1338">
      <c r="A1338" s="2" t="inlineStr">
        <is>
          <t>C9</t>
        </is>
      </c>
      <c r="B1338" s="2" t="n">
        <v>33</v>
      </c>
      <c r="C1338" s="2">
        <f>_xlfn.XLOOKUP(B1338,Results!$B$23:$B$119,Results!$D$23:$D$119)</f>
        <v/>
      </c>
      <c r="D1338" s="2" t="n">
        <v>35</v>
      </c>
      <c r="E1338" s="2" t="inlineStr">
        <is>
          <t>CHO</t>
        </is>
      </c>
      <c r="F1338" s="2" t="n">
        <v>7.5417</v>
      </c>
      <c r="G1338" s="2" t="n">
        <v>4.794318</v>
      </c>
    </row>
    <row r="1339">
      <c r="A1339" s="1" t="inlineStr">
        <is>
          <t>C9</t>
        </is>
      </c>
      <c r="B1339" s="1" t="n">
        <v>33</v>
      </c>
      <c r="C1339" s="2">
        <f>_xlfn.XLOOKUP(B1339,Results!$B$23:$B$119,Results!$D$23:$D$119)</f>
        <v/>
      </c>
      <c r="D1339" s="1" t="n">
        <v>36</v>
      </c>
      <c r="E1339" s="1" t="inlineStr">
        <is>
          <t>CHO</t>
        </is>
      </c>
      <c r="F1339" s="1" t="n">
        <v>7.6608</v>
      </c>
      <c r="G1339" s="1" t="n">
        <v>4.905058</v>
      </c>
    </row>
    <row r="1340">
      <c r="A1340" s="2" t="inlineStr">
        <is>
          <t>C9</t>
        </is>
      </c>
      <c r="B1340" s="2" t="n">
        <v>33</v>
      </c>
      <c r="C1340" s="2">
        <f>_xlfn.XLOOKUP(B1340,Results!$B$23:$B$119,Results!$D$23:$D$119)</f>
        <v/>
      </c>
      <c r="D1340" s="2" t="n">
        <v>37</v>
      </c>
      <c r="E1340" s="2" t="inlineStr">
        <is>
          <t>CHO</t>
        </is>
      </c>
      <c r="F1340" s="2" t="n">
        <v>7.8004</v>
      </c>
      <c r="G1340" s="2" t="n">
        <v>5.036153</v>
      </c>
    </row>
    <row r="1341">
      <c r="A1341" s="1" t="inlineStr">
        <is>
          <t>C9</t>
        </is>
      </c>
      <c r="B1341" s="1" t="n">
        <v>33</v>
      </c>
      <c r="C1341" s="2">
        <f>_xlfn.XLOOKUP(B1341,Results!$B$23:$B$119,Results!$D$23:$D$119)</f>
        <v/>
      </c>
      <c r="D1341" s="1" t="n">
        <v>38</v>
      </c>
      <c r="E1341" s="1" t="inlineStr">
        <is>
          <t>CHO</t>
        </is>
      </c>
      <c r="F1341" s="1" t="n">
        <v>7.8795</v>
      </c>
      <c r="G1341" s="1" t="n">
        <v>5.106826</v>
      </c>
    </row>
    <row r="1342">
      <c r="A1342" s="2" t="inlineStr">
        <is>
          <t>C9</t>
        </is>
      </c>
      <c r="B1342" s="2" t="n">
        <v>33</v>
      </c>
      <c r="C1342" s="2">
        <f>_xlfn.XLOOKUP(B1342,Results!$B$23:$B$119,Results!$D$23:$D$119)</f>
        <v/>
      </c>
      <c r="D1342" s="2" t="n">
        <v>39</v>
      </c>
      <c r="E1342" s="2" t="inlineStr">
        <is>
          <t>CHO</t>
        </is>
      </c>
      <c r="F1342" s="2" t="n">
        <v>7.9395</v>
      </c>
      <c r="G1342" s="2" t="n">
        <v>5.158392</v>
      </c>
    </row>
    <row r="1343">
      <c r="A1343" s="1" t="inlineStr">
        <is>
          <t>C9</t>
        </is>
      </c>
      <c r="B1343" s="1" t="n">
        <v>33</v>
      </c>
      <c r="C1343" s="2">
        <f>_xlfn.XLOOKUP(B1343,Results!$B$23:$B$119,Results!$D$23:$D$119)</f>
        <v/>
      </c>
      <c r="D1343" s="1" t="n">
        <v>40</v>
      </c>
      <c r="E1343" s="1" t="inlineStr">
        <is>
          <t>CHO</t>
        </is>
      </c>
      <c r="F1343" s="1" t="n">
        <v>7.9825</v>
      </c>
      <c r="G1343" s="1" t="n">
        <v>5.192987</v>
      </c>
    </row>
    <row r="1344">
      <c r="A1344" s="2" t="inlineStr">
        <is>
          <t>C10</t>
        </is>
      </c>
      <c r="B1344" s="2" t="n">
        <v>34</v>
      </c>
      <c r="C1344" s="2">
        <f>_xlfn.XLOOKUP(B1344,Results!$B$23:$B$119,Results!$D$23:$D$119)</f>
        <v/>
      </c>
      <c r="D1344" s="2" t="n">
        <v>1</v>
      </c>
      <c r="E1344" s="2" t="inlineStr">
        <is>
          <t>CHO</t>
        </is>
      </c>
      <c r="F1344" s="2" t="n">
        <v>2.3154</v>
      </c>
      <c r="G1344" s="2" t="n">
        <v>0.012657</v>
      </c>
    </row>
    <row r="1345">
      <c r="A1345" s="1" t="inlineStr">
        <is>
          <t>C10</t>
        </is>
      </c>
      <c r="B1345" s="1" t="n">
        <v>34</v>
      </c>
      <c r="C1345" s="2">
        <f>_xlfn.XLOOKUP(B1345,Results!$B$23:$B$119,Results!$D$23:$D$119)</f>
        <v/>
      </c>
      <c r="D1345" s="1" t="n">
        <v>2</v>
      </c>
      <c r="E1345" s="1" t="inlineStr">
        <is>
          <t>CHO</t>
        </is>
      </c>
      <c r="F1345" s="1" t="n">
        <v>2.3114</v>
      </c>
      <c r="G1345" s="1" t="n">
        <v>0.004437</v>
      </c>
    </row>
    <row r="1346">
      <c r="A1346" s="2" t="inlineStr">
        <is>
          <t>C10</t>
        </is>
      </c>
      <c r="B1346" s="2" t="n">
        <v>34</v>
      </c>
      <c r="C1346" s="2">
        <f>_xlfn.XLOOKUP(B1346,Results!$B$23:$B$119,Results!$D$23:$D$119)</f>
        <v/>
      </c>
      <c r="D1346" s="2" t="n">
        <v>3</v>
      </c>
      <c r="E1346" s="2" t="inlineStr">
        <is>
          <t>CHO</t>
        </is>
      </c>
      <c r="F1346" s="2" t="n">
        <v>2.3099</v>
      </c>
      <c r="G1346" s="2" t="n">
        <v>-0.001249</v>
      </c>
    </row>
    <row r="1347">
      <c r="A1347" s="1" t="inlineStr">
        <is>
          <t>C10</t>
        </is>
      </c>
      <c r="B1347" s="1" t="n">
        <v>34</v>
      </c>
      <c r="C1347" s="2">
        <f>_xlfn.XLOOKUP(B1347,Results!$B$23:$B$119,Results!$D$23:$D$119)</f>
        <v/>
      </c>
      <c r="D1347" s="1" t="n">
        <v>4</v>
      </c>
      <c r="E1347" s="1" t="inlineStr">
        <is>
          <t>CHO</t>
        </is>
      </c>
      <c r="F1347" s="1" t="n">
        <v>2.315</v>
      </c>
      <c r="G1347" s="1" t="n">
        <v>-0.000315</v>
      </c>
    </row>
    <row r="1348">
      <c r="A1348" s="2" t="inlineStr">
        <is>
          <t>C10</t>
        </is>
      </c>
      <c r="B1348" s="2" t="n">
        <v>34</v>
      </c>
      <c r="C1348" s="2">
        <f>_xlfn.XLOOKUP(B1348,Results!$B$23:$B$119,Results!$D$23:$D$119)</f>
        <v/>
      </c>
      <c r="D1348" s="2" t="n">
        <v>5</v>
      </c>
      <c r="E1348" s="2" t="inlineStr">
        <is>
          <t>CHO</t>
        </is>
      </c>
      <c r="F1348" s="2" t="n">
        <v>2.3195</v>
      </c>
      <c r="G1348" s="2" t="n">
        <v>-4e-06</v>
      </c>
    </row>
    <row r="1349">
      <c r="A1349" s="1" t="inlineStr">
        <is>
          <t>C10</t>
        </is>
      </c>
      <c r="B1349" s="1" t="n">
        <v>34</v>
      </c>
      <c r="C1349" s="2">
        <f>_xlfn.XLOOKUP(B1349,Results!$B$23:$B$119,Results!$D$23:$D$119)</f>
        <v/>
      </c>
      <c r="D1349" s="1" t="n">
        <v>6</v>
      </c>
      <c r="E1349" s="1" t="inlineStr">
        <is>
          <t>CHO</t>
        </is>
      </c>
      <c r="F1349" s="1" t="n">
        <v>2.324</v>
      </c>
      <c r="G1349" s="1" t="n">
        <v>0.000403</v>
      </c>
    </row>
    <row r="1350">
      <c r="A1350" s="2" t="inlineStr">
        <is>
          <t>C10</t>
        </is>
      </c>
      <c r="B1350" s="2" t="n">
        <v>34</v>
      </c>
      <c r="C1350" s="2">
        <f>_xlfn.XLOOKUP(B1350,Results!$B$23:$B$119,Results!$D$23:$D$119)</f>
        <v/>
      </c>
      <c r="D1350" s="2" t="n">
        <v>7</v>
      </c>
      <c r="E1350" s="2" t="inlineStr">
        <is>
          <t>CHO</t>
        </is>
      </c>
      <c r="F1350" s="2" t="n">
        <v>2.3285</v>
      </c>
      <c r="G1350" s="2" t="n">
        <v>0.000697</v>
      </c>
    </row>
    <row r="1351">
      <c r="A1351" s="1" t="inlineStr">
        <is>
          <t>C10</t>
        </is>
      </c>
      <c r="B1351" s="1" t="n">
        <v>34</v>
      </c>
      <c r="C1351" s="2">
        <f>_xlfn.XLOOKUP(B1351,Results!$B$23:$B$119,Results!$D$23:$D$119)</f>
        <v/>
      </c>
      <c r="D1351" s="1" t="n">
        <v>8</v>
      </c>
      <c r="E1351" s="1" t="inlineStr">
        <is>
          <t>CHO</t>
        </is>
      </c>
      <c r="F1351" s="1" t="n">
        <v>2.3321</v>
      </c>
      <c r="G1351" s="1" t="n">
        <v>7.9e-05</v>
      </c>
    </row>
    <row r="1352">
      <c r="A1352" s="2" t="inlineStr">
        <is>
          <t>C10</t>
        </is>
      </c>
      <c r="B1352" s="2" t="n">
        <v>34</v>
      </c>
      <c r="C1352" s="2">
        <f>_xlfn.XLOOKUP(B1352,Results!$B$23:$B$119,Results!$D$23:$D$119)</f>
        <v/>
      </c>
      <c r="D1352" s="2" t="n">
        <v>9</v>
      </c>
      <c r="E1352" s="2" t="inlineStr">
        <is>
          <t>CHO</t>
        </is>
      </c>
      <c r="F1352" s="2" t="n">
        <v>2.3379</v>
      </c>
      <c r="G1352" s="2" t="n">
        <v>0.001739</v>
      </c>
    </row>
    <row r="1353">
      <c r="A1353" s="1" t="inlineStr">
        <is>
          <t>C10</t>
        </is>
      </c>
      <c r="B1353" s="1" t="n">
        <v>34</v>
      </c>
      <c r="C1353" s="2">
        <f>_xlfn.XLOOKUP(B1353,Results!$B$23:$B$119,Results!$D$23:$D$119)</f>
        <v/>
      </c>
      <c r="D1353" s="1" t="n">
        <v>10</v>
      </c>
      <c r="E1353" s="1" t="inlineStr">
        <is>
          <t>CHO</t>
        </is>
      </c>
      <c r="F1353" s="1" t="n">
        <v>2.3411</v>
      </c>
      <c r="G1353" s="1" t="n">
        <v>0.000729</v>
      </c>
    </row>
    <row r="1354">
      <c r="A1354" s="2" t="inlineStr">
        <is>
          <t>C10</t>
        </is>
      </c>
      <c r="B1354" s="2" t="n">
        <v>34</v>
      </c>
      <c r="C1354" s="2">
        <f>_xlfn.XLOOKUP(B1354,Results!$B$23:$B$119,Results!$D$23:$D$119)</f>
        <v/>
      </c>
      <c r="D1354" s="2" t="n">
        <v>11</v>
      </c>
      <c r="E1354" s="2" t="inlineStr">
        <is>
          <t>CHO</t>
        </is>
      </c>
      <c r="F1354" s="2" t="n">
        <v>2.3446</v>
      </c>
      <c r="G1354" s="2" t="n">
        <v>0.000144</v>
      </c>
    </row>
    <row r="1355">
      <c r="A1355" s="1" t="inlineStr">
        <is>
          <t>C10</t>
        </is>
      </c>
      <c r="B1355" s="1" t="n">
        <v>34</v>
      </c>
      <c r="C1355" s="2">
        <f>_xlfn.XLOOKUP(B1355,Results!$B$23:$B$119,Results!$D$23:$D$119)</f>
        <v/>
      </c>
      <c r="D1355" s="1" t="n">
        <v>12</v>
      </c>
      <c r="E1355" s="1" t="inlineStr">
        <is>
          <t>CHO</t>
        </is>
      </c>
      <c r="F1355" s="1" t="n">
        <v>2.3472</v>
      </c>
      <c r="G1355" s="1" t="n">
        <v>-0.00146</v>
      </c>
    </row>
    <row r="1356">
      <c r="A1356" s="2" t="inlineStr">
        <is>
          <t>C10</t>
        </is>
      </c>
      <c r="B1356" s="2" t="n">
        <v>34</v>
      </c>
      <c r="C1356" s="2">
        <f>_xlfn.XLOOKUP(B1356,Results!$B$23:$B$119,Results!$D$23:$D$119)</f>
        <v/>
      </c>
      <c r="D1356" s="2" t="n">
        <v>13</v>
      </c>
      <c r="E1356" s="2" t="inlineStr">
        <is>
          <t>CHO</t>
        </is>
      </c>
      <c r="F1356" s="2" t="n">
        <v>2.3521</v>
      </c>
      <c r="G1356" s="2" t="n">
        <v>-0.000762</v>
      </c>
    </row>
    <row r="1357">
      <c r="A1357" s="1" t="inlineStr">
        <is>
          <t>C10</t>
        </is>
      </c>
      <c r="B1357" s="1" t="n">
        <v>34</v>
      </c>
      <c r="C1357" s="2">
        <f>_xlfn.XLOOKUP(B1357,Results!$B$23:$B$119,Results!$D$23:$D$119)</f>
        <v/>
      </c>
      <c r="D1357" s="1" t="n">
        <v>14</v>
      </c>
      <c r="E1357" s="1" t="inlineStr">
        <is>
          <t>CHO</t>
        </is>
      </c>
      <c r="F1357" s="1" t="n">
        <v>2.3611</v>
      </c>
      <c r="G1357" s="1" t="n">
        <v>0.00413</v>
      </c>
    </row>
    <row r="1358">
      <c r="A1358" s="2" t="inlineStr">
        <is>
          <t>C10</t>
        </is>
      </c>
      <c r="B1358" s="2" t="n">
        <v>34</v>
      </c>
      <c r="C1358" s="2">
        <f>_xlfn.XLOOKUP(B1358,Results!$B$23:$B$119,Results!$D$23:$D$119)</f>
        <v/>
      </c>
      <c r="D1358" s="2" t="n">
        <v>15</v>
      </c>
      <c r="E1358" s="2" t="inlineStr">
        <is>
          <t>CHO</t>
        </is>
      </c>
      <c r="F1358" s="2" t="n">
        <v>2.3726</v>
      </c>
      <c r="G1358" s="2" t="n">
        <v>0.011383</v>
      </c>
    </row>
    <row r="1359">
      <c r="A1359" s="1" t="inlineStr">
        <is>
          <t>C10</t>
        </is>
      </c>
      <c r="B1359" s="1" t="n">
        <v>34</v>
      </c>
      <c r="C1359" s="2">
        <f>_xlfn.XLOOKUP(B1359,Results!$B$23:$B$119,Results!$D$23:$D$119)</f>
        <v/>
      </c>
      <c r="D1359" s="1" t="n">
        <v>16</v>
      </c>
      <c r="E1359" s="1" t="inlineStr">
        <is>
          <t>CHO</t>
        </is>
      </c>
      <c r="F1359" s="1" t="n">
        <v>2.3866</v>
      </c>
      <c r="G1359" s="1" t="n">
        <v>0.021298</v>
      </c>
    </row>
    <row r="1360">
      <c r="A1360" s="2" t="inlineStr">
        <is>
          <t>C10</t>
        </is>
      </c>
      <c r="B1360" s="2" t="n">
        <v>34</v>
      </c>
      <c r="C1360" s="2">
        <f>_xlfn.XLOOKUP(B1360,Results!$B$23:$B$119,Results!$D$23:$D$119)</f>
        <v/>
      </c>
      <c r="D1360" s="2" t="n">
        <v>17</v>
      </c>
      <c r="E1360" s="2" t="inlineStr">
        <is>
          <t>CHO</t>
        </is>
      </c>
      <c r="F1360" s="2" t="n">
        <v>2.4091</v>
      </c>
      <c r="G1360" s="2" t="n">
        <v>0.039631</v>
      </c>
    </row>
    <row r="1361">
      <c r="A1361" s="1" t="inlineStr">
        <is>
          <t>C10</t>
        </is>
      </c>
      <c r="B1361" s="1" t="n">
        <v>34</v>
      </c>
      <c r="C1361" s="2">
        <f>_xlfn.XLOOKUP(B1361,Results!$B$23:$B$119,Results!$D$23:$D$119)</f>
        <v/>
      </c>
      <c r="D1361" s="1" t="n">
        <v>18</v>
      </c>
      <c r="E1361" s="1" t="inlineStr">
        <is>
          <t>CHO</t>
        </is>
      </c>
      <c r="F1361" s="1" t="n">
        <v>2.4466</v>
      </c>
      <c r="G1361" s="1" t="n">
        <v>0.07289</v>
      </c>
    </row>
    <row r="1362">
      <c r="A1362" s="2" t="inlineStr">
        <is>
          <t>C10</t>
        </is>
      </c>
      <c r="B1362" s="2" t="n">
        <v>34</v>
      </c>
      <c r="C1362" s="2">
        <f>_xlfn.XLOOKUP(B1362,Results!$B$23:$B$119,Results!$D$23:$D$119)</f>
        <v/>
      </c>
      <c r="D1362" s="2" t="n">
        <v>19</v>
      </c>
      <c r="E1362" s="2" t="inlineStr">
        <is>
          <t>CHO</t>
        </is>
      </c>
      <c r="F1362" s="2" t="n">
        <v>2.5156</v>
      </c>
      <c r="G1362" s="2" t="n">
        <v>0.137733</v>
      </c>
    </row>
    <row r="1363">
      <c r="A1363" s="1" t="inlineStr">
        <is>
          <t>C10</t>
        </is>
      </c>
      <c r="B1363" s="1" t="n">
        <v>34</v>
      </c>
      <c r="C1363" s="2">
        <f>_xlfn.XLOOKUP(B1363,Results!$B$23:$B$119,Results!$D$23:$D$119)</f>
        <v/>
      </c>
      <c r="D1363" s="1" t="n">
        <v>20</v>
      </c>
      <c r="E1363" s="1" t="inlineStr">
        <is>
          <t>CHO</t>
        </is>
      </c>
      <c r="F1363" s="1" t="n">
        <v>2.6432</v>
      </c>
      <c r="G1363" s="1" t="n">
        <v>0.261131</v>
      </c>
    </row>
    <row r="1364">
      <c r="A1364" s="2" t="inlineStr">
        <is>
          <t>C10</t>
        </is>
      </c>
      <c r="B1364" s="2" t="n">
        <v>34</v>
      </c>
      <c r="C1364" s="2">
        <f>_xlfn.XLOOKUP(B1364,Results!$B$23:$B$119,Results!$D$23:$D$119)</f>
        <v/>
      </c>
      <c r="D1364" s="2" t="n">
        <v>21</v>
      </c>
      <c r="E1364" s="2" t="inlineStr">
        <is>
          <t>CHO</t>
        </is>
      </c>
      <c r="F1364" s="2" t="n">
        <v>2.8548</v>
      </c>
      <c r="G1364" s="2" t="n">
        <v>0.468573</v>
      </c>
    </row>
    <row r="1365">
      <c r="A1365" s="1" t="inlineStr">
        <is>
          <t>C10</t>
        </is>
      </c>
      <c r="B1365" s="1" t="n">
        <v>34</v>
      </c>
      <c r="C1365" s="2">
        <f>_xlfn.XLOOKUP(B1365,Results!$B$23:$B$119,Results!$D$23:$D$119)</f>
        <v/>
      </c>
      <c r="D1365" s="1" t="n">
        <v>22</v>
      </c>
      <c r="E1365" s="1" t="inlineStr">
        <is>
          <t>CHO</t>
        </is>
      </c>
      <c r="F1365" s="1" t="n">
        <v>3.1676</v>
      </c>
      <c r="G1365" s="1" t="n">
        <v>0.777241</v>
      </c>
    </row>
    <row r="1366">
      <c r="A1366" s="2" t="inlineStr">
        <is>
          <t>C10</t>
        </is>
      </c>
      <c r="B1366" s="2" t="n">
        <v>34</v>
      </c>
      <c r="C1366" s="2">
        <f>_xlfn.XLOOKUP(B1366,Results!$B$23:$B$119,Results!$D$23:$D$119)</f>
        <v/>
      </c>
      <c r="D1366" s="2" t="n">
        <v>23</v>
      </c>
      <c r="E1366" s="2" t="inlineStr">
        <is>
          <t>CHO</t>
        </is>
      </c>
      <c r="F1366" s="2" t="n">
        <v>3.5559</v>
      </c>
      <c r="G1366" s="2" t="n">
        <v>1.161339</v>
      </c>
    </row>
    <row r="1367">
      <c r="A1367" s="1" t="inlineStr">
        <is>
          <t>C10</t>
        </is>
      </c>
      <c r="B1367" s="1" t="n">
        <v>34</v>
      </c>
      <c r="C1367" s="2">
        <f>_xlfn.XLOOKUP(B1367,Results!$B$23:$B$119,Results!$D$23:$D$119)</f>
        <v/>
      </c>
      <c r="D1367" s="1" t="n">
        <v>24</v>
      </c>
      <c r="E1367" s="1" t="inlineStr">
        <is>
          <t>CHO</t>
        </is>
      </c>
      <c r="F1367" s="1" t="n">
        <v>3.9955</v>
      </c>
      <c r="G1367" s="1" t="n">
        <v>1.59682</v>
      </c>
    </row>
    <row r="1368">
      <c r="A1368" s="2" t="inlineStr">
        <is>
          <t>C10</t>
        </is>
      </c>
      <c r="B1368" s="2" t="n">
        <v>34</v>
      </c>
      <c r="C1368" s="2">
        <f>_xlfn.XLOOKUP(B1368,Results!$B$23:$B$119,Results!$D$23:$D$119)</f>
        <v/>
      </c>
      <c r="D1368" s="2" t="n">
        <v>25</v>
      </c>
      <c r="E1368" s="2" t="inlineStr">
        <is>
          <t>CHO</t>
        </is>
      </c>
      <c r="F1368" s="2" t="n">
        <v>4.4429</v>
      </c>
      <c r="G1368" s="2" t="n">
        <v>2.04002</v>
      </c>
    </row>
    <row r="1369">
      <c r="A1369" s="1" t="inlineStr">
        <is>
          <t>C10</t>
        </is>
      </c>
      <c r="B1369" s="1" t="n">
        <v>34</v>
      </c>
      <c r="C1369" s="2">
        <f>_xlfn.XLOOKUP(B1369,Results!$B$23:$B$119,Results!$D$23:$D$119)</f>
        <v/>
      </c>
      <c r="D1369" s="1" t="n">
        <v>26</v>
      </c>
      <c r="E1369" s="1" t="inlineStr">
        <is>
          <t>CHO</t>
        </is>
      </c>
      <c r="F1369" s="1" t="n">
        <v>4.8586</v>
      </c>
      <c r="G1369" s="1" t="n">
        <v>2.451522</v>
      </c>
    </row>
    <row r="1370">
      <c r="A1370" s="2" t="inlineStr">
        <is>
          <t>C10</t>
        </is>
      </c>
      <c r="B1370" s="2" t="n">
        <v>34</v>
      </c>
      <c r="C1370" s="2">
        <f>_xlfn.XLOOKUP(B1370,Results!$B$23:$B$119,Results!$D$23:$D$119)</f>
        <v/>
      </c>
      <c r="D1370" s="2" t="n">
        <v>27</v>
      </c>
      <c r="E1370" s="2" t="inlineStr">
        <is>
          <t>CHO</t>
        </is>
      </c>
      <c r="F1370" s="2" t="n">
        <v>5.2401</v>
      </c>
      <c r="G1370" s="2" t="n">
        <v>2.828856</v>
      </c>
    </row>
    <row r="1371">
      <c r="A1371" s="1" t="inlineStr">
        <is>
          <t>C10</t>
        </is>
      </c>
      <c r="B1371" s="1" t="n">
        <v>34</v>
      </c>
      <c r="C1371" s="2">
        <f>_xlfn.XLOOKUP(B1371,Results!$B$23:$B$119,Results!$D$23:$D$119)</f>
        <v/>
      </c>
      <c r="D1371" s="1" t="n">
        <v>28</v>
      </c>
      <c r="E1371" s="1" t="inlineStr">
        <is>
          <t>CHO</t>
        </is>
      </c>
      <c r="F1371" s="1" t="n">
        <v>5.572</v>
      </c>
      <c r="G1371" s="1" t="n">
        <v>3.156655</v>
      </c>
    </row>
    <row r="1372">
      <c r="A1372" s="2" t="inlineStr">
        <is>
          <t>C10</t>
        </is>
      </c>
      <c r="B1372" s="2" t="n">
        <v>34</v>
      </c>
      <c r="C1372" s="2">
        <f>_xlfn.XLOOKUP(B1372,Results!$B$23:$B$119,Results!$D$23:$D$119)</f>
        <v/>
      </c>
      <c r="D1372" s="2" t="n">
        <v>29</v>
      </c>
      <c r="E1372" s="2" t="inlineStr">
        <is>
          <t>CHO</t>
        </is>
      </c>
      <c r="F1372" s="2" t="n">
        <v>5.867</v>
      </c>
      <c r="G1372" s="2" t="n">
        <v>3.447436</v>
      </c>
    </row>
    <row r="1373">
      <c r="A1373" s="1" t="inlineStr">
        <is>
          <t>C10</t>
        </is>
      </c>
      <c r="B1373" s="1" t="n">
        <v>34</v>
      </c>
      <c r="C1373" s="2">
        <f>_xlfn.XLOOKUP(B1373,Results!$B$23:$B$119,Results!$D$23:$D$119)</f>
        <v/>
      </c>
      <c r="D1373" s="1" t="n">
        <v>30</v>
      </c>
      <c r="E1373" s="1" t="inlineStr">
        <is>
          <t>CHO</t>
        </is>
      </c>
      <c r="F1373" s="1" t="n">
        <v>6.1115</v>
      </c>
      <c r="G1373" s="1" t="n">
        <v>3.687813</v>
      </c>
    </row>
    <row r="1374">
      <c r="A1374" s="2" t="inlineStr">
        <is>
          <t>C10</t>
        </is>
      </c>
      <c r="B1374" s="2" t="n">
        <v>34</v>
      </c>
      <c r="C1374" s="2">
        <f>_xlfn.XLOOKUP(B1374,Results!$B$23:$B$119,Results!$D$23:$D$119)</f>
        <v/>
      </c>
      <c r="D1374" s="2" t="n">
        <v>31</v>
      </c>
      <c r="E1374" s="2" t="inlineStr">
        <is>
          <t>CHO</t>
        </is>
      </c>
      <c r="F1374" s="2" t="n">
        <v>6.3381</v>
      </c>
      <c r="G1374" s="2" t="n">
        <v>3.910164</v>
      </c>
    </row>
    <row r="1375">
      <c r="A1375" s="1" t="inlineStr">
        <is>
          <t>C10</t>
        </is>
      </c>
      <c r="B1375" s="1" t="n">
        <v>34</v>
      </c>
      <c r="C1375" s="2">
        <f>_xlfn.XLOOKUP(B1375,Results!$B$23:$B$119,Results!$D$23:$D$119)</f>
        <v/>
      </c>
      <c r="D1375" s="1" t="n">
        <v>32</v>
      </c>
      <c r="E1375" s="1" t="inlineStr">
        <is>
          <t>CHO</t>
        </is>
      </c>
      <c r="F1375" s="1" t="n">
        <v>6.5184</v>
      </c>
      <c r="G1375" s="1" t="n">
        <v>4.086311</v>
      </c>
    </row>
    <row r="1376">
      <c r="A1376" s="2" t="inlineStr">
        <is>
          <t>C10</t>
        </is>
      </c>
      <c r="B1376" s="2" t="n">
        <v>34</v>
      </c>
      <c r="C1376" s="2">
        <f>_xlfn.XLOOKUP(B1376,Results!$B$23:$B$119,Results!$D$23:$D$119)</f>
        <v/>
      </c>
      <c r="D1376" s="2" t="n">
        <v>33</v>
      </c>
      <c r="E1376" s="2" t="inlineStr">
        <is>
          <t>CHO</t>
        </is>
      </c>
      <c r="F1376" s="2" t="n">
        <v>6.6747</v>
      </c>
      <c r="G1376" s="2" t="n">
        <v>4.23847</v>
      </c>
    </row>
    <row r="1377">
      <c r="A1377" s="1" t="inlineStr">
        <is>
          <t>C10</t>
        </is>
      </c>
      <c r="B1377" s="1" t="n">
        <v>34</v>
      </c>
      <c r="C1377" s="2">
        <f>_xlfn.XLOOKUP(B1377,Results!$B$23:$B$119,Results!$D$23:$D$119)</f>
        <v/>
      </c>
      <c r="D1377" s="1" t="n">
        <v>34</v>
      </c>
      <c r="E1377" s="1" t="inlineStr">
        <is>
          <t>CHO</t>
        </is>
      </c>
      <c r="F1377" s="1" t="n">
        <v>6.8081</v>
      </c>
      <c r="G1377" s="1" t="n">
        <v>4.36768</v>
      </c>
    </row>
    <row r="1378">
      <c r="A1378" s="2" t="inlineStr">
        <is>
          <t>C10</t>
        </is>
      </c>
      <c r="B1378" s="2" t="n">
        <v>34</v>
      </c>
      <c r="C1378" s="2">
        <f>_xlfn.XLOOKUP(B1378,Results!$B$23:$B$119,Results!$D$23:$D$119)</f>
        <v/>
      </c>
      <c r="D1378" s="2" t="n">
        <v>35</v>
      </c>
      <c r="E1378" s="2" t="inlineStr">
        <is>
          <t>CHO</t>
        </is>
      </c>
      <c r="F1378" s="2" t="n">
        <v>6.9324</v>
      </c>
      <c r="G1378" s="2" t="n">
        <v>4.487843</v>
      </c>
    </row>
    <row r="1379">
      <c r="A1379" s="1" t="inlineStr">
        <is>
          <t>C10</t>
        </is>
      </c>
      <c r="B1379" s="1" t="n">
        <v>34</v>
      </c>
      <c r="C1379" s="2">
        <f>_xlfn.XLOOKUP(B1379,Results!$B$23:$B$119,Results!$D$23:$D$119)</f>
        <v/>
      </c>
      <c r="D1379" s="1" t="n">
        <v>36</v>
      </c>
      <c r="E1379" s="1" t="inlineStr">
        <is>
          <t>CHO</t>
        </is>
      </c>
      <c r="F1379" s="1" t="n">
        <v>7.0342</v>
      </c>
      <c r="G1379" s="1" t="n">
        <v>4.585474</v>
      </c>
    </row>
    <row r="1380">
      <c r="A1380" s="2" t="inlineStr">
        <is>
          <t>C10</t>
        </is>
      </c>
      <c r="B1380" s="2" t="n">
        <v>34</v>
      </c>
      <c r="C1380" s="2">
        <f>_xlfn.XLOOKUP(B1380,Results!$B$23:$B$119,Results!$D$23:$D$119)</f>
        <v/>
      </c>
      <c r="D1380" s="2" t="n">
        <v>37</v>
      </c>
      <c r="E1380" s="2" t="inlineStr">
        <is>
          <t>CHO</t>
        </is>
      </c>
      <c r="F1380" s="2" t="n">
        <v>7.1248</v>
      </c>
      <c r="G1380" s="2" t="n">
        <v>4.671874</v>
      </c>
    </row>
    <row r="1381">
      <c r="A1381" s="1" t="inlineStr">
        <is>
          <t>C10</t>
        </is>
      </c>
      <c r="B1381" s="1" t="n">
        <v>34</v>
      </c>
      <c r="C1381" s="2">
        <f>_xlfn.XLOOKUP(B1381,Results!$B$23:$B$119,Results!$D$23:$D$119)</f>
        <v/>
      </c>
      <c r="D1381" s="1" t="n">
        <v>38</v>
      </c>
      <c r="E1381" s="1" t="inlineStr">
        <is>
          <t>CHO</t>
        </is>
      </c>
      <c r="F1381" s="1" t="n">
        <v>7.192</v>
      </c>
      <c r="G1381" s="1" t="n">
        <v>4.734942</v>
      </c>
    </row>
    <row r="1382">
      <c r="A1382" s="2" t="inlineStr">
        <is>
          <t>C10</t>
        </is>
      </c>
      <c r="B1382" s="2" t="n">
        <v>34</v>
      </c>
      <c r="C1382" s="2">
        <f>_xlfn.XLOOKUP(B1382,Results!$B$23:$B$119,Results!$D$23:$D$119)</f>
        <v/>
      </c>
      <c r="D1382" s="2" t="n">
        <v>39</v>
      </c>
      <c r="E1382" s="2" t="inlineStr">
        <is>
          <t>CHO</t>
        </is>
      </c>
      <c r="F1382" s="2" t="n">
        <v>7.2704</v>
      </c>
      <c r="G1382" s="2" t="n">
        <v>4.80916</v>
      </c>
    </row>
    <row r="1383">
      <c r="A1383" s="1" t="inlineStr">
        <is>
          <t>C10</t>
        </is>
      </c>
      <c r="B1383" s="1" t="n">
        <v>34</v>
      </c>
      <c r="C1383" s="2">
        <f>_xlfn.XLOOKUP(B1383,Results!$B$23:$B$119,Results!$D$23:$D$119)</f>
        <v/>
      </c>
      <c r="D1383" s="1" t="n">
        <v>40</v>
      </c>
      <c r="E1383" s="1" t="inlineStr">
        <is>
          <t>CHO</t>
        </is>
      </c>
      <c r="F1383" s="1" t="n">
        <v>7.3297</v>
      </c>
      <c r="G1383" s="1" t="n">
        <v>4.864263</v>
      </c>
    </row>
    <row r="1384">
      <c r="A1384" s="2" t="inlineStr">
        <is>
          <t>C11</t>
        </is>
      </c>
      <c r="B1384" s="2" t="n">
        <v>35</v>
      </c>
      <c r="C1384" s="2">
        <f>_xlfn.XLOOKUP(B1384,Results!$B$23:$B$119,Results!$D$23:$D$119)</f>
        <v/>
      </c>
      <c r="D1384" s="2" t="n">
        <v>1</v>
      </c>
      <c r="E1384" s="2" t="inlineStr">
        <is>
          <t>CHO</t>
        </is>
      </c>
      <c r="F1384" s="2" t="n">
        <v>2.2501</v>
      </c>
      <c r="G1384" s="2" t="n">
        <v>0.006455</v>
      </c>
    </row>
    <row r="1385">
      <c r="A1385" s="1" t="inlineStr">
        <is>
          <t>C11</t>
        </is>
      </c>
      <c r="B1385" s="1" t="n">
        <v>35</v>
      </c>
      <c r="C1385" s="2">
        <f>_xlfn.XLOOKUP(B1385,Results!$B$23:$B$119,Results!$D$23:$D$119)</f>
        <v/>
      </c>
      <c r="D1385" s="1" t="n">
        <v>2</v>
      </c>
      <c r="E1385" s="1" t="inlineStr">
        <is>
          <t>CHO</t>
        </is>
      </c>
      <c r="F1385" s="1" t="n">
        <v>2.2503</v>
      </c>
      <c r="G1385" s="1" t="n">
        <v>0.001424</v>
      </c>
    </row>
    <row r="1386">
      <c r="A1386" s="2" t="inlineStr">
        <is>
          <t>C11</t>
        </is>
      </c>
      <c r="B1386" s="2" t="n">
        <v>35</v>
      </c>
      <c r="C1386" s="2">
        <f>_xlfn.XLOOKUP(B1386,Results!$B$23:$B$119,Results!$D$23:$D$119)</f>
        <v/>
      </c>
      <c r="D1386" s="2" t="n">
        <v>3</v>
      </c>
      <c r="E1386" s="2" t="inlineStr">
        <is>
          <t>CHO</t>
        </is>
      </c>
      <c r="F1386" s="2" t="n">
        <v>2.2548</v>
      </c>
      <c r="G1386" s="2" t="n">
        <v>0.000635</v>
      </c>
    </row>
    <row r="1387">
      <c r="A1387" s="1" t="inlineStr">
        <is>
          <t>C11</t>
        </is>
      </c>
      <c r="B1387" s="1" t="n">
        <v>35</v>
      </c>
      <c r="C1387" s="2">
        <f>_xlfn.XLOOKUP(B1387,Results!$B$23:$B$119,Results!$D$23:$D$119)</f>
        <v/>
      </c>
      <c r="D1387" s="1" t="n">
        <v>4</v>
      </c>
      <c r="E1387" s="1" t="inlineStr">
        <is>
          <t>CHO</t>
        </is>
      </c>
      <c r="F1387" s="1" t="n">
        <v>2.2606</v>
      </c>
      <c r="G1387" s="1" t="n">
        <v>0.001198</v>
      </c>
    </row>
    <row r="1388">
      <c r="A1388" s="2" t="inlineStr">
        <is>
          <t>C11</t>
        </is>
      </c>
      <c r="B1388" s="2" t="n">
        <v>35</v>
      </c>
      <c r="C1388" s="2">
        <f>_xlfn.XLOOKUP(B1388,Results!$B$23:$B$119,Results!$D$23:$D$119)</f>
        <v/>
      </c>
      <c r="D1388" s="2" t="n">
        <v>5</v>
      </c>
      <c r="E1388" s="2" t="inlineStr">
        <is>
          <t>CHO</t>
        </is>
      </c>
      <c r="F1388" s="2" t="n">
        <v>2.2658</v>
      </c>
      <c r="G1388" s="2" t="n">
        <v>0.00119</v>
      </c>
    </row>
    <row r="1389">
      <c r="A1389" s="1" t="inlineStr">
        <is>
          <t>C11</t>
        </is>
      </c>
      <c r="B1389" s="1" t="n">
        <v>35</v>
      </c>
      <c r="C1389" s="2">
        <f>_xlfn.XLOOKUP(B1389,Results!$B$23:$B$119,Results!$D$23:$D$119)</f>
        <v/>
      </c>
      <c r="D1389" s="1" t="n">
        <v>6</v>
      </c>
      <c r="E1389" s="1" t="inlineStr">
        <is>
          <t>CHO</t>
        </is>
      </c>
      <c r="F1389" s="1" t="n">
        <v>2.2727</v>
      </c>
      <c r="G1389" s="1" t="n">
        <v>0.002803</v>
      </c>
    </row>
    <row r="1390">
      <c r="A1390" s="2" t="inlineStr">
        <is>
          <t>C11</t>
        </is>
      </c>
      <c r="B1390" s="2" t="n">
        <v>35</v>
      </c>
      <c r="C1390" s="2">
        <f>_xlfn.XLOOKUP(B1390,Results!$B$23:$B$119,Results!$D$23:$D$119)</f>
        <v/>
      </c>
      <c r="D1390" s="2" t="n">
        <v>7</v>
      </c>
      <c r="E1390" s="2" t="inlineStr">
        <is>
          <t>CHO</t>
        </is>
      </c>
      <c r="F1390" s="2" t="n">
        <v>2.2743</v>
      </c>
      <c r="G1390" s="2" t="n">
        <v>-0.000828</v>
      </c>
    </row>
    <row r="1391">
      <c r="A1391" s="1" t="inlineStr">
        <is>
          <t>C11</t>
        </is>
      </c>
      <c r="B1391" s="1" t="n">
        <v>35</v>
      </c>
      <c r="C1391" s="2">
        <f>_xlfn.XLOOKUP(B1391,Results!$B$23:$B$119,Results!$D$23:$D$119)</f>
        <v/>
      </c>
      <c r="D1391" s="1" t="n">
        <v>8</v>
      </c>
      <c r="E1391" s="1" t="inlineStr">
        <is>
          <t>CHO</t>
        </is>
      </c>
      <c r="F1391" s="1" t="n">
        <v>2.2776</v>
      </c>
      <c r="G1391" s="1" t="n">
        <v>-0.002807</v>
      </c>
    </row>
    <row r="1392">
      <c r="A1392" s="2" t="inlineStr">
        <is>
          <t>C11</t>
        </is>
      </c>
      <c r="B1392" s="2" t="n">
        <v>35</v>
      </c>
      <c r="C1392" s="2">
        <f>_xlfn.XLOOKUP(B1392,Results!$B$23:$B$119,Results!$D$23:$D$119)</f>
        <v/>
      </c>
      <c r="D1392" s="2" t="n">
        <v>9</v>
      </c>
      <c r="E1392" s="2" t="inlineStr">
        <is>
          <t>CHO</t>
        </is>
      </c>
      <c r="F1392" s="2" t="n">
        <v>2.285</v>
      </c>
      <c r="G1392" s="2" t="n">
        <v>-0.000628</v>
      </c>
    </row>
    <row r="1393">
      <c r="A1393" s="1" t="inlineStr">
        <is>
          <t>C11</t>
        </is>
      </c>
      <c r="B1393" s="1" t="n">
        <v>35</v>
      </c>
      <c r="C1393" s="2">
        <f>_xlfn.XLOOKUP(B1393,Results!$B$23:$B$119,Results!$D$23:$D$119)</f>
        <v/>
      </c>
      <c r="D1393" s="1" t="n">
        <v>10</v>
      </c>
      <c r="E1393" s="1" t="inlineStr">
        <is>
          <t>CHO</t>
        </is>
      </c>
      <c r="F1393" s="1" t="n">
        <v>2.2888</v>
      </c>
      <c r="G1393" s="1" t="n">
        <v>-0.002074</v>
      </c>
    </row>
    <row r="1394">
      <c r="A1394" s="2" t="inlineStr">
        <is>
          <t>C11</t>
        </is>
      </c>
      <c r="B1394" s="2" t="n">
        <v>35</v>
      </c>
      <c r="C1394" s="2">
        <f>_xlfn.XLOOKUP(B1394,Results!$B$23:$B$119,Results!$D$23:$D$119)</f>
        <v/>
      </c>
      <c r="D1394" s="2" t="n">
        <v>11</v>
      </c>
      <c r="E1394" s="2" t="inlineStr">
        <is>
          <t>CHO</t>
        </is>
      </c>
      <c r="F1394" s="2" t="n">
        <v>2.2929</v>
      </c>
      <c r="G1394" s="2" t="n">
        <v>-0.003253</v>
      </c>
    </row>
    <row r="1395">
      <c r="A1395" s="1" t="inlineStr">
        <is>
          <t>C11</t>
        </is>
      </c>
      <c r="B1395" s="1" t="n">
        <v>35</v>
      </c>
      <c r="C1395" s="2">
        <f>_xlfn.XLOOKUP(B1395,Results!$B$23:$B$119,Results!$D$23:$D$119)</f>
        <v/>
      </c>
      <c r="D1395" s="1" t="n">
        <v>12</v>
      </c>
      <c r="E1395" s="1" t="inlineStr">
        <is>
          <t>CHO</t>
        </is>
      </c>
      <c r="F1395" s="1" t="n">
        <v>2.2991</v>
      </c>
      <c r="G1395" s="1" t="n">
        <v>-0.002336</v>
      </c>
    </row>
    <row r="1396">
      <c r="A1396" s="2" t="inlineStr">
        <is>
          <t>C11</t>
        </is>
      </c>
      <c r="B1396" s="2" t="n">
        <v>35</v>
      </c>
      <c r="C1396" s="2">
        <f>_xlfn.XLOOKUP(B1396,Results!$B$23:$B$119,Results!$D$23:$D$119)</f>
        <v/>
      </c>
      <c r="D1396" s="2" t="n">
        <v>13</v>
      </c>
      <c r="E1396" s="2" t="inlineStr">
        <is>
          <t>CHO</t>
        </is>
      </c>
      <c r="F1396" s="2" t="n">
        <v>2.3072</v>
      </c>
      <c r="G1396" s="2" t="n">
        <v>0.000529</v>
      </c>
    </row>
    <row r="1397">
      <c r="A1397" s="1" t="inlineStr">
        <is>
          <t>C11</t>
        </is>
      </c>
      <c r="B1397" s="1" t="n">
        <v>35</v>
      </c>
      <c r="C1397" s="2">
        <f>_xlfn.XLOOKUP(B1397,Results!$B$23:$B$119,Results!$D$23:$D$119)</f>
        <v/>
      </c>
      <c r="D1397" s="1" t="n">
        <v>14</v>
      </c>
      <c r="E1397" s="1" t="inlineStr">
        <is>
          <t>CHO</t>
        </is>
      </c>
      <c r="F1397" s="1" t="n">
        <v>2.3134</v>
      </c>
      <c r="G1397" s="1" t="n">
        <v>0.001434</v>
      </c>
    </row>
    <row r="1398">
      <c r="A1398" s="2" t="inlineStr">
        <is>
          <t>C11</t>
        </is>
      </c>
      <c r="B1398" s="2" t="n">
        <v>35</v>
      </c>
      <c r="C1398" s="2">
        <f>_xlfn.XLOOKUP(B1398,Results!$B$23:$B$119,Results!$D$23:$D$119)</f>
        <v/>
      </c>
      <c r="D1398" s="2" t="n">
        <v>15</v>
      </c>
      <c r="E1398" s="2" t="inlineStr">
        <is>
          <t>CHO</t>
        </is>
      </c>
      <c r="F1398" s="2" t="n">
        <v>2.3213</v>
      </c>
      <c r="G1398" s="2" t="n">
        <v>0.004135</v>
      </c>
    </row>
    <row r="1399">
      <c r="A1399" s="1" t="inlineStr">
        <is>
          <t>C11</t>
        </is>
      </c>
      <c r="B1399" s="1" t="n">
        <v>35</v>
      </c>
      <c r="C1399" s="2">
        <f>_xlfn.XLOOKUP(B1399,Results!$B$23:$B$119,Results!$D$23:$D$119)</f>
        <v/>
      </c>
      <c r="D1399" s="1" t="n">
        <v>16</v>
      </c>
      <c r="E1399" s="1" t="inlineStr">
        <is>
          <t>CHO</t>
        </is>
      </c>
      <c r="F1399" s="1" t="n">
        <v>2.3335</v>
      </c>
      <c r="G1399" s="1" t="n">
        <v>0.011086</v>
      </c>
    </row>
    <row r="1400">
      <c r="A1400" s="2" t="inlineStr">
        <is>
          <t>C11</t>
        </is>
      </c>
      <c r="B1400" s="2" t="n">
        <v>35</v>
      </c>
      <c r="C1400" s="2">
        <f>_xlfn.XLOOKUP(B1400,Results!$B$23:$B$119,Results!$D$23:$D$119)</f>
        <v/>
      </c>
      <c r="D1400" s="2" t="n">
        <v>17</v>
      </c>
      <c r="E1400" s="2" t="inlineStr">
        <is>
          <t>CHO</t>
        </is>
      </c>
      <c r="F1400" s="2" t="n">
        <v>2.3546</v>
      </c>
      <c r="G1400" s="2" t="n">
        <v>0.026866</v>
      </c>
    </row>
    <row r="1401">
      <c r="A1401" s="1" t="inlineStr">
        <is>
          <t>C11</t>
        </is>
      </c>
      <c r="B1401" s="1" t="n">
        <v>35</v>
      </c>
      <c r="C1401" s="2">
        <f>_xlfn.XLOOKUP(B1401,Results!$B$23:$B$119,Results!$D$23:$D$119)</f>
        <v/>
      </c>
      <c r="D1401" s="1" t="n">
        <v>18</v>
      </c>
      <c r="E1401" s="1" t="inlineStr">
        <is>
          <t>CHO</t>
        </is>
      </c>
      <c r="F1401" s="1" t="n">
        <v>2.3935</v>
      </c>
      <c r="G1401" s="1" t="n">
        <v>0.060544</v>
      </c>
    </row>
    <row r="1402">
      <c r="A1402" s="2" t="inlineStr">
        <is>
          <t>C11</t>
        </is>
      </c>
      <c r="B1402" s="2" t="n">
        <v>35</v>
      </c>
      <c r="C1402" s="2">
        <f>_xlfn.XLOOKUP(B1402,Results!$B$23:$B$119,Results!$D$23:$D$119)</f>
        <v/>
      </c>
      <c r="D1402" s="2" t="n">
        <v>19</v>
      </c>
      <c r="E1402" s="2" t="inlineStr">
        <is>
          <t>CHO</t>
        </is>
      </c>
      <c r="F1402" s="2" t="n">
        <v>2.4626</v>
      </c>
      <c r="G1402" s="2" t="n">
        <v>0.124354</v>
      </c>
    </row>
    <row r="1403">
      <c r="A1403" s="1" t="inlineStr">
        <is>
          <t>C11</t>
        </is>
      </c>
      <c r="B1403" s="1" t="n">
        <v>35</v>
      </c>
      <c r="C1403" s="2">
        <f>_xlfn.XLOOKUP(B1403,Results!$B$23:$B$119,Results!$D$23:$D$119)</f>
        <v/>
      </c>
      <c r="D1403" s="1" t="n">
        <v>20</v>
      </c>
      <c r="E1403" s="1" t="inlineStr">
        <is>
          <t>CHO</t>
        </is>
      </c>
      <c r="F1403" s="1" t="n">
        <v>2.5872</v>
      </c>
      <c r="G1403" s="1" t="n">
        <v>0.243766</v>
      </c>
    </row>
    <row r="1404">
      <c r="A1404" s="2" t="inlineStr">
        <is>
          <t>C11</t>
        </is>
      </c>
      <c r="B1404" s="2" t="n">
        <v>35</v>
      </c>
      <c r="C1404" s="2">
        <f>_xlfn.XLOOKUP(B1404,Results!$B$23:$B$119,Results!$D$23:$D$119)</f>
        <v/>
      </c>
      <c r="D1404" s="2" t="n">
        <v>21</v>
      </c>
      <c r="E1404" s="2" t="inlineStr">
        <is>
          <t>CHO</t>
        </is>
      </c>
      <c r="F1404" s="2" t="n">
        <v>2.7918</v>
      </c>
      <c r="G1404" s="2" t="n">
        <v>0.443036</v>
      </c>
    </row>
    <row r="1405">
      <c r="A1405" s="1" t="inlineStr">
        <is>
          <t>C11</t>
        </is>
      </c>
      <c r="B1405" s="1" t="n">
        <v>35</v>
      </c>
      <c r="C1405" s="2">
        <f>_xlfn.XLOOKUP(B1405,Results!$B$23:$B$119,Results!$D$23:$D$119)</f>
        <v/>
      </c>
      <c r="D1405" s="1" t="n">
        <v>22</v>
      </c>
      <c r="E1405" s="1" t="inlineStr">
        <is>
          <t>CHO</t>
        </is>
      </c>
      <c r="F1405" s="1" t="n">
        <v>3.0855</v>
      </c>
      <c r="G1405" s="1" t="n">
        <v>0.731495</v>
      </c>
    </row>
    <row r="1406">
      <c r="A1406" s="2" t="inlineStr">
        <is>
          <t>C11</t>
        </is>
      </c>
      <c r="B1406" s="2" t="n">
        <v>35</v>
      </c>
      <c r="C1406" s="2">
        <f>_xlfn.XLOOKUP(B1406,Results!$B$23:$B$119,Results!$D$23:$D$119)</f>
        <v/>
      </c>
      <c r="D1406" s="2" t="n">
        <v>23</v>
      </c>
      <c r="E1406" s="2" t="inlineStr">
        <is>
          <t>CHO</t>
        </is>
      </c>
      <c r="F1406" s="2" t="n">
        <v>3.4668</v>
      </c>
      <c r="G1406" s="2" t="n">
        <v>1.107588</v>
      </c>
    </row>
    <row r="1407">
      <c r="A1407" s="1" t="inlineStr">
        <is>
          <t>C11</t>
        </is>
      </c>
      <c r="B1407" s="1" t="n">
        <v>35</v>
      </c>
      <c r="C1407" s="2">
        <f>_xlfn.XLOOKUP(B1407,Results!$B$23:$B$119,Results!$D$23:$D$119)</f>
        <v/>
      </c>
      <c r="D1407" s="1" t="n">
        <v>24</v>
      </c>
      <c r="E1407" s="1" t="inlineStr">
        <is>
          <t>CHO</t>
        </is>
      </c>
      <c r="F1407" s="1" t="n">
        <v>3.8974</v>
      </c>
      <c r="G1407" s="1" t="n">
        <v>1.532937</v>
      </c>
    </row>
    <row r="1408">
      <c r="A1408" s="2" t="inlineStr">
        <is>
          <t>C11</t>
        </is>
      </c>
      <c r="B1408" s="2" t="n">
        <v>35</v>
      </c>
      <c r="C1408" s="2">
        <f>_xlfn.XLOOKUP(B1408,Results!$B$23:$B$119,Results!$D$23:$D$119)</f>
        <v/>
      </c>
      <c r="D1408" s="2" t="n">
        <v>25</v>
      </c>
      <c r="E1408" s="2" t="inlineStr">
        <is>
          <t>CHO</t>
        </is>
      </c>
      <c r="F1408" s="2" t="n">
        <v>4.3205</v>
      </c>
      <c r="G1408" s="2" t="n">
        <v>1.950733</v>
      </c>
    </row>
    <row r="1409">
      <c r="A1409" s="1" t="inlineStr">
        <is>
          <t>C11</t>
        </is>
      </c>
      <c r="B1409" s="1" t="n">
        <v>35</v>
      </c>
      <c r="C1409" s="2">
        <f>_xlfn.XLOOKUP(B1409,Results!$B$23:$B$119,Results!$D$23:$D$119)</f>
        <v/>
      </c>
      <c r="D1409" s="1" t="n">
        <v>26</v>
      </c>
      <c r="E1409" s="1" t="inlineStr">
        <is>
          <t>CHO</t>
        </is>
      </c>
      <c r="F1409" s="1" t="n">
        <v>4.7238</v>
      </c>
      <c r="G1409" s="1" t="n">
        <v>2.348786</v>
      </c>
    </row>
    <row r="1410">
      <c r="A1410" s="2" t="inlineStr">
        <is>
          <t>C11</t>
        </is>
      </c>
      <c r="B1410" s="2" t="n">
        <v>35</v>
      </c>
      <c r="C1410" s="2">
        <f>_xlfn.XLOOKUP(B1410,Results!$B$23:$B$119,Results!$D$23:$D$119)</f>
        <v/>
      </c>
      <c r="D1410" s="2" t="n">
        <v>27</v>
      </c>
      <c r="E1410" s="2" t="inlineStr">
        <is>
          <t>CHO</t>
        </is>
      </c>
      <c r="F1410" s="2" t="n">
        <v>5.0898</v>
      </c>
      <c r="G1410" s="2" t="n">
        <v>2.709496</v>
      </c>
    </row>
    <row r="1411">
      <c r="A1411" s="1" t="inlineStr">
        <is>
          <t>C11</t>
        </is>
      </c>
      <c r="B1411" s="1" t="n">
        <v>35</v>
      </c>
      <c r="C1411" s="2">
        <f>_xlfn.XLOOKUP(B1411,Results!$B$23:$B$119,Results!$D$23:$D$119)</f>
        <v/>
      </c>
      <c r="D1411" s="1" t="n">
        <v>28</v>
      </c>
      <c r="E1411" s="1" t="inlineStr">
        <is>
          <t>CHO</t>
        </is>
      </c>
      <c r="F1411" s="1" t="n">
        <v>5.4231</v>
      </c>
      <c r="G1411" s="1" t="n">
        <v>3.037596</v>
      </c>
    </row>
    <row r="1412">
      <c r="A1412" s="2" t="inlineStr">
        <is>
          <t>C11</t>
        </is>
      </c>
      <c r="B1412" s="2" t="n">
        <v>35</v>
      </c>
      <c r="C1412" s="2">
        <f>_xlfn.XLOOKUP(B1412,Results!$B$23:$B$119,Results!$D$23:$D$119)</f>
        <v/>
      </c>
      <c r="D1412" s="2" t="n">
        <v>29</v>
      </c>
      <c r="E1412" s="2" t="inlineStr">
        <is>
          <t>CHO</t>
        </is>
      </c>
      <c r="F1412" s="2" t="n">
        <v>5.6986</v>
      </c>
      <c r="G1412" s="2" t="n">
        <v>3.307879</v>
      </c>
    </row>
    <row r="1413">
      <c r="A1413" s="1" t="inlineStr">
        <is>
          <t>C11</t>
        </is>
      </c>
      <c r="B1413" s="1" t="n">
        <v>35</v>
      </c>
      <c r="C1413" s="2">
        <f>_xlfn.XLOOKUP(B1413,Results!$B$23:$B$119,Results!$D$23:$D$119)</f>
        <v/>
      </c>
      <c r="D1413" s="1" t="n">
        <v>30</v>
      </c>
      <c r="E1413" s="1" t="inlineStr">
        <is>
          <t>CHO</t>
        </is>
      </c>
      <c r="F1413" s="1" t="n">
        <v>5.9454</v>
      </c>
      <c r="G1413" s="1" t="n">
        <v>3.549343</v>
      </c>
    </row>
    <row r="1414">
      <c r="A1414" s="2" t="inlineStr">
        <is>
          <t>C11</t>
        </is>
      </c>
      <c r="B1414" s="2" t="n">
        <v>35</v>
      </c>
      <c r="C1414" s="2">
        <f>_xlfn.XLOOKUP(B1414,Results!$B$23:$B$119,Results!$D$23:$D$119)</f>
        <v/>
      </c>
      <c r="D1414" s="2" t="n">
        <v>31</v>
      </c>
      <c r="E1414" s="2" t="inlineStr">
        <is>
          <t>CHO</t>
        </is>
      </c>
      <c r="F1414" s="2" t="n">
        <v>6.1615</v>
      </c>
      <c r="G1414" s="2" t="n">
        <v>3.760174</v>
      </c>
    </row>
    <row r="1415">
      <c r="A1415" s="1" t="inlineStr">
        <is>
          <t>C11</t>
        </is>
      </c>
      <c r="B1415" s="1" t="n">
        <v>35</v>
      </c>
      <c r="C1415" s="2">
        <f>_xlfn.XLOOKUP(B1415,Results!$B$23:$B$119,Results!$D$23:$D$119)</f>
        <v/>
      </c>
      <c r="D1415" s="1" t="n">
        <v>32</v>
      </c>
      <c r="E1415" s="1" t="inlineStr">
        <is>
          <t>CHO</t>
        </is>
      </c>
      <c r="F1415" s="1" t="n">
        <v>6.3442</v>
      </c>
      <c r="G1415" s="1" t="n">
        <v>3.937647</v>
      </c>
    </row>
    <row r="1416">
      <c r="A1416" s="2" t="inlineStr">
        <is>
          <t>C11</t>
        </is>
      </c>
      <c r="B1416" s="2" t="n">
        <v>35</v>
      </c>
      <c r="C1416" s="2">
        <f>_xlfn.XLOOKUP(B1416,Results!$B$23:$B$119,Results!$D$23:$D$119)</f>
        <v/>
      </c>
      <c r="D1416" s="2" t="n">
        <v>33</v>
      </c>
      <c r="E1416" s="2" t="inlineStr">
        <is>
          <t>CHO</t>
        </is>
      </c>
      <c r="F1416" s="2" t="n">
        <v>6.4898</v>
      </c>
      <c r="G1416" s="2" t="n">
        <v>4.078008</v>
      </c>
    </row>
    <row r="1417">
      <c r="A1417" s="1" t="inlineStr">
        <is>
          <t>C11</t>
        </is>
      </c>
      <c r="B1417" s="1" t="n">
        <v>35</v>
      </c>
      <c r="C1417" s="2">
        <f>_xlfn.XLOOKUP(B1417,Results!$B$23:$B$119,Results!$D$23:$D$119)</f>
        <v/>
      </c>
      <c r="D1417" s="1" t="n">
        <v>34</v>
      </c>
      <c r="E1417" s="1" t="inlineStr">
        <is>
          <t>CHO</t>
        </is>
      </c>
      <c r="F1417" s="1" t="n">
        <v>6.6345</v>
      </c>
      <c r="G1417" s="1" t="n">
        <v>4.217453</v>
      </c>
    </row>
    <row r="1418">
      <c r="A1418" s="2" t="inlineStr">
        <is>
          <t>C11</t>
        </is>
      </c>
      <c r="B1418" s="2" t="n">
        <v>35</v>
      </c>
      <c r="C1418" s="2">
        <f>_xlfn.XLOOKUP(B1418,Results!$B$23:$B$119,Results!$D$23:$D$119)</f>
        <v/>
      </c>
      <c r="D1418" s="2" t="n">
        <v>35</v>
      </c>
      <c r="E1418" s="2" t="inlineStr">
        <is>
          <t>CHO</t>
        </is>
      </c>
      <c r="F1418" s="2" t="n">
        <v>6.7696</v>
      </c>
      <c r="G1418" s="2" t="n">
        <v>4.347313</v>
      </c>
    </row>
    <row r="1419">
      <c r="A1419" s="1" t="inlineStr">
        <is>
          <t>C11</t>
        </is>
      </c>
      <c r="B1419" s="1" t="n">
        <v>35</v>
      </c>
      <c r="C1419" s="2">
        <f>_xlfn.XLOOKUP(B1419,Results!$B$23:$B$119,Results!$D$23:$D$119)</f>
        <v/>
      </c>
      <c r="D1419" s="1" t="n">
        <v>36</v>
      </c>
      <c r="E1419" s="1" t="inlineStr">
        <is>
          <t>CHO</t>
        </is>
      </c>
      <c r="F1419" s="1" t="n">
        <v>6.8585</v>
      </c>
      <c r="G1419" s="1" t="n">
        <v>4.430907</v>
      </c>
    </row>
    <row r="1420">
      <c r="A1420" s="2" t="inlineStr">
        <is>
          <t>C11</t>
        </is>
      </c>
      <c r="B1420" s="2" t="n">
        <v>35</v>
      </c>
      <c r="C1420" s="2">
        <f>_xlfn.XLOOKUP(B1420,Results!$B$23:$B$119,Results!$D$23:$D$119)</f>
        <v/>
      </c>
      <c r="D1420" s="2" t="n">
        <v>37</v>
      </c>
      <c r="E1420" s="2" t="inlineStr">
        <is>
          <t>CHO</t>
        </is>
      </c>
      <c r="F1420" s="2" t="n">
        <v>6.9498</v>
      </c>
      <c r="G1420" s="2" t="n">
        <v>4.516945</v>
      </c>
    </row>
    <row r="1421">
      <c r="A1421" s="1" t="inlineStr">
        <is>
          <t>C11</t>
        </is>
      </c>
      <c r="B1421" s="1" t="n">
        <v>35</v>
      </c>
      <c r="C1421" s="2">
        <f>_xlfn.XLOOKUP(B1421,Results!$B$23:$B$119,Results!$D$23:$D$119)</f>
        <v/>
      </c>
      <c r="D1421" s="1" t="n">
        <v>38</v>
      </c>
      <c r="E1421" s="1" t="inlineStr">
        <is>
          <t>CHO</t>
        </is>
      </c>
      <c r="F1421" s="1" t="n">
        <v>7.0443</v>
      </c>
      <c r="G1421" s="1" t="n">
        <v>4.606198</v>
      </c>
    </row>
    <row r="1422">
      <c r="A1422" s="2" t="inlineStr">
        <is>
          <t>C11</t>
        </is>
      </c>
      <c r="B1422" s="2" t="n">
        <v>35</v>
      </c>
      <c r="C1422" s="2">
        <f>_xlfn.XLOOKUP(B1422,Results!$B$23:$B$119,Results!$D$23:$D$119)</f>
        <v/>
      </c>
      <c r="D1422" s="2" t="n">
        <v>39</v>
      </c>
      <c r="E1422" s="2" t="inlineStr">
        <is>
          <t>CHO</t>
        </is>
      </c>
      <c r="F1422" s="2" t="n">
        <v>7.1053</v>
      </c>
      <c r="G1422" s="2" t="n">
        <v>4.661964</v>
      </c>
    </row>
    <row r="1423">
      <c r="A1423" s="1" t="inlineStr">
        <is>
          <t>C11</t>
        </is>
      </c>
      <c r="B1423" s="1" t="n">
        <v>35</v>
      </c>
      <c r="C1423" s="2">
        <f>_xlfn.XLOOKUP(B1423,Results!$B$23:$B$119,Results!$D$23:$D$119)</f>
        <v/>
      </c>
      <c r="D1423" s="1" t="n">
        <v>40</v>
      </c>
      <c r="E1423" s="1" t="inlineStr">
        <is>
          <t>CHO</t>
        </is>
      </c>
      <c r="F1423" s="1" t="n">
        <v>7.1426</v>
      </c>
      <c r="G1423" s="1" t="n">
        <v>4.694006</v>
      </c>
    </row>
    <row r="1424">
      <c r="A1424" s="2" t="inlineStr">
        <is>
          <t>C12</t>
        </is>
      </c>
      <c r="B1424" s="2" t="n">
        <v>36</v>
      </c>
      <c r="C1424" s="2">
        <f>_xlfn.XLOOKUP(B1424,Results!$B$23:$B$119,Results!$D$23:$D$119)</f>
        <v/>
      </c>
      <c r="D1424" s="2" t="n">
        <v>1</v>
      </c>
      <c r="E1424" s="2" t="inlineStr">
        <is>
          <t>CHO</t>
        </is>
      </c>
      <c r="F1424" s="2" t="n">
        <v>2.2359</v>
      </c>
      <c r="G1424" s="2" t="n">
        <v>0.008482</v>
      </c>
    </row>
    <row r="1425">
      <c r="A1425" s="1" t="inlineStr">
        <is>
          <t>C12</t>
        </is>
      </c>
      <c r="B1425" s="1" t="n">
        <v>36</v>
      </c>
      <c r="C1425" s="2">
        <f>_xlfn.XLOOKUP(B1425,Results!$B$23:$B$119,Results!$D$23:$D$119)</f>
        <v/>
      </c>
      <c r="D1425" s="1" t="n">
        <v>2</v>
      </c>
      <c r="E1425" s="1" t="inlineStr">
        <is>
          <t>CHO</t>
        </is>
      </c>
      <c r="F1425" s="1" t="n">
        <v>2.2354</v>
      </c>
      <c r="G1425" s="1" t="n">
        <v>0.00342</v>
      </c>
    </row>
    <row r="1426">
      <c r="A1426" s="2" t="inlineStr">
        <is>
          <t>C12</t>
        </is>
      </c>
      <c r="B1426" s="2" t="n">
        <v>36</v>
      </c>
      <c r="C1426" s="2">
        <f>_xlfn.XLOOKUP(B1426,Results!$B$23:$B$119,Results!$D$23:$D$119)</f>
        <v/>
      </c>
      <c r="D1426" s="2" t="n">
        <v>3</v>
      </c>
      <c r="E1426" s="2" t="inlineStr">
        <is>
          <t>CHO</t>
        </is>
      </c>
      <c r="F1426" s="2" t="n">
        <v>2.2403</v>
      </c>
      <c r="G1426" s="2" t="n">
        <v>0.003674</v>
      </c>
    </row>
    <row r="1427">
      <c r="A1427" s="1" t="inlineStr">
        <is>
          <t>C12</t>
        </is>
      </c>
      <c r="B1427" s="1" t="n">
        <v>36</v>
      </c>
      <c r="C1427" s="2">
        <f>_xlfn.XLOOKUP(B1427,Results!$B$23:$B$119,Results!$D$23:$D$119)</f>
        <v/>
      </c>
      <c r="D1427" s="1" t="n">
        <v>4</v>
      </c>
      <c r="E1427" s="1" t="inlineStr">
        <is>
          <t>CHO</t>
        </is>
      </c>
      <c r="F1427" s="1" t="n">
        <v>2.2446</v>
      </c>
      <c r="G1427" s="1" t="n">
        <v>0.003384</v>
      </c>
    </row>
    <row r="1428">
      <c r="A1428" s="2" t="inlineStr">
        <is>
          <t>C12</t>
        </is>
      </c>
      <c r="B1428" s="2" t="n">
        <v>36</v>
      </c>
      <c r="C1428" s="2">
        <f>_xlfn.XLOOKUP(B1428,Results!$B$23:$B$119,Results!$D$23:$D$119)</f>
        <v/>
      </c>
      <c r="D1428" s="2" t="n">
        <v>5</v>
      </c>
      <c r="E1428" s="2" t="inlineStr">
        <is>
          <t>CHO</t>
        </is>
      </c>
      <c r="F1428" s="2" t="n">
        <v>2.2464</v>
      </c>
      <c r="G1428" s="2" t="n">
        <v>0.000628</v>
      </c>
    </row>
    <row r="1429">
      <c r="A1429" s="1" t="inlineStr">
        <is>
          <t>C12</t>
        </is>
      </c>
      <c r="B1429" s="1" t="n">
        <v>36</v>
      </c>
      <c r="C1429" s="2">
        <f>_xlfn.XLOOKUP(B1429,Results!$B$23:$B$119,Results!$D$23:$D$119)</f>
        <v/>
      </c>
      <c r="D1429" s="1" t="n">
        <v>6</v>
      </c>
      <c r="E1429" s="1" t="inlineStr">
        <is>
          <t>CHO</t>
        </is>
      </c>
      <c r="F1429" s="1" t="n">
        <v>2.2497</v>
      </c>
      <c r="G1429" s="1" t="n">
        <v>-0.000772</v>
      </c>
    </row>
    <row r="1430">
      <c r="A1430" s="2" t="inlineStr">
        <is>
          <t>C12</t>
        </is>
      </c>
      <c r="B1430" s="2" t="n">
        <v>36</v>
      </c>
      <c r="C1430" s="2">
        <f>_xlfn.XLOOKUP(B1430,Results!$B$23:$B$119,Results!$D$23:$D$119)</f>
        <v/>
      </c>
      <c r="D1430" s="2" t="n">
        <v>7</v>
      </c>
      <c r="E1430" s="2" t="inlineStr">
        <is>
          <t>CHO</t>
        </is>
      </c>
      <c r="F1430" s="2" t="n">
        <v>2.2516</v>
      </c>
      <c r="G1430" s="2" t="n">
        <v>-0.003441</v>
      </c>
    </row>
    <row r="1431">
      <c r="A1431" s="1" t="inlineStr">
        <is>
          <t>C12</t>
        </is>
      </c>
      <c r="B1431" s="1" t="n">
        <v>36</v>
      </c>
      <c r="C1431" s="2">
        <f>_xlfn.XLOOKUP(B1431,Results!$B$23:$B$119,Results!$D$23:$D$119)</f>
        <v/>
      </c>
      <c r="D1431" s="1" t="n">
        <v>8</v>
      </c>
      <c r="E1431" s="1" t="inlineStr">
        <is>
          <t>CHO</t>
        </is>
      </c>
      <c r="F1431" s="1" t="n">
        <v>2.2547</v>
      </c>
      <c r="G1431" s="1" t="n">
        <v>-0.004934</v>
      </c>
    </row>
    <row r="1432">
      <c r="A1432" s="2" t="inlineStr">
        <is>
          <t>C12</t>
        </is>
      </c>
      <c r="B1432" s="2" t="n">
        <v>36</v>
      </c>
      <c r="C1432" s="2">
        <f>_xlfn.XLOOKUP(B1432,Results!$B$23:$B$119,Results!$D$23:$D$119)</f>
        <v/>
      </c>
      <c r="D1432" s="2" t="n">
        <v>9</v>
      </c>
      <c r="E1432" s="2" t="inlineStr">
        <is>
          <t>CHO</t>
        </is>
      </c>
      <c r="F1432" s="2" t="n">
        <v>2.2613</v>
      </c>
      <c r="G1432" s="2" t="n">
        <v>-0.002991</v>
      </c>
    </row>
    <row r="1433">
      <c r="A1433" s="1" t="inlineStr">
        <is>
          <t>C12</t>
        </is>
      </c>
      <c r="B1433" s="1" t="n">
        <v>36</v>
      </c>
      <c r="C1433" s="2">
        <f>_xlfn.XLOOKUP(B1433,Results!$B$23:$B$119,Results!$D$23:$D$119)</f>
        <v/>
      </c>
      <c r="D1433" s="1" t="n">
        <v>10</v>
      </c>
      <c r="E1433" s="1" t="inlineStr">
        <is>
          <t>CHO</t>
        </is>
      </c>
      <c r="F1433" s="1" t="n">
        <v>2.2672</v>
      </c>
      <c r="G1433" s="1" t="n">
        <v>-0.001698</v>
      </c>
    </row>
    <row r="1434">
      <c r="A1434" s="2" t="inlineStr">
        <is>
          <t>C12</t>
        </is>
      </c>
      <c r="B1434" s="2" t="n">
        <v>36</v>
      </c>
      <c r="C1434" s="2">
        <f>_xlfn.XLOOKUP(B1434,Results!$B$23:$B$119,Results!$D$23:$D$119)</f>
        <v/>
      </c>
      <c r="D1434" s="2" t="n">
        <v>11</v>
      </c>
      <c r="E1434" s="2" t="inlineStr">
        <is>
          <t>CHO</t>
        </is>
      </c>
      <c r="F1434" s="2" t="n">
        <v>2.2727</v>
      </c>
      <c r="G1434" s="2" t="n">
        <v>-0.00077</v>
      </c>
    </row>
    <row r="1435">
      <c r="A1435" s="1" t="inlineStr">
        <is>
          <t>C12</t>
        </is>
      </c>
      <c r="B1435" s="1" t="n">
        <v>36</v>
      </c>
      <c r="C1435" s="2">
        <f>_xlfn.XLOOKUP(B1435,Results!$B$23:$B$119,Results!$D$23:$D$119)</f>
        <v/>
      </c>
      <c r="D1435" s="1" t="n">
        <v>12</v>
      </c>
      <c r="E1435" s="1" t="inlineStr">
        <is>
          <t>CHO</t>
        </is>
      </c>
      <c r="F1435" s="1" t="n">
        <v>2.2787</v>
      </c>
      <c r="G1435" s="1" t="n">
        <v>0.000581</v>
      </c>
    </row>
    <row r="1436">
      <c r="A1436" s="2" t="inlineStr">
        <is>
          <t>C12</t>
        </is>
      </c>
      <c r="B1436" s="2" t="n">
        <v>36</v>
      </c>
      <c r="C1436" s="2">
        <f>_xlfn.XLOOKUP(B1436,Results!$B$23:$B$119,Results!$D$23:$D$119)</f>
        <v/>
      </c>
      <c r="D1436" s="2" t="n">
        <v>13</v>
      </c>
      <c r="E1436" s="2" t="inlineStr">
        <is>
          <t>CHO</t>
        </is>
      </c>
      <c r="F1436" s="2" t="n">
        <v>2.2856</v>
      </c>
      <c r="G1436" s="2" t="n">
        <v>0.002854</v>
      </c>
    </row>
    <row r="1437">
      <c r="A1437" s="1" t="inlineStr">
        <is>
          <t>C12</t>
        </is>
      </c>
      <c r="B1437" s="1" t="n">
        <v>36</v>
      </c>
      <c r="C1437" s="2">
        <f>_xlfn.XLOOKUP(B1437,Results!$B$23:$B$119,Results!$D$23:$D$119)</f>
        <v/>
      </c>
      <c r="D1437" s="1" t="n">
        <v>14</v>
      </c>
      <c r="E1437" s="1" t="inlineStr">
        <is>
          <t>CHO</t>
        </is>
      </c>
      <c r="F1437" s="1" t="n">
        <v>2.2908</v>
      </c>
      <c r="G1437" s="1" t="n">
        <v>0.003485</v>
      </c>
    </row>
    <row r="1438">
      <c r="A1438" s="2" t="inlineStr">
        <is>
          <t>C12</t>
        </is>
      </c>
      <c r="B1438" s="2" t="n">
        <v>36</v>
      </c>
      <c r="C1438" s="2">
        <f>_xlfn.XLOOKUP(B1438,Results!$B$23:$B$119,Results!$D$23:$D$119)</f>
        <v/>
      </c>
      <c r="D1438" s="2" t="n">
        <v>15</v>
      </c>
      <c r="E1438" s="2" t="inlineStr">
        <is>
          <t>CHO</t>
        </is>
      </c>
      <c r="F1438" s="2" t="n">
        <v>2.2976</v>
      </c>
      <c r="G1438" s="2" t="n">
        <v>0.005714</v>
      </c>
    </row>
    <row r="1439">
      <c r="A1439" s="1" t="inlineStr">
        <is>
          <t>C12</t>
        </is>
      </c>
      <c r="B1439" s="1" t="n">
        <v>36</v>
      </c>
      <c r="C1439" s="2">
        <f>_xlfn.XLOOKUP(B1439,Results!$B$23:$B$119,Results!$D$23:$D$119)</f>
        <v/>
      </c>
      <c r="D1439" s="1" t="n">
        <v>16</v>
      </c>
      <c r="E1439" s="1" t="inlineStr">
        <is>
          <t>CHO</t>
        </is>
      </c>
      <c r="F1439" s="1" t="n">
        <v>2.3155</v>
      </c>
      <c r="G1439" s="1" t="n">
        <v>0.018974</v>
      </c>
    </row>
    <row r="1440">
      <c r="A1440" s="2" t="inlineStr">
        <is>
          <t>C12</t>
        </is>
      </c>
      <c r="B1440" s="2" t="n">
        <v>36</v>
      </c>
      <c r="C1440" s="2">
        <f>_xlfn.XLOOKUP(B1440,Results!$B$23:$B$119,Results!$D$23:$D$119)</f>
        <v/>
      </c>
      <c r="D1440" s="2" t="n">
        <v>17</v>
      </c>
      <c r="E1440" s="2" t="inlineStr">
        <is>
          <t>CHO</t>
        </is>
      </c>
      <c r="F1440" s="2" t="n">
        <v>2.341</v>
      </c>
      <c r="G1440" s="2" t="n">
        <v>0.039824</v>
      </c>
    </row>
    <row r="1441">
      <c r="A1441" s="1" t="inlineStr">
        <is>
          <t>C12</t>
        </is>
      </c>
      <c r="B1441" s="1" t="n">
        <v>36</v>
      </c>
      <c r="C1441" s="2">
        <f>_xlfn.XLOOKUP(B1441,Results!$B$23:$B$119,Results!$D$23:$D$119)</f>
        <v/>
      </c>
      <c r="D1441" s="1" t="n">
        <v>18</v>
      </c>
      <c r="E1441" s="1" t="inlineStr">
        <is>
          <t>CHO</t>
        </is>
      </c>
      <c r="F1441" s="1" t="n">
        <v>2.3769</v>
      </c>
      <c r="G1441" s="1" t="n">
        <v>0.071161</v>
      </c>
    </row>
    <row r="1442">
      <c r="A1442" s="2" t="inlineStr">
        <is>
          <t>C12</t>
        </is>
      </c>
      <c r="B1442" s="2" t="n">
        <v>36</v>
      </c>
      <c r="C1442" s="2">
        <f>_xlfn.XLOOKUP(B1442,Results!$B$23:$B$119,Results!$D$23:$D$119)</f>
        <v/>
      </c>
      <c r="D1442" s="2" t="n">
        <v>19</v>
      </c>
      <c r="E1442" s="2" t="inlineStr">
        <is>
          <t>CHO</t>
        </is>
      </c>
      <c r="F1442" s="2" t="n">
        <v>2.4399</v>
      </c>
      <c r="G1442" s="2" t="n">
        <v>0.129496</v>
      </c>
    </row>
    <row r="1443">
      <c r="A1443" s="1" t="inlineStr">
        <is>
          <t>C12</t>
        </is>
      </c>
      <c r="B1443" s="1" t="n">
        <v>36</v>
      </c>
      <c r="C1443" s="2">
        <f>_xlfn.XLOOKUP(B1443,Results!$B$23:$B$119,Results!$D$23:$D$119)</f>
        <v/>
      </c>
      <c r="D1443" s="1" t="n">
        <v>20</v>
      </c>
      <c r="E1443" s="1" t="inlineStr">
        <is>
          <t>CHO</t>
        </is>
      </c>
      <c r="F1443" s="1" t="n">
        <v>2.5572</v>
      </c>
      <c r="G1443" s="1" t="n">
        <v>0.242204</v>
      </c>
    </row>
    <row r="1444">
      <c r="A1444" s="2" t="inlineStr">
        <is>
          <t>C12</t>
        </is>
      </c>
      <c r="B1444" s="2" t="n">
        <v>36</v>
      </c>
      <c r="C1444" s="2">
        <f>_xlfn.XLOOKUP(B1444,Results!$B$23:$B$119,Results!$D$23:$D$119)</f>
        <v/>
      </c>
      <c r="D1444" s="2" t="n">
        <v>21</v>
      </c>
      <c r="E1444" s="2" t="inlineStr">
        <is>
          <t>CHO</t>
        </is>
      </c>
      <c r="F1444" s="2" t="n">
        <v>2.753</v>
      </c>
      <c r="G1444" s="2" t="n">
        <v>0.433401</v>
      </c>
    </row>
    <row r="1445">
      <c r="A1445" s="1" t="inlineStr">
        <is>
          <t>C12</t>
        </is>
      </c>
      <c r="B1445" s="1" t="n">
        <v>36</v>
      </c>
      <c r="C1445" s="2">
        <f>_xlfn.XLOOKUP(B1445,Results!$B$23:$B$119,Results!$D$23:$D$119)</f>
        <v/>
      </c>
      <c r="D1445" s="1" t="n">
        <v>22</v>
      </c>
      <c r="E1445" s="1" t="inlineStr">
        <is>
          <t>CHO</t>
        </is>
      </c>
      <c r="F1445" s="1" t="n">
        <v>3.048</v>
      </c>
      <c r="G1445" s="1" t="n">
        <v>0.723803</v>
      </c>
    </row>
    <row r="1446">
      <c r="A1446" s="2" t="inlineStr">
        <is>
          <t>C12</t>
        </is>
      </c>
      <c r="B1446" s="2" t="n">
        <v>36</v>
      </c>
      <c r="C1446" s="2">
        <f>_xlfn.XLOOKUP(B1446,Results!$B$23:$B$119,Results!$D$23:$D$119)</f>
        <v/>
      </c>
      <c r="D1446" s="2" t="n">
        <v>23</v>
      </c>
      <c r="E1446" s="2" t="inlineStr">
        <is>
          <t>CHO</t>
        </is>
      </c>
      <c r="F1446" s="2" t="n">
        <v>3.4224</v>
      </c>
      <c r="G1446" s="2" t="n">
        <v>1.093622</v>
      </c>
    </row>
    <row r="1447">
      <c r="A1447" s="1" t="inlineStr">
        <is>
          <t>C12</t>
        </is>
      </c>
      <c r="B1447" s="1" t="n">
        <v>36</v>
      </c>
      <c r="C1447" s="2">
        <f>_xlfn.XLOOKUP(B1447,Results!$B$23:$B$119,Results!$D$23:$D$119)</f>
        <v/>
      </c>
      <c r="D1447" s="1" t="n">
        <v>24</v>
      </c>
      <c r="E1447" s="1" t="inlineStr">
        <is>
          <t>CHO</t>
        </is>
      </c>
      <c r="F1447" s="1" t="n">
        <v>3.8419</v>
      </c>
      <c r="G1447" s="1" t="n">
        <v>1.50845</v>
      </c>
    </row>
    <row r="1448">
      <c r="A1448" s="2" t="inlineStr">
        <is>
          <t>C12</t>
        </is>
      </c>
      <c r="B1448" s="2" t="n">
        <v>36</v>
      </c>
      <c r="C1448" s="2">
        <f>_xlfn.XLOOKUP(B1448,Results!$B$23:$B$119,Results!$D$23:$D$119)</f>
        <v/>
      </c>
      <c r="D1448" s="2" t="n">
        <v>25</v>
      </c>
      <c r="E1448" s="2" t="inlineStr">
        <is>
          <t>CHO</t>
        </is>
      </c>
      <c r="F1448" s="2" t="n">
        <v>4.2652</v>
      </c>
      <c r="G1448" s="2" t="n">
        <v>1.9272</v>
      </c>
    </row>
    <row r="1449">
      <c r="A1449" s="1" t="inlineStr">
        <is>
          <t>C12</t>
        </is>
      </c>
      <c r="B1449" s="1" t="n">
        <v>36</v>
      </c>
      <c r="C1449" s="2">
        <f>_xlfn.XLOOKUP(B1449,Results!$B$23:$B$119,Results!$D$23:$D$119)</f>
        <v/>
      </c>
      <c r="D1449" s="1" t="n">
        <v>26</v>
      </c>
      <c r="E1449" s="1" t="inlineStr">
        <is>
          <t>CHO</t>
        </is>
      </c>
      <c r="F1449" s="1" t="n">
        <v>4.6669</v>
      </c>
      <c r="G1449" s="1" t="n">
        <v>2.324268</v>
      </c>
    </row>
    <row r="1450">
      <c r="A1450" s="2" t="inlineStr">
        <is>
          <t>C12</t>
        </is>
      </c>
      <c r="B1450" s="2" t="n">
        <v>36</v>
      </c>
      <c r="C1450" s="2">
        <f>_xlfn.XLOOKUP(B1450,Results!$B$23:$B$119,Results!$D$23:$D$119)</f>
        <v/>
      </c>
      <c r="D1450" s="2" t="n">
        <v>27</v>
      </c>
      <c r="E1450" s="2" t="inlineStr">
        <is>
          <t>CHO</t>
        </is>
      </c>
      <c r="F1450" s="2" t="n">
        <v>5.0176</v>
      </c>
      <c r="G1450" s="2" t="n">
        <v>2.670309</v>
      </c>
    </row>
    <row r="1451">
      <c r="A1451" s="1" t="inlineStr">
        <is>
          <t>C12</t>
        </is>
      </c>
      <c r="B1451" s="1" t="n">
        <v>36</v>
      </c>
      <c r="C1451" s="2">
        <f>_xlfn.XLOOKUP(B1451,Results!$B$23:$B$119,Results!$D$23:$D$119)</f>
        <v/>
      </c>
      <c r="D1451" s="1" t="n">
        <v>28</v>
      </c>
      <c r="E1451" s="1" t="inlineStr">
        <is>
          <t>CHO</t>
        </is>
      </c>
      <c r="F1451" s="1" t="n">
        <v>5.341</v>
      </c>
      <c r="G1451" s="1" t="n">
        <v>2.989081</v>
      </c>
    </row>
    <row r="1452">
      <c r="A1452" s="2" t="inlineStr">
        <is>
          <t>C12</t>
        </is>
      </c>
      <c r="B1452" s="2" t="n">
        <v>36</v>
      </c>
      <c r="C1452" s="2">
        <f>_xlfn.XLOOKUP(B1452,Results!$B$23:$B$119,Results!$D$23:$D$119)</f>
        <v/>
      </c>
      <c r="D1452" s="2" t="n">
        <v>29</v>
      </c>
      <c r="E1452" s="2" t="inlineStr">
        <is>
          <t>CHO</t>
        </is>
      </c>
      <c r="F1452" s="2" t="n">
        <v>5.6211</v>
      </c>
      <c r="G1452" s="2" t="n">
        <v>3.264661</v>
      </c>
    </row>
    <row r="1453">
      <c r="A1453" s="1" t="inlineStr">
        <is>
          <t>C12</t>
        </is>
      </c>
      <c r="B1453" s="1" t="n">
        <v>36</v>
      </c>
      <c r="C1453" s="2">
        <f>_xlfn.XLOOKUP(B1453,Results!$B$23:$B$119,Results!$D$23:$D$119)</f>
        <v/>
      </c>
      <c r="D1453" s="1" t="n">
        <v>30</v>
      </c>
      <c r="E1453" s="1" t="inlineStr">
        <is>
          <t>CHO</t>
        </is>
      </c>
      <c r="F1453" s="1" t="n">
        <v>5.8694</v>
      </c>
      <c r="G1453" s="1" t="n">
        <v>3.508274</v>
      </c>
    </row>
    <row r="1454">
      <c r="A1454" s="2" t="inlineStr">
        <is>
          <t>C12</t>
        </is>
      </c>
      <c r="B1454" s="2" t="n">
        <v>36</v>
      </c>
      <c r="C1454" s="2">
        <f>_xlfn.XLOOKUP(B1454,Results!$B$23:$B$119,Results!$D$23:$D$119)</f>
        <v/>
      </c>
      <c r="D1454" s="2" t="n">
        <v>31</v>
      </c>
      <c r="E1454" s="2" t="inlineStr">
        <is>
          <t>CHO</t>
        </is>
      </c>
      <c r="F1454" s="2" t="n">
        <v>6.0857</v>
      </c>
      <c r="G1454" s="2" t="n">
        <v>3.720028</v>
      </c>
    </row>
    <row r="1455">
      <c r="A1455" s="1" t="inlineStr">
        <is>
          <t>C12</t>
        </is>
      </c>
      <c r="B1455" s="1" t="n">
        <v>36</v>
      </c>
      <c r="C1455" s="2">
        <f>_xlfn.XLOOKUP(B1455,Results!$B$23:$B$119,Results!$D$23:$D$119)</f>
        <v/>
      </c>
      <c r="D1455" s="1" t="n">
        <v>32</v>
      </c>
      <c r="E1455" s="1" t="inlineStr">
        <is>
          <t>CHO</t>
        </is>
      </c>
      <c r="F1455" s="1" t="n">
        <v>6.2586</v>
      </c>
      <c r="G1455" s="1" t="n">
        <v>3.88832</v>
      </c>
    </row>
    <row r="1456">
      <c r="A1456" s="2" t="inlineStr">
        <is>
          <t>C12</t>
        </is>
      </c>
      <c r="B1456" s="2" t="n">
        <v>36</v>
      </c>
      <c r="C1456" s="2">
        <f>_xlfn.XLOOKUP(B1456,Results!$B$23:$B$119,Results!$D$23:$D$119)</f>
        <v/>
      </c>
      <c r="D1456" s="2" t="n">
        <v>33</v>
      </c>
      <c r="E1456" s="2" t="inlineStr">
        <is>
          <t>CHO</t>
        </is>
      </c>
      <c r="F1456" s="2" t="n">
        <v>6.4169</v>
      </c>
      <c r="G1456" s="2" t="n">
        <v>4.04197</v>
      </c>
    </row>
    <row r="1457">
      <c r="A1457" s="1" t="inlineStr">
        <is>
          <t>C12</t>
        </is>
      </c>
      <c r="B1457" s="1" t="n">
        <v>36</v>
      </c>
      <c r="C1457" s="2">
        <f>_xlfn.XLOOKUP(B1457,Results!$B$23:$B$119,Results!$D$23:$D$119)</f>
        <v/>
      </c>
      <c r="D1457" s="1" t="n">
        <v>34</v>
      </c>
      <c r="E1457" s="1" t="inlineStr">
        <is>
          <t>CHO</t>
        </is>
      </c>
      <c r="F1457" s="1" t="n">
        <v>6.5442</v>
      </c>
      <c r="G1457" s="1" t="n">
        <v>4.164706</v>
      </c>
    </row>
    <row r="1458">
      <c r="A1458" s="2" t="inlineStr">
        <is>
          <t>C12</t>
        </is>
      </c>
      <c r="B1458" s="2" t="n">
        <v>36</v>
      </c>
      <c r="C1458" s="2">
        <f>_xlfn.XLOOKUP(B1458,Results!$B$23:$B$119,Results!$D$23:$D$119)</f>
        <v/>
      </c>
      <c r="D1458" s="2" t="n">
        <v>35</v>
      </c>
      <c r="E1458" s="2" t="inlineStr">
        <is>
          <t>CHO</t>
        </is>
      </c>
      <c r="F1458" s="2" t="n">
        <v>6.6684</v>
      </c>
      <c r="G1458" s="2" t="n">
        <v>4.284225</v>
      </c>
    </row>
    <row r="1459">
      <c r="A1459" s="1" t="inlineStr">
        <is>
          <t>C12</t>
        </is>
      </c>
      <c r="B1459" s="1" t="n">
        <v>36</v>
      </c>
      <c r="C1459" s="2">
        <f>_xlfn.XLOOKUP(B1459,Results!$B$23:$B$119,Results!$D$23:$D$119)</f>
        <v/>
      </c>
      <c r="D1459" s="1" t="n">
        <v>36</v>
      </c>
      <c r="E1459" s="1" t="inlineStr">
        <is>
          <t>CHO</t>
        </is>
      </c>
      <c r="F1459" s="1" t="n">
        <v>6.7586</v>
      </c>
      <c r="G1459" s="1" t="n">
        <v>4.369841</v>
      </c>
    </row>
    <row r="1460">
      <c r="A1460" s="2" t="inlineStr">
        <is>
          <t>C12</t>
        </is>
      </c>
      <c r="B1460" s="2" t="n">
        <v>36</v>
      </c>
      <c r="C1460" s="2">
        <f>_xlfn.XLOOKUP(B1460,Results!$B$23:$B$119,Results!$D$23:$D$119)</f>
        <v/>
      </c>
      <c r="D1460" s="2" t="n">
        <v>37</v>
      </c>
      <c r="E1460" s="2" t="inlineStr">
        <is>
          <t>CHO</t>
        </is>
      </c>
      <c r="F1460" s="2" t="n">
        <v>6.8345</v>
      </c>
      <c r="G1460" s="2" t="n">
        <v>4.441152</v>
      </c>
    </row>
    <row r="1461">
      <c r="A1461" s="1" t="inlineStr">
        <is>
          <t>C12</t>
        </is>
      </c>
      <c r="B1461" s="1" t="n">
        <v>36</v>
      </c>
      <c r="C1461" s="2">
        <f>_xlfn.XLOOKUP(B1461,Results!$B$23:$B$119,Results!$D$23:$D$119)</f>
        <v/>
      </c>
      <c r="D1461" s="1" t="n">
        <v>38</v>
      </c>
      <c r="E1461" s="1" t="inlineStr">
        <is>
          <t>CHO</t>
        </is>
      </c>
      <c r="F1461" s="1" t="n">
        <v>6.9173</v>
      </c>
      <c r="G1461" s="1" t="n">
        <v>4.519292</v>
      </c>
    </row>
    <row r="1462">
      <c r="A1462" s="2" t="inlineStr">
        <is>
          <t>C12</t>
        </is>
      </c>
      <c r="B1462" s="2" t="n">
        <v>36</v>
      </c>
      <c r="C1462" s="2">
        <f>_xlfn.XLOOKUP(B1462,Results!$B$23:$B$119,Results!$D$23:$D$119)</f>
        <v/>
      </c>
      <c r="D1462" s="2" t="n">
        <v>39</v>
      </c>
      <c r="E1462" s="2" t="inlineStr">
        <is>
          <t>CHO</t>
        </is>
      </c>
      <c r="F1462" s="2" t="n">
        <v>6.9893</v>
      </c>
      <c r="G1462" s="2" t="n">
        <v>4.586697</v>
      </c>
    </row>
    <row r="1463">
      <c r="A1463" s="1" t="inlineStr">
        <is>
          <t>C12</t>
        </is>
      </c>
      <c r="B1463" s="1" t="n">
        <v>36</v>
      </c>
      <c r="C1463" s="2">
        <f>_xlfn.XLOOKUP(B1463,Results!$B$23:$B$119,Results!$D$23:$D$119)</f>
        <v/>
      </c>
      <c r="D1463" s="1" t="n">
        <v>40</v>
      </c>
      <c r="E1463" s="1" t="inlineStr">
        <is>
          <t>CHO</t>
        </is>
      </c>
      <c r="F1463" s="1" t="n">
        <v>7.0435</v>
      </c>
      <c r="G1463" s="1" t="n">
        <v>4.636298</v>
      </c>
    </row>
    <row r="1464">
      <c r="A1464" s="2" t="inlineStr">
        <is>
          <t>D1</t>
        </is>
      </c>
      <c r="B1464" s="2" t="n">
        <v>37</v>
      </c>
      <c r="C1464" s="2">
        <f>_xlfn.XLOOKUP(B1464,Results!$B$23:$B$119,Results!$D$23:$D$119)</f>
        <v/>
      </c>
      <c r="D1464" s="2" t="n">
        <v>1</v>
      </c>
      <c r="E1464" s="2" t="inlineStr"/>
      <c r="F1464" s="2" t="inlineStr"/>
      <c r="G1464" s="2" t="inlineStr"/>
    </row>
    <row r="1465">
      <c r="A1465" s="1" t="inlineStr">
        <is>
          <t>D1</t>
        </is>
      </c>
      <c r="B1465" s="1" t="n">
        <v>37</v>
      </c>
      <c r="C1465" s="2">
        <f>_xlfn.XLOOKUP(B1465,Results!$B$23:$B$119,Results!$D$23:$D$119)</f>
        <v/>
      </c>
      <c r="D1465" s="1" t="n">
        <v>2</v>
      </c>
      <c r="E1465" s="1" t="inlineStr"/>
      <c r="F1465" s="1" t="inlineStr"/>
      <c r="G1465" s="1" t="inlineStr"/>
    </row>
    <row r="1466">
      <c r="A1466" s="2" t="inlineStr">
        <is>
          <t>D1</t>
        </is>
      </c>
      <c r="B1466" s="2" t="n">
        <v>37</v>
      </c>
      <c r="C1466" s="2">
        <f>_xlfn.XLOOKUP(B1466,Results!$B$23:$B$119,Results!$D$23:$D$119)</f>
        <v/>
      </c>
      <c r="D1466" s="2" t="n">
        <v>3</v>
      </c>
      <c r="E1466" s="2" t="inlineStr"/>
      <c r="F1466" s="2" t="inlineStr"/>
      <c r="G1466" s="2" t="inlineStr"/>
    </row>
    <row r="1467">
      <c r="A1467" s="1" t="inlineStr">
        <is>
          <t>D1</t>
        </is>
      </c>
      <c r="B1467" s="1" t="n">
        <v>37</v>
      </c>
      <c r="C1467" s="2">
        <f>_xlfn.XLOOKUP(B1467,Results!$B$23:$B$119,Results!$D$23:$D$119)</f>
        <v/>
      </c>
      <c r="D1467" s="1" t="n">
        <v>4</v>
      </c>
      <c r="E1467" s="1" t="inlineStr"/>
      <c r="F1467" s="1" t="inlineStr"/>
      <c r="G1467" s="1" t="inlineStr"/>
    </row>
    <row r="1468">
      <c r="A1468" s="2" t="inlineStr">
        <is>
          <t>D1</t>
        </is>
      </c>
      <c r="B1468" s="2" t="n">
        <v>37</v>
      </c>
      <c r="C1468" s="2">
        <f>_xlfn.XLOOKUP(B1468,Results!$B$23:$B$119,Results!$D$23:$D$119)</f>
        <v/>
      </c>
      <c r="D1468" s="2" t="n">
        <v>5</v>
      </c>
      <c r="E1468" s="2" t="inlineStr"/>
      <c r="F1468" s="2" t="inlineStr"/>
      <c r="G1468" s="2" t="inlineStr"/>
    </row>
    <row r="1469">
      <c r="A1469" s="1" t="inlineStr">
        <is>
          <t>D1</t>
        </is>
      </c>
      <c r="B1469" s="1" t="n">
        <v>37</v>
      </c>
      <c r="C1469" s="2">
        <f>_xlfn.XLOOKUP(B1469,Results!$B$23:$B$119,Results!$D$23:$D$119)</f>
        <v/>
      </c>
      <c r="D1469" s="1" t="n">
        <v>6</v>
      </c>
      <c r="E1469" s="1" t="inlineStr"/>
      <c r="F1469" s="1" t="inlineStr"/>
      <c r="G1469" s="1" t="inlineStr"/>
    </row>
    <row r="1470">
      <c r="A1470" s="2" t="inlineStr">
        <is>
          <t>D1</t>
        </is>
      </c>
      <c r="B1470" s="2" t="n">
        <v>37</v>
      </c>
      <c r="C1470" s="2">
        <f>_xlfn.XLOOKUP(B1470,Results!$B$23:$B$119,Results!$D$23:$D$119)</f>
        <v/>
      </c>
      <c r="D1470" s="2" t="n">
        <v>7</v>
      </c>
      <c r="E1470" s="2" t="inlineStr"/>
      <c r="F1470" s="2" t="inlineStr"/>
      <c r="G1470" s="2" t="inlineStr"/>
    </row>
    <row r="1471">
      <c r="A1471" s="1" t="inlineStr">
        <is>
          <t>D1</t>
        </is>
      </c>
      <c r="B1471" s="1" t="n">
        <v>37</v>
      </c>
      <c r="C1471" s="2">
        <f>_xlfn.XLOOKUP(B1471,Results!$B$23:$B$119,Results!$D$23:$D$119)</f>
        <v/>
      </c>
      <c r="D1471" s="1" t="n">
        <v>8</v>
      </c>
      <c r="E1471" s="1" t="inlineStr"/>
      <c r="F1471" s="1" t="inlineStr"/>
      <c r="G1471" s="1" t="inlineStr"/>
    </row>
    <row r="1472">
      <c r="A1472" s="2" t="inlineStr">
        <is>
          <t>D1</t>
        </is>
      </c>
      <c r="B1472" s="2" t="n">
        <v>37</v>
      </c>
      <c r="C1472" s="2">
        <f>_xlfn.XLOOKUP(B1472,Results!$B$23:$B$119,Results!$D$23:$D$119)</f>
        <v/>
      </c>
      <c r="D1472" s="2" t="n">
        <v>9</v>
      </c>
      <c r="E1472" s="2" t="inlineStr"/>
      <c r="F1472" s="2" t="inlineStr"/>
      <c r="G1472" s="2" t="inlineStr"/>
    </row>
    <row r="1473">
      <c r="A1473" s="1" t="inlineStr">
        <is>
          <t>D1</t>
        </is>
      </c>
      <c r="B1473" s="1" t="n">
        <v>37</v>
      </c>
      <c r="C1473" s="2">
        <f>_xlfn.XLOOKUP(B1473,Results!$B$23:$B$119,Results!$D$23:$D$119)</f>
        <v/>
      </c>
      <c r="D1473" s="1" t="n">
        <v>10</v>
      </c>
      <c r="E1473" s="1" t="inlineStr"/>
      <c r="F1473" s="1" t="inlineStr"/>
      <c r="G1473" s="1" t="inlineStr"/>
    </row>
    <row r="1474">
      <c r="A1474" s="2" t="inlineStr">
        <is>
          <t>D1</t>
        </is>
      </c>
      <c r="B1474" s="2" t="n">
        <v>37</v>
      </c>
      <c r="C1474" s="2">
        <f>_xlfn.XLOOKUP(B1474,Results!$B$23:$B$119,Results!$D$23:$D$119)</f>
        <v/>
      </c>
      <c r="D1474" s="2" t="n">
        <v>11</v>
      </c>
      <c r="E1474" s="2" t="inlineStr"/>
      <c r="F1474" s="2" t="inlineStr"/>
      <c r="G1474" s="2" t="inlineStr"/>
    </row>
    <row r="1475">
      <c r="A1475" s="1" t="inlineStr">
        <is>
          <t>D1</t>
        </is>
      </c>
      <c r="B1475" s="1" t="n">
        <v>37</v>
      </c>
      <c r="C1475" s="2">
        <f>_xlfn.XLOOKUP(B1475,Results!$B$23:$B$119,Results!$D$23:$D$119)</f>
        <v/>
      </c>
      <c r="D1475" s="1" t="n">
        <v>12</v>
      </c>
      <c r="E1475" s="1" t="inlineStr"/>
      <c r="F1475" s="1" t="inlineStr"/>
      <c r="G1475" s="1" t="inlineStr"/>
    </row>
    <row r="1476">
      <c r="A1476" s="2" t="inlineStr">
        <is>
          <t>D1</t>
        </is>
      </c>
      <c r="B1476" s="2" t="n">
        <v>37</v>
      </c>
      <c r="C1476" s="2">
        <f>_xlfn.XLOOKUP(B1476,Results!$B$23:$B$119,Results!$D$23:$D$119)</f>
        <v/>
      </c>
      <c r="D1476" s="2" t="n">
        <v>13</v>
      </c>
      <c r="E1476" s="2" t="inlineStr"/>
      <c r="F1476" s="2" t="inlineStr"/>
      <c r="G1476" s="2" t="inlineStr"/>
    </row>
    <row r="1477">
      <c r="A1477" s="1" t="inlineStr">
        <is>
          <t>D1</t>
        </is>
      </c>
      <c r="B1477" s="1" t="n">
        <v>37</v>
      </c>
      <c r="C1477" s="2">
        <f>_xlfn.XLOOKUP(B1477,Results!$B$23:$B$119,Results!$D$23:$D$119)</f>
        <v/>
      </c>
      <c r="D1477" s="1" t="n">
        <v>14</v>
      </c>
      <c r="E1477" s="1" t="inlineStr"/>
      <c r="F1477" s="1" t="inlineStr"/>
      <c r="G1477" s="1" t="inlineStr"/>
    </row>
    <row r="1478">
      <c r="A1478" s="2" t="inlineStr">
        <is>
          <t>D1</t>
        </is>
      </c>
      <c r="B1478" s="2" t="n">
        <v>37</v>
      </c>
      <c r="C1478" s="2">
        <f>_xlfn.XLOOKUP(B1478,Results!$B$23:$B$119,Results!$D$23:$D$119)</f>
        <v/>
      </c>
      <c r="D1478" s="2" t="n">
        <v>15</v>
      </c>
      <c r="E1478" s="2" t="inlineStr"/>
      <c r="F1478" s="2" t="inlineStr"/>
      <c r="G1478" s="2" t="inlineStr"/>
    </row>
    <row r="1479">
      <c r="A1479" s="1" t="inlineStr">
        <is>
          <t>D1</t>
        </is>
      </c>
      <c r="B1479" s="1" t="n">
        <v>37</v>
      </c>
      <c r="C1479" s="2">
        <f>_xlfn.XLOOKUP(B1479,Results!$B$23:$B$119,Results!$D$23:$D$119)</f>
        <v/>
      </c>
      <c r="D1479" s="1" t="n">
        <v>16</v>
      </c>
      <c r="E1479" s="1" t="inlineStr"/>
      <c r="F1479" s="1" t="inlineStr"/>
      <c r="G1479" s="1" t="inlineStr"/>
    </row>
    <row r="1480">
      <c r="A1480" s="2" t="inlineStr">
        <is>
          <t>D1</t>
        </is>
      </c>
      <c r="B1480" s="2" t="n">
        <v>37</v>
      </c>
      <c r="C1480" s="2">
        <f>_xlfn.XLOOKUP(B1480,Results!$B$23:$B$119,Results!$D$23:$D$119)</f>
        <v/>
      </c>
      <c r="D1480" s="2" t="n">
        <v>17</v>
      </c>
      <c r="E1480" s="2" t="inlineStr"/>
      <c r="F1480" s="2" t="inlineStr"/>
      <c r="G1480" s="2" t="inlineStr"/>
    </row>
    <row r="1481">
      <c r="A1481" s="1" t="inlineStr">
        <is>
          <t>D1</t>
        </is>
      </c>
      <c r="B1481" s="1" t="n">
        <v>37</v>
      </c>
      <c r="C1481" s="2">
        <f>_xlfn.XLOOKUP(B1481,Results!$B$23:$B$119,Results!$D$23:$D$119)</f>
        <v/>
      </c>
      <c r="D1481" s="1" t="n">
        <v>18</v>
      </c>
      <c r="E1481" s="1" t="inlineStr"/>
      <c r="F1481" s="1" t="inlineStr"/>
      <c r="G1481" s="1" t="inlineStr"/>
    </row>
    <row r="1482">
      <c r="A1482" s="2" t="inlineStr">
        <is>
          <t>D1</t>
        </is>
      </c>
      <c r="B1482" s="2" t="n">
        <v>37</v>
      </c>
      <c r="C1482" s="2">
        <f>_xlfn.XLOOKUP(B1482,Results!$B$23:$B$119,Results!$D$23:$D$119)</f>
        <v/>
      </c>
      <c r="D1482" s="2" t="n">
        <v>19</v>
      </c>
      <c r="E1482" s="2" t="inlineStr"/>
      <c r="F1482" s="2" t="inlineStr"/>
      <c r="G1482" s="2" t="inlineStr"/>
    </row>
    <row r="1483">
      <c r="A1483" s="1" t="inlineStr">
        <is>
          <t>D1</t>
        </is>
      </c>
      <c r="B1483" s="1" t="n">
        <v>37</v>
      </c>
      <c r="C1483" s="2">
        <f>_xlfn.XLOOKUP(B1483,Results!$B$23:$B$119,Results!$D$23:$D$119)</f>
        <v/>
      </c>
      <c r="D1483" s="1" t="n">
        <v>20</v>
      </c>
      <c r="E1483" s="1" t="inlineStr"/>
      <c r="F1483" s="1" t="inlineStr"/>
      <c r="G1483" s="1" t="inlineStr"/>
    </row>
    <row r="1484">
      <c r="A1484" s="2" t="inlineStr">
        <is>
          <t>D1</t>
        </is>
      </c>
      <c r="B1484" s="2" t="n">
        <v>37</v>
      </c>
      <c r="C1484" s="2">
        <f>_xlfn.XLOOKUP(B1484,Results!$B$23:$B$119,Results!$D$23:$D$119)</f>
        <v/>
      </c>
      <c r="D1484" s="2" t="n">
        <v>21</v>
      </c>
      <c r="E1484" s="2" t="inlineStr"/>
      <c r="F1484" s="2" t="inlineStr"/>
      <c r="G1484" s="2" t="inlineStr"/>
    </row>
    <row r="1485">
      <c r="A1485" s="1" t="inlineStr">
        <is>
          <t>D1</t>
        </is>
      </c>
      <c r="B1485" s="1" t="n">
        <v>37</v>
      </c>
      <c r="C1485" s="2">
        <f>_xlfn.XLOOKUP(B1485,Results!$B$23:$B$119,Results!$D$23:$D$119)</f>
        <v/>
      </c>
      <c r="D1485" s="1" t="n">
        <v>22</v>
      </c>
      <c r="E1485" s="1" t="inlineStr"/>
      <c r="F1485" s="1" t="inlineStr"/>
      <c r="G1485" s="1" t="inlineStr"/>
    </row>
    <row r="1486">
      <c r="A1486" s="2" t="inlineStr">
        <is>
          <t>D1</t>
        </is>
      </c>
      <c r="B1486" s="2" t="n">
        <v>37</v>
      </c>
      <c r="C1486" s="2">
        <f>_xlfn.XLOOKUP(B1486,Results!$B$23:$B$119,Results!$D$23:$D$119)</f>
        <v/>
      </c>
      <c r="D1486" s="2" t="n">
        <v>23</v>
      </c>
      <c r="E1486" s="2" t="inlineStr"/>
      <c r="F1486" s="2" t="inlineStr"/>
      <c r="G1486" s="2" t="inlineStr"/>
    </row>
    <row r="1487">
      <c r="A1487" s="1" t="inlineStr">
        <is>
          <t>D1</t>
        </is>
      </c>
      <c r="B1487" s="1" t="n">
        <v>37</v>
      </c>
      <c r="C1487" s="2">
        <f>_xlfn.XLOOKUP(B1487,Results!$B$23:$B$119,Results!$D$23:$D$119)</f>
        <v/>
      </c>
      <c r="D1487" s="1" t="n">
        <v>24</v>
      </c>
      <c r="E1487" s="1" t="inlineStr"/>
      <c r="F1487" s="1" t="inlineStr"/>
      <c r="G1487" s="1" t="inlineStr"/>
    </row>
    <row r="1488">
      <c r="A1488" s="2" t="inlineStr">
        <is>
          <t>D1</t>
        </is>
      </c>
      <c r="B1488" s="2" t="n">
        <v>37</v>
      </c>
      <c r="C1488" s="2">
        <f>_xlfn.XLOOKUP(B1488,Results!$B$23:$B$119,Results!$D$23:$D$119)</f>
        <v/>
      </c>
      <c r="D1488" s="2" t="n">
        <v>25</v>
      </c>
      <c r="E1488" s="2" t="inlineStr"/>
      <c r="F1488" s="2" t="inlineStr"/>
      <c r="G1488" s="2" t="inlineStr"/>
    </row>
    <row r="1489">
      <c r="A1489" s="1" t="inlineStr">
        <is>
          <t>D1</t>
        </is>
      </c>
      <c r="B1489" s="1" t="n">
        <v>37</v>
      </c>
      <c r="C1489" s="2">
        <f>_xlfn.XLOOKUP(B1489,Results!$B$23:$B$119,Results!$D$23:$D$119)</f>
        <v/>
      </c>
      <c r="D1489" s="1" t="n">
        <v>26</v>
      </c>
      <c r="E1489" s="1" t="inlineStr"/>
      <c r="F1489" s="1" t="inlineStr"/>
      <c r="G1489" s="1" t="inlineStr"/>
    </row>
    <row r="1490">
      <c r="A1490" s="2" t="inlineStr">
        <is>
          <t>D1</t>
        </is>
      </c>
      <c r="B1490" s="2" t="n">
        <v>37</v>
      </c>
      <c r="C1490" s="2">
        <f>_xlfn.XLOOKUP(B1490,Results!$B$23:$B$119,Results!$D$23:$D$119)</f>
        <v/>
      </c>
      <c r="D1490" s="2" t="n">
        <v>27</v>
      </c>
      <c r="E1490" s="2" t="inlineStr"/>
      <c r="F1490" s="2" t="inlineStr"/>
      <c r="G1490" s="2" t="inlineStr"/>
    </row>
    <row r="1491">
      <c r="A1491" s="1" t="inlineStr">
        <is>
          <t>D1</t>
        </is>
      </c>
      <c r="B1491" s="1" t="n">
        <v>37</v>
      </c>
      <c r="C1491" s="2">
        <f>_xlfn.XLOOKUP(B1491,Results!$B$23:$B$119,Results!$D$23:$D$119)</f>
        <v/>
      </c>
      <c r="D1491" s="1" t="n">
        <v>28</v>
      </c>
      <c r="E1491" s="1" t="inlineStr"/>
      <c r="F1491" s="1" t="inlineStr"/>
      <c r="G1491" s="1" t="inlineStr"/>
    </row>
    <row r="1492">
      <c r="A1492" s="2" t="inlineStr">
        <is>
          <t>D1</t>
        </is>
      </c>
      <c r="B1492" s="2" t="n">
        <v>37</v>
      </c>
      <c r="C1492" s="2">
        <f>_xlfn.XLOOKUP(B1492,Results!$B$23:$B$119,Results!$D$23:$D$119)</f>
        <v/>
      </c>
      <c r="D1492" s="2" t="n">
        <v>29</v>
      </c>
      <c r="E1492" s="2" t="inlineStr"/>
      <c r="F1492" s="2" t="inlineStr"/>
      <c r="G1492" s="2" t="inlineStr"/>
    </row>
    <row r="1493">
      <c r="A1493" s="1" t="inlineStr">
        <is>
          <t>D1</t>
        </is>
      </c>
      <c r="B1493" s="1" t="n">
        <v>37</v>
      </c>
      <c r="C1493" s="2">
        <f>_xlfn.XLOOKUP(B1493,Results!$B$23:$B$119,Results!$D$23:$D$119)</f>
        <v/>
      </c>
      <c r="D1493" s="1" t="n">
        <v>30</v>
      </c>
      <c r="E1493" s="1" t="inlineStr"/>
      <c r="F1493" s="1" t="inlineStr"/>
      <c r="G1493" s="1" t="inlineStr"/>
    </row>
    <row r="1494">
      <c r="A1494" s="2" t="inlineStr">
        <is>
          <t>D1</t>
        </is>
      </c>
      <c r="B1494" s="2" t="n">
        <v>37</v>
      </c>
      <c r="C1494" s="2">
        <f>_xlfn.XLOOKUP(B1494,Results!$B$23:$B$119,Results!$D$23:$D$119)</f>
        <v/>
      </c>
      <c r="D1494" s="2" t="n">
        <v>31</v>
      </c>
      <c r="E1494" s="2" t="inlineStr"/>
      <c r="F1494" s="2" t="inlineStr"/>
      <c r="G1494" s="2" t="inlineStr"/>
    </row>
    <row r="1495">
      <c r="A1495" s="1" t="inlineStr">
        <is>
          <t>D1</t>
        </is>
      </c>
      <c r="B1495" s="1" t="n">
        <v>37</v>
      </c>
      <c r="C1495" s="2">
        <f>_xlfn.XLOOKUP(B1495,Results!$B$23:$B$119,Results!$D$23:$D$119)</f>
        <v/>
      </c>
      <c r="D1495" s="1" t="n">
        <v>32</v>
      </c>
      <c r="E1495" s="1" t="inlineStr"/>
      <c r="F1495" s="1" t="inlineStr"/>
      <c r="G1495" s="1" t="inlineStr"/>
    </row>
    <row r="1496">
      <c r="A1496" s="2" t="inlineStr">
        <is>
          <t>D1</t>
        </is>
      </c>
      <c r="B1496" s="2" t="n">
        <v>37</v>
      </c>
      <c r="C1496" s="2">
        <f>_xlfn.XLOOKUP(B1496,Results!$B$23:$B$119,Results!$D$23:$D$119)</f>
        <v/>
      </c>
      <c r="D1496" s="2" t="n">
        <v>33</v>
      </c>
      <c r="E1496" s="2" t="inlineStr"/>
      <c r="F1496" s="2" t="inlineStr"/>
      <c r="G1496" s="2" t="inlineStr"/>
    </row>
    <row r="1497">
      <c r="A1497" s="1" t="inlineStr">
        <is>
          <t>D1</t>
        </is>
      </c>
      <c r="B1497" s="1" t="n">
        <v>37</v>
      </c>
      <c r="C1497" s="2">
        <f>_xlfn.XLOOKUP(B1497,Results!$B$23:$B$119,Results!$D$23:$D$119)</f>
        <v/>
      </c>
      <c r="D1497" s="1" t="n">
        <v>34</v>
      </c>
      <c r="E1497" s="1" t="inlineStr"/>
      <c r="F1497" s="1" t="inlineStr"/>
      <c r="G1497" s="1" t="inlineStr"/>
    </row>
    <row r="1498">
      <c r="A1498" s="2" t="inlineStr">
        <is>
          <t>D1</t>
        </is>
      </c>
      <c r="B1498" s="2" t="n">
        <v>37</v>
      </c>
      <c r="C1498" s="2">
        <f>_xlfn.XLOOKUP(B1498,Results!$B$23:$B$119,Results!$D$23:$D$119)</f>
        <v/>
      </c>
      <c r="D1498" s="2" t="n">
        <v>35</v>
      </c>
      <c r="E1498" s="2" t="inlineStr"/>
      <c r="F1498" s="2" t="inlineStr"/>
      <c r="G1498" s="2" t="inlineStr"/>
    </row>
    <row r="1499">
      <c r="A1499" s="1" t="inlineStr">
        <is>
          <t>D1</t>
        </is>
      </c>
      <c r="B1499" s="1" t="n">
        <v>37</v>
      </c>
      <c r="C1499" s="2">
        <f>_xlfn.XLOOKUP(B1499,Results!$B$23:$B$119,Results!$D$23:$D$119)</f>
        <v/>
      </c>
      <c r="D1499" s="1" t="n">
        <v>36</v>
      </c>
      <c r="E1499" s="1" t="inlineStr"/>
      <c r="F1499" s="1" t="inlineStr"/>
      <c r="G1499" s="1" t="inlineStr"/>
    </row>
    <row r="1500">
      <c r="A1500" s="2" t="inlineStr">
        <is>
          <t>D1</t>
        </is>
      </c>
      <c r="B1500" s="2" t="n">
        <v>37</v>
      </c>
      <c r="C1500" s="2">
        <f>_xlfn.XLOOKUP(B1500,Results!$B$23:$B$119,Results!$D$23:$D$119)</f>
        <v/>
      </c>
      <c r="D1500" s="2" t="n">
        <v>37</v>
      </c>
      <c r="E1500" s="2" t="inlineStr"/>
      <c r="F1500" s="2" t="inlineStr"/>
      <c r="G1500" s="2" t="inlineStr"/>
    </row>
    <row r="1501">
      <c r="A1501" s="1" t="inlineStr">
        <is>
          <t>D1</t>
        </is>
      </c>
      <c r="B1501" s="1" t="n">
        <v>37</v>
      </c>
      <c r="C1501" s="2">
        <f>_xlfn.XLOOKUP(B1501,Results!$B$23:$B$119,Results!$D$23:$D$119)</f>
        <v/>
      </c>
      <c r="D1501" s="1" t="n">
        <v>38</v>
      </c>
      <c r="E1501" s="1" t="inlineStr"/>
      <c r="F1501" s="1" t="inlineStr"/>
      <c r="G1501" s="1" t="inlineStr"/>
    </row>
    <row r="1502">
      <c r="A1502" s="2" t="inlineStr">
        <is>
          <t>D1</t>
        </is>
      </c>
      <c r="B1502" s="2" t="n">
        <v>37</v>
      </c>
      <c r="C1502" s="2">
        <f>_xlfn.XLOOKUP(B1502,Results!$B$23:$B$119,Results!$D$23:$D$119)</f>
        <v/>
      </c>
      <c r="D1502" s="2" t="n">
        <v>39</v>
      </c>
      <c r="E1502" s="2" t="inlineStr"/>
      <c r="F1502" s="2" t="inlineStr"/>
      <c r="G1502" s="2" t="inlineStr"/>
    </row>
    <row r="1503">
      <c r="A1503" s="1" t="inlineStr">
        <is>
          <t>D1</t>
        </is>
      </c>
      <c r="B1503" s="1" t="n">
        <v>37</v>
      </c>
      <c r="C1503" s="2">
        <f>_xlfn.XLOOKUP(B1503,Results!$B$23:$B$119,Results!$D$23:$D$119)</f>
        <v/>
      </c>
      <c r="D1503" s="1" t="n">
        <v>40</v>
      </c>
      <c r="E1503" s="1" t="inlineStr"/>
      <c r="F1503" s="1" t="inlineStr"/>
      <c r="G1503" s="1" t="inlineStr"/>
    </row>
    <row r="1504">
      <c r="A1504" s="2" t="inlineStr">
        <is>
          <t>D2</t>
        </is>
      </c>
      <c r="B1504" s="2" t="n">
        <v>38</v>
      </c>
      <c r="C1504" s="2">
        <f>_xlfn.XLOOKUP(B1504,Results!$B$23:$B$119,Results!$D$23:$D$119)</f>
        <v/>
      </c>
      <c r="D1504" s="2" t="n">
        <v>1</v>
      </c>
      <c r="E1504" s="2" t="inlineStr"/>
      <c r="F1504" s="2" t="inlineStr"/>
      <c r="G1504" s="2" t="inlineStr"/>
    </row>
    <row r="1505">
      <c r="A1505" s="1" t="inlineStr">
        <is>
          <t>D2</t>
        </is>
      </c>
      <c r="B1505" s="1" t="n">
        <v>38</v>
      </c>
      <c r="C1505" s="2">
        <f>_xlfn.XLOOKUP(B1505,Results!$B$23:$B$119,Results!$D$23:$D$119)</f>
        <v/>
      </c>
      <c r="D1505" s="1" t="n">
        <v>2</v>
      </c>
      <c r="E1505" s="1" t="inlineStr"/>
      <c r="F1505" s="1" t="inlineStr"/>
      <c r="G1505" s="1" t="inlineStr"/>
    </row>
    <row r="1506">
      <c r="A1506" s="2" t="inlineStr">
        <is>
          <t>D2</t>
        </is>
      </c>
      <c r="B1506" s="2" t="n">
        <v>38</v>
      </c>
      <c r="C1506" s="2">
        <f>_xlfn.XLOOKUP(B1506,Results!$B$23:$B$119,Results!$D$23:$D$119)</f>
        <v/>
      </c>
      <c r="D1506" s="2" t="n">
        <v>3</v>
      </c>
      <c r="E1506" s="2" t="inlineStr"/>
      <c r="F1506" s="2" t="inlineStr"/>
      <c r="G1506" s="2" t="inlineStr"/>
    </row>
    <row r="1507">
      <c r="A1507" s="1" t="inlineStr">
        <is>
          <t>D2</t>
        </is>
      </c>
      <c r="B1507" s="1" t="n">
        <v>38</v>
      </c>
      <c r="C1507" s="2">
        <f>_xlfn.XLOOKUP(B1507,Results!$B$23:$B$119,Results!$D$23:$D$119)</f>
        <v/>
      </c>
      <c r="D1507" s="1" t="n">
        <v>4</v>
      </c>
      <c r="E1507" s="1" t="inlineStr"/>
      <c r="F1507" s="1" t="inlineStr"/>
      <c r="G1507" s="1" t="inlineStr"/>
    </row>
    <row r="1508">
      <c r="A1508" s="2" t="inlineStr">
        <is>
          <t>D2</t>
        </is>
      </c>
      <c r="B1508" s="2" t="n">
        <v>38</v>
      </c>
      <c r="C1508" s="2">
        <f>_xlfn.XLOOKUP(B1508,Results!$B$23:$B$119,Results!$D$23:$D$119)</f>
        <v/>
      </c>
      <c r="D1508" s="2" t="n">
        <v>5</v>
      </c>
      <c r="E1508" s="2" t="inlineStr"/>
      <c r="F1508" s="2" t="inlineStr"/>
      <c r="G1508" s="2" t="inlineStr"/>
    </row>
    <row r="1509">
      <c r="A1509" s="1" t="inlineStr">
        <is>
          <t>D2</t>
        </is>
      </c>
      <c r="B1509" s="1" t="n">
        <v>38</v>
      </c>
      <c r="C1509" s="2">
        <f>_xlfn.XLOOKUP(B1509,Results!$B$23:$B$119,Results!$D$23:$D$119)</f>
        <v/>
      </c>
      <c r="D1509" s="1" t="n">
        <v>6</v>
      </c>
      <c r="E1509" s="1" t="inlineStr"/>
      <c r="F1509" s="1" t="inlineStr"/>
      <c r="G1509" s="1" t="inlineStr"/>
    </row>
    <row r="1510">
      <c r="A1510" s="2" t="inlineStr">
        <is>
          <t>D2</t>
        </is>
      </c>
      <c r="B1510" s="2" t="n">
        <v>38</v>
      </c>
      <c r="C1510" s="2">
        <f>_xlfn.XLOOKUP(B1510,Results!$B$23:$B$119,Results!$D$23:$D$119)</f>
        <v/>
      </c>
      <c r="D1510" s="2" t="n">
        <v>7</v>
      </c>
      <c r="E1510" s="2" t="inlineStr"/>
      <c r="F1510" s="2" t="inlineStr"/>
      <c r="G1510" s="2" t="inlineStr"/>
    </row>
    <row r="1511">
      <c r="A1511" s="1" t="inlineStr">
        <is>
          <t>D2</t>
        </is>
      </c>
      <c r="B1511" s="1" t="n">
        <v>38</v>
      </c>
      <c r="C1511" s="2">
        <f>_xlfn.XLOOKUP(B1511,Results!$B$23:$B$119,Results!$D$23:$D$119)</f>
        <v/>
      </c>
      <c r="D1511" s="1" t="n">
        <v>8</v>
      </c>
      <c r="E1511" s="1" t="inlineStr"/>
      <c r="F1511" s="1" t="inlineStr"/>
      <c r="G1511" s="1" t="inlineStr"/>
    </row>
    <row r="1512">
      <c r="A1512" s="2" t="inlineStr">
        <is>
          <t>D2</t>
        </is>
      </c>
      <c r="B1512" s="2" t="n">
        <v>38</v>
      </c>
      <c r="C1512" s="2">
        <f>_xlfn.XLOOKUP(B1512,Results!$B$23:$B$119,Results!$D$23:$D$119)</f>
        <v/>
      </c>
      <c r="D1512" s="2" t="n">
        <v>9</v>
      </c>
      <c r="E1512" s="2" t="inlineStr"/>
      <c r="F1512" s="2" t="inlineStr"/>
      <c r="G1512" s="2" t="inlineStr"/>
    </row>
    <row r="1513">
      <c r="A1513" s="1" t="inlineStr">
        <is>
          <t>D2</t>
        </is>
      </c>
      <c r="B1513" s="1" t="n">
        <v>38</v>
      </c>
      <c r="C1513" s="2">
        <f>_xlfn.XLOOKUP(B1513,Results!$B$23:$B$119,Results!$D$23:$D$119)</f>
        <v/>
      </c>
      <c r="D1513" s="1" t="n">
        <v>10</v>
      </c>
      <c r="E1513" s="1" t="inlineStr"/>
      <c r="F1513" s="1" t="inlineStr"/>
      <c r="G1513" s="1" t="inlineStr"/>
    </row>
    <row r="1514">
      <c r="A1514" s="2" t="inlineStr">
        <is>
          <t>D2</t>
        </is>
      </c>
      <c r="B1514" s="2" t="n">
        <v>38</v>
      </c>
      <c r="C1514" s="2">
        <f>_xlfn.XLOOKUP(B1514,Results!$B$23:$B$119,Results!$D$23:$D$119)</f>
        <v/>
      </c>
      <c r="D1514" s="2" t="n">
        <v>11</v>
      </c>
      <c r="E1514" s="2" t="inlineStr"/>
      <c r="F1514" s="2" t="inlineStr"/>
      <c r="G1514" s="2" t="inlineStr"/>
    </row>
    <row r="1515">
      <c r="A1515" s="1" t="inlineStr">
        <is>
          <t>D2</t>
        </is>
      </c>
      <c r="B1515" s="1" t="n">
        <v>38</v>
      </c>
      <c r="C1515" s="2">
        <f>_xlfn.XLOOKUP(B1515,Results!$B$23:$B$119,Results!$D$23:$D$119)</f>
        <v/>
      </c>
      <c r="D1515" s="1" t="n">
        <v>12</v>
      </c>
      <c r="E1515" s="1" t="inlineStr"/>
      <c r="F1515" s="1" t="inlineStr"/>
      <c r="G1515" s="1" t="inlineStr"/>
    </row>
    <row r="1516">
      <c r="A1516" s="2" t="inlineStr">
        <is>
          <t>D2</t>
        </is>
      </c>
      <c r="B1516" s="2" t="n">
        <v>38</v>
      </c>
      <c r="C1516" s="2">
        <f>_xlfn.XLOOKUP(B1516,Results!$B$23:$B$119,Results!$D$23:$D$119)</f>
        <v/>
      </c>
      <c r="D1516" s="2" t="n">
        <v>13</v>
      </c>
      <c r="E1516" s="2" t="inlineStr"/>
      <c r="F1516" s="2" t="inlineStr"/>
      <c r="G1516" s="2" t="inlineStr"/>
    </row>
    <row r="1517">
      <c r="A1517" s="1" t="inlineStr">
        <is>
          <t>D2</t>
        </is>
      </c>
      <c r="B1517" s="1" t="n">
        <v>38</v>
      </c>
      <c r="C1517" s="2">
        <f>_xlfn.XLOOKUP(B1517,Results!$B$23:$B$119,Results!$D$23:$D$119)</f>
        <v/>
      </c>
      <c r="D1517" s="1" t="n">
        <v>14</v>
      </c>
      <c r="E1517" s="1" t="inlineStr"/>
      <c r="F1517" s="1" t="inlineStr"/>
      <c r="G1517" s="1" t="inlineStr"/>
    </row>
    <row r="1518">
      <c r="A1518" s="2" t="inlineStr">
        <is>
          <t>D2</t>
        </is>
      </c>
      <c r="B1518" s="2" t="n">
        <v>38</v>
      </c>
      <c r="C1518" s="2">
        <f>_xlfn.XLOOKUP(B1518,Results!$B$23:$B$119,Results!$D$23:$D$119)</f>
        <v/>
      </c>
      <c r="D1518" s="2" t="n">
        <v>15</v>
      </c>
      <c r="E1518" s="2" t="inlineStr"/>
      <c r="F1518" s="2" t="inlineStr"/>
      <c r="G1518" s="2" t="inlineStr"/>
    </row>
    <row r="1519">
      <c r="A1519" s="1" t="inlineStr">
        <is>
          <t>D2</t>
        </is>
      </c>
      <c r="B1519" s="1" t="n">
        <v>38</v>
      </c>
      <c r="C1519" s="2">
        <f>_xlfn.XLOOKUP(B1519,Results!$B$23:$B$119,Results!$D$23:$D$119)</f>
        <v/>
      </c>
      <c r="D1519" s="1" t="n">
        <v>16</v>
      </c>
      <c r="E1519" s="1" t="inlineStr"/>
      <c r="F1519" s="1" t="inlineStr"/>
      <c r="G1519" s="1" t="inlineStr"/>
    </row>
    <row r="1520">
      <c r="A1520" s="2" t="inlineStr">
        <is>
          <t>D2</t>
        </is>
      </c>
      <c r="B1520" s="2" t="n">
        <v>38</v>
      </c>
      <c r="C1520" s="2">
        <f>_xlfn.XLOOKUP(B1520,Results!$B$23:$B$119,Results!$D$23:$D$119)</f>
        <v/>
      </c>
      <c r="D1520" s="2" t="n">
        <v>17</v>
      </c>
      <c r="E1520" s="2" t="inlineStr"/>
      <c r="F1520" s="2" t="inlineStr"/>
      <c r="G1520" s="2" t="inlineStr"/>
    </row>
    <row r="1521">
      <c r="A1521" s="1" t="inlineStr">
        <is>
          <t>D2</t>
        </is>
      </c>
      <c r="B1521" s="1" t="n">
        <v>38</v>
      </c>
      <c r="C1521" s="2">
        <f>_xlfn.XLOOKUP(B1521,Results!$B$23:$B$119,Results!$D$23:$D$119)</f>
        <v/>
      </c>
      <c r="D1521" s="1" t="n">
        <v>18</v>
      </c>
      <c r="E1521" s="1" t="inlineStr"/>
      <c r="F1521" s="1" t="inlineStr"/>
      <c r="G1521" s="1" t="inlineStr"/>
    </row>
    <row r="1522">
      <c r="A1522" s="2" t="inlineStr">
        <is>
          <t>D2</t>
        </is>
      </c>
      <c r="B1522" s="2" t="n">
        <v>38</v>
      </c>
      <c r="C1522" s="2">
        <f>_xlfn.XLOOKUP(B1522,Results!$B$23:$B$119,Results!$D$23:$D$119)</f>
        <v/>
      </c>
      <c r="D1522" s="2" t="n">
        <v>19</v>
      </c>
      <c r="E1522" s="2" t="inlineStr"/>
      <c r="F1522" s="2" t="inlineStr"/>
      <c r="G1522" s="2" t="inlineStr"/>
    </row>
    <row r="1523">
      <c r="A1523" s="1" t="inlineStr">
        <is>
          <t>D2</t>
        </is>
      </c>
      <c r="B1523" s="1" t="n">
        <v>38</v>
      </c>
      <c r="C1523" s="2">
        <f>_xlfn.XLOOKUP(B1523,Results!$B$23:$B$119,Results!$D$23:$D$119)</f>
        <v/>
      </c>
      <c r="D1523" s="1" t="n">
        <v>20</v>
      </c>
      <c r="E1523" s="1" t="inlineStr"/>
      <c r="F1523" s="1" t="inlineStr"/>
      <c r="G1523" s="1" t="inlineStr"/>
    </row>
    <row r="1524">
      <c r="A1524" s="2" t="inlineStr">
        <is>
          <t>D2</t>
        </is>
      </c>
      <c r="B1524" s="2" t="n">
        <v>38</v>
      </c>
      <c r="C1524" s="2">
        <f>_xlfn.XLOOKUP(B1524,Results!$B$23:$B$119,Results!$D$23:$D$119)</f>
        <v/>
      </c>
      <c r="D1524" s="2" t="n">
        <v>21</v>
      </c>
      <c r="E1524" s="2" t="inlineStr"/>
      <c r="F1524" s="2" t="inlineStr"/>
      <c r="G1524" s="2" t="inlineStr"/>
    </row>
    <row r="1525">
      <c r="A1525" s="1" t="inlineStr">
        <is>
          <t>D2</t>
        </is>
      </c>
      <c r="B1525" s="1" t="n">
        <v>38</v>
      </c>
      <c r="C1525" s="2">
        <f>_xlfn.XLOOKUP(B1525,Results!$B$23:$B$119,Results!$D$23:$D$119)</f>
        <v/>
      </c>
      <c r="D1525" s="1" t="n">
        <v>22</v>
      </c>
      <c r="E1525" s="1" t="inlineStr"/>
      <c r="F1525" s="1" t="inlineStr"/>
      <c r="G1525" s="1" t="inlineStr"/>
    </row>
    <row r="1526">
      <c r="A1526" s="2" t="inlineStr">
        <is>
          <t>D2</t>
        </is>
      </c>
      <c r="B1526" s="2" t="n">
        <v>38</v>
      </c>
      <c r="C1526" s="2">
        <f>_xlfn.XLOOKUP(B1526,Results!$B$23:$B$119,Results!$D$23:$D$119)</f>
        <v/>
      </c>
      <c r="D1526" s="2" t="n">
        <v>23</v>
      </c>
      <c r="E1526" s="2" t="inlineStr"/>
      <c r="F1526" s="2" t="inlineStr"/>
      <c r="G1526" s="2" t="inlineStr"/>
    </row>
    <row r="1527">
      <c r="A1527" s="1" t="inlineStr">
        <is>
          <t>D2</t>
        </is>
      </c>
      <c r="B1527" s="1" t="n">
        <v>38</v>
      </c>
      <c r="C1527" s="2">
        <f>_xlfn.XLOOKUP(B1527,Results!$B$23:$B$119,Results!$D$23:$D$119)</f>
        <v/>
      </c>
      <c r="D1527" s="1" t="n">
        <v>24</v>
      </c>
      <c r="E1527" s="1" t="inlineStr"/>
      <c r="F1527" s="1" t="inlineStr"/>
      <c r="G1527" s="1" t="inlineStr"/>
    </row>
    <row r="1528">
      <c r="A1528" s="2" t="inlineStr">
        <is>
          <t>D2</t>
        </is>
      </c>
      <c r="B1528" s="2" t="n">
        <v>38</v>
      </c>
      <c r="C1528" s="2">
        <f>_xlfn.XLOOKUP(B1528,Results!$B$23:$B$119,Results!$D$23:$D$119)</f>
        <v/>
      </c>
      <c r="D1528" s="2" t="n">
        <v>25</v>
      </c>
      <c r="E1528" s="2" t="inlineStr"/>
      <c r="F1528" s="2" t="inlineStr"/>
      <c r="G1528" s="2" t="inlineStr"/>
    </row>
    <row r="1529">
      <c r="A1529" s="1" t="inlineStr">
        <is>
          <t>D2</t>
        </is>
      </c>
      <c r="B1529" s="1" t="n">
        <v>38</v>
      </c>
      <c r="C1529" s="2">
        <f>_xlfn.XLOOKUP(B1529,Results!$B$23:$B$119,Results!$D$23:$D$119)</f>
        <v/>
      </c>
      <c r="D1529" s="1" t="n">
        <v>26</v>
      </c>
      <c r="E1529" s="1" t="inlineStr"/>
      <c r="F1529" s="1" t="inlineStr"/>
      <c r="G1529" s="1" t="inlineStr"/>
    </row>
    <row r="1530">
      <c r="A1530" s="2" t="inlineStr">
        <is>
          <t>D2</t>
        </is>
      </c>
      <c r="B1530" s="2" t="n">
        <v>38</v>
      </c>
      <c r="C1530" s="2">
        <f>_xlfn.XLOOKUP(B1530,Results!$B$23:$B$119,Results!$D$23:$D$119)</f>
        <v/>
      </c>
      <c r="D1530" s="2" t="n">
        <v>27</v>
      </c>
      <c r="E1530" s="2" t="inlineStr"/>
      <c r="F1530" s="2" t="inlineStr"/>
      <c r="G1530" s="2" t="inlineStr"/>
    </row>
    <row r="1531">
      <c r="A1531" s="1" t="inlineStr">
        <is>
          <t>D2</t>
        </is>
      </c>
      <c r="B1531" s="1" t="n">
        <v>38</v>
      </c>
      <c r="C1531" s="2">
        <f>_xlfn.XLOOKUP(B1531,Results!$B$23:$B$119,Results!$D$23:$D$119)</f>
        <v/>
      </c>
      <c r="D1531" s="1" t="n">
        <v>28</v>
      </c>
      <c r="E1531" s="1" t="inlineStr"/>
      <c r="F1531" s="1" t="inlineStr"/>
      <c r="G1531" s="1" t="inlineStr"/>
    </row>
    <row r="1532">
      <c r="A1532" s="2" t="inlineStr">
        <is>
          <t>D2</t>
        </is>
      </c>
      <c r="B1532" s="2" t="n">
        <v>38</v>
      </c>
      <c r="C1532" s="2">
        <f>_xlfn.XLOOKUP(B1532,Results!$B$23:$B$119,Results!$D$23:$D$119)</f>
        <v/>
      </c>
      <c r="D1532" s="2" t="n">
        <v>29</v>
      </c>
      <c r="E1532" s="2" t="inlineStr"/>
      <c r="F1532" s="2" t="inlineStr"/>
      <c r="G1532" s="2" t="inlineStr"/>
    </row>
    <row r="1533">
      <c r="A1533" s="1" t="inlineStr">
        <is>
          <t>D2</t>
        </is>
      </c>
      <c r="B1533" s="1" t="n">
        <v>38</v>
      </c>
      <c r="C1533" s="2">
        <f>_xlfn.XLOOKUP(B1533,Results!$B$23:$B$119,Results!$D$23:$D$119)</f>
        <v/>
      </c>
      <c r="D1533" s="1" t="n">
        <v>30</v>
      </c>
      <c r="E1533" s="1" t="inlineStr"/>
      <c r="F1533" s="1" t="inlineStr"/>
      <c r="G1533" s="1" t="inlineStr"/>
    </row>
    <row r="1534">
      <c r="A1534" s="2" t="inlineStr">
        <is>
          <t>D2</t>
        </is>
      </c>
      <c r="B1534" s="2" t="n">
        <v>38</v>
      </c>
      <c r="C1534" s="2">
        <f>_xlfn.XLOOKUP(B1534,Results!$B$23:$B$119,Results!$D$23:$D$119)</f>
        <v/>
      </c>
      <c r="D1534" s="2" t="n">
        <v>31</v>
      </c>
      <c r="E1534" s="2" t="inlineStr"/>
      <c r="F1534" s="2" t="inlineStr"/>
      <c r="G1534" s="2" t="inlineStr"/>
    </row>
    <row r="1535">
      <c r="A1535" s="1" t="inlineStr">
        <is>
          <t>D2</t>
        </is>
      </c>
      <c r="B1535" s="1" t="n">
        <v>38</v>
      </c>
      <c r="C1535" s="2">
        <f>_xlfn.XLOOKUP(B1535,Results!$B$23:$B$119,Results!$D$23:$D$119)</f>
        <v/>
      </c>
      <c r="D1535" s="1" t="n">
        <v>32</v>
      </c>
      <c r="E1535" s="1" t="inlineStr"/>
      <c r="F1535" s="1" t="inlineStr"/>
      <c r="G1535" s="1" t="inlineStr"/>
    </row>
    <row r="1536">
      <c r="A1536" s="2" t="inlineStr">
        <is>
          <t>D2</t>
        </is>
      </c>
      <c r="B1536" s="2" t="n">
        <v>38</v>
      </c>
      <c r="C1536" s="2">
        <f>_xlfn.XLOOKUP(B1536,Results!$B$23:$B$119,Results!$D$23:$D$119)</f>
        <v/>
      </c>
      <c r="D1536" s="2" t="n">
        <v>33</v>
      </c>
      <c r="E1536" s="2" t="inlineStr"/>
      <c r="F1536" s="2" t="inlineStr"/>
      <c r="G1536" s="2" t="inlineStr"/>
    </row>
    <row r="1537">
      <c r="A1537" s="1" t="inlineStr">
        <is>
          <t>D2</t>
        </is>
      </c>
      <c r="B1537" s="1" t="n">
        <v>38</v>
      </c>
      <c r="C1537" s="2">
        <f>_xlfn.XLOOKUP(B1537,Results!$B$23:$B$119,Results!$D$23:$D$119)</f>
        <v/>
      </c>
      <c r="D1537" s="1" t="n">
        <v>34</v>
      </c>
      <c r="E1537" s="1" t="inlineStr"/>
      <c r="F1537" s="1" t="inlineStr"/>
      <c r="G1537" s="1" t="inlineStr"/>
    </row>
    <row r="1538">
      <c r="A1538" s="2" t="inlineStr">
        <is>
          <t>D2</t>
        </is>
      </c>
      <c r="B1538" s="2" t="n">
        <v>38</v>
      </c>
      <c r="C1538" s="2">
        <f>_xlfn.XLOOKUP(B1538,Results!$B$23:$B$119,Results!$D$23:$D$119)</f>
        <v/>
      </c>
      <c r="D1538" s="2" t="n">
        <v>35</v>
      </c>
      <c r="E1538" s="2" t="inlineStr"/>
      <c r="F1538" s="2" t="inlineStr"/>
      <c r="G1538" s="2" t="inlineStr"/>
    </row>
    <row r="1539">
      <c r="A1539" s="1" t="inlineStr">
        <is>
          <t>D2</t>
        </is>
      </c>
      <c r="B1539" s="1" t="n">
        <v>38</v>
      </c>
      <c r="C1539" s="2">
        <f>_xlfn.XLOOKUP(B1539,Results!$B$23:$B$119,Results!$D$23:$D$119)</f>
        <v/>
      </c>
      <c r="D1539" s="1" t="n">
        <v>36</v>
      </c>
      <c r="E1539" s="1" t="inlineStr"/>
      <c r="F1539" s="1" t="inlineStr"/>
      <c r="G1539" s="1" t="inlineStr"/>
    </row>
    <row r="1540">
      <c r="A1540" s="2" t="inlineStr">
        <is>
          <t>D2</t>
        </is>
      </c>
      <c r="B1540" s="2" t="n">
        <v>38</v>
      </c>
      <c r="C1540" s="2">
        <f>_xlfn.XLOOKUP(B1540,Results!$B$23:$B$119,Results!$D$23:$D$119)</f>
        <v/>
      </c>
      <c r="D1540" s="2" t="n">
        <v>37</v>
      </c>
      <c r="E1540" s="2" t="inlineStr"/>
      <c r="F1540" s="2" t="inlineStr"/>
      <c r="G1540" s="2" t="inlineStr"/>
    </row>
    <row r="1541">
      <c r="A1541" s="1" t="inlineStr">
        <is>
          <t>D2</t>
        </is>
      </c>
      <c r="B1541" s="1" t="n">
        <v>38</v>
      </c>
      <c r="C1541" s="2">
        <f>_xlfn.XLOOKUP(B1541,Results!$B$23:$B$119,Results!$D$23:$D$119)</f>
        <v/>
      </c>
      <c r="D1541" s="1" t="n">
        <v>38</v>
      </c>
      <c r="E1541" s="1" t="inlineStr"/>
      <c r="F1541" s="1" t="inlineStr"/>
      <c r="G1541" s="1" t="inlineStr"/>
    </row>
    <row r="1542">
      <c r="A1542" s="2" t="inlineStr">
        <is>
          <t>D2</t>
        </is>
      </c>
      <c r="B1542" s="2" t="n">
        <v>38</v>
      </c>
      <c r="C1542" s="2">
        <f>_xlfn.XLOOKUP(B1542,Results!$B$23:$B$119,Results!$D$23:$D$119)</f>
        <v/>
      </c>
      <c r="D1542" s="2" t="n">
        <v>39</v>
      </c>
      <c r="E1542" s="2" t="inlineStr"/>
      <c r="F1542" s="2" t="inlineStr"/>
      <c r="G1542" s="2" t="inlineStr"/>
    </row>
    <row r="1543">
      <c r="A1543" s="1" t="inlineStr">
        <is>
          <t>D2</t>
        </is>
      </c>
      <c r="B1543" s="1" t="n">
        <v>38</v>
      </c>
      <c r="C1543" s="2">
        <f>_xlfn.XLOOKUP(B1543,Results!$B$23:$B$119,Results!$D$23:$D$119)</f>
        <v/>
      </c>
      <c r="D1543" s="1" t="n">
        <v>40</v>
      </c>
      <c r="E1543" s="1" t="inlineStr"/>
      <c r="F1543" s="1" t="inlineStr"/>
      <c r="G1543" s="1" t="inlineStr"/>
    </row>
    <row r="1544">
      <c r="A1544" s="2" t="inlineStr">
        <is>
          <t>D3</t>
        </is>
      </c>
      <c r="B1544" s="2" t="n">
        <v>39</v>
      </c>
      <c r="C1544" s="2">
        <f>_xlfn.XLOOKUP(B1544,Results!$B$23:$B$119,Results!$D$23:$D$119)</f>
        <v/>
      </c>
      <c r="D1544" s="2" t="n">
        <v>1</v>
      </c>
      <c r="E1544" s="2" t="inlineStr"/>
      <c r="F1544" s="2" t="inlineStr"/>
      <c r="G1544" s="2" t="inlineStr"/>
    </row>
    <row r="1545">
      <c r="A1545" s="1" t="inlineStr">
        <is>
          <t>D3</t>
        </is>
      </c>
      <c r="B1545" s="1" t="n">
        <v>39</v>
      </c>
      <c r="C1545" s="2">
        <f>_xlfn.XLOOKUP(B1545,Results!$B$23:$B$119,Results!$D$23:$D$119)</f>
        <v/>
      </c>
      <c r="D1545" s="1" t="n">
        <v>2</v>
      </c>
      <c r="E1545" s="1" t="inlineStr"/>
      <c r="F1545" s="1" t="inlineStr"/>
      <c r="G1545" s="1" t="inlineStr"/>
    </row>
    <row r="1546">
      <c r="A1546" s="2" t="inlineStr">
        <is>
          <t>D3</t>
        </is>
      </c>
      <c r="B1546" s="2" t="n">
        <v>39</v>
      </c>
      <c r="C1546" s="2">
        <f>_xlfn.XLOOKUP(B1546,Results!$B$23:$B$119,Results!$D$23:$D$119)</f>
        <v/>
      </c>
      <c r="D1546" s="2" t="n">
        <v>3</v>
      </c>
      <c r="E1546" s="2" t="inlineStr"/>
      <c r="F1546" s="2" t="inlineStr"/>
      <c r="G1546" s="2" t="inlineStr"/>
    </row>
    <row r="1547">
      <c r="A1547" s="1" t="inlineStr">
        <is>
          <t>D3</t>
        </is>
      </c>
      <c r="B1547" s="1" t="n">
        <v>39</v>
      </c>
      <c r="C1547" s="2">
        <f>_xlfn.XLOOKUP(B1547,Results!$B$23:$B$119,Results!$D$23:$D$119)</f>
        <v/>
      </c>
      <c r="D1547" s="1" t="n">
        <v>4</v>
      </c>
      <c r="E1547" s="1" t="inlineStr"/>
      <c r="F1547" s="1" t="inlineStr"/>
      <c r="G1547" s="1" t="inlineStr"/>
    </row>
    <row r="1548">
      <c r="A1548" s="2" t="inlineStr">
        <is>
          <t>D3</t>
        </is>
      </c>
      <c r="B1548" s="2" t="n">
        <v>39</v>
      </c>
      <c r="C1548" s="2">
        <f>_xlfn.XLOOKUP(B1548,Results!$B$23:$B$119,Results!$D$23:$D$119)</f>
        <v/>
      </c>
      <c r="D1548" s="2" t="n">
        <v>5</v>
      </c>
      <c r="E1548" s="2" t="inlineStr"/>
      <c r="F1548" s="2" t="inlineStr"/>
      <c r="G1548" s="2" t="inlineStr"/>
    </row>
    <row r="1549">
      <c r="A1549" s="1" t="inlineStr">
        <is>
          <t>D3</t>
        </is>
      </c>
      <c r="B1549" s="1" t="n">
        <v>39</v>
      </c>
      <c r="C1549" s="2">
        <f>_xlfn.XLOOKUP(B1549,Results!$B$23:$B$119,Results!$D$23:$D$119)</f>
        <v/>
      </c>
      <c r="D1549" s="1" t="n">
        <v>6</v>
      </c>
      <c r="E1549" s="1" t="inlineStr"/>
      <c r="F1549" s="1" t="inlineStr"/>
      <c r="G1549" s="1" t="inlineStr"/>
    </row>
    <row r="1550">
      <c r="A1550" s="2" t="inlineStr">
        <is>
          <t>D3</t>
        </is>
      </c>
      <c r="B1550" s="2" t="n">
        <v>39</v>
      </c>
      <c r="C1550" s="2">
        <f>_xlfn.XLOOKUP(B1550,Results!$B$23:$B$119,Results!$D$23:$D$119)</f>
        <v/>
      </c>
      <c r="D1550" s="2" t="n">
        <v>7</v>
      </c>
      <c r="E1550" s="2" t="inlineStr"/>
      <c r="F1550" s="2" t="inlineStr"/>
      <c r="G1550" s="2" t="inlineStr"/>
    </row>
    <row r="1551">
      <c r="A1551" s="1" t="inlineStr">
        <is>
          <t>D3</t>
        </is>
      </c>
      <c r="B1551" s="1" t="n">
        <v>39</v>
      </c>
      <c r="C1551" s="2">
        <f>_xlfn.XLOOKUP(B1551,Results!$B$23:$B$119,Results!$D$23:$D$119)</f>
        <v/>
      </c>
      <c r="D1551" s="1" t="n">
        <v>8</v>
      </c>
      <c r="E1551" s="1" t="inlineStr"/>
      <c r="F1551" s="1" t="inlineStr"/>
      <c r="G1551" s="1" t="inlineStr"/>
    </row>
    <row r="1552">
      <c r="A1552" s="2" t="inlineStr">
        <is>
          <t>D3</t>
        </is>
      </c>
      <c r="B1552" s="2" t="n">
        <v>39</v>
      </c>
      <c r="C1552" s="2">
        <f>_xlfn.XLOOKUP(B1552,Results!$B$23:$B$119,Results!$D$23:$D$119)</f>
        <v/>
      </c>
      <c r="D1552" s="2" t="n">
        <v>9</v>
      </c>
      <c r="E1552" s="2" t="inlineStr"/>
      <c r="F1552" s="2" t="inlineStr"/>
      <c r="G1552" s="2" t="inlineStr"/>
    </row>
    <row r="1553">
      <c r="A1553" s="1" t="inlineStr">
        <is>
          <t>D3</t>
        </is>
      </c>
      <c r="B1553" s="1" t="n">
        <v>39</v>
      </c>
      <c r="C1553" s="2">
        <f>_xlfn.XLOOKUP(B1553,Results!$B$23:$B$119,Results!$D$23:$D$119)</f>
        <v/>
      </c>
      <c r="D1553" s="1" t="n">
        <v>10</v>
      </c>
      <c r="E1553" s="1" t="inlineStr"/>
      <c r="F1553" s="1" t="inlineStr"/>
      <c r="G1553" s="1" t="inlineStr"/>
    </row>
    <row r="1554">
      <c r="A1554" s="2" t="inlineStr">
        <is>
          <t>D3</t>
        </is>
      </c>
      <c r="B1554" s="2" t="n">
        <v>39</v>
      </c>
      <c r="C1554" s="2">
        <f>_xlfn.XLOOKUP(B1554,Results!$B$23:$B$119,Results!$D$23:$D$119)</f>
        <v/>
      </c>
      <c r="D1554" s="2" t="n">
        <v>11</v>
      </c>
      <c r="E1554" s="2" t="inlineStr"/>
      <c r="F1554" s="2" t="inlineStr"/>
      <c r="G1554" s="2" t="inlineStr"/>
    </row>
    <row r="1555">
      <c r="A1555" s="1" t="inlineStr">
        <is>
          <t>D3</t>
        </is>
      </c>
      <c r="B1555" s="1" t="n">
        <v>39</v>
      </c>
      <c r="C1555" s="2">
        <f>_xlfn.XLOOKUP(B1555,Results!$B$23:$B$119,Results!$D$23:$D$119)</f>
        <v/>
      </c>
      <c r="D1555" s="1" t="n">
        <v>12</v>
      </c>
      <c r="E1555" s="1" t="inlineStr"/>
      <c r="F1555" s="1" t="inlineStr"/>
      <c r="G1555" s="1" t="inlineStr"/>
    </row>
    <row r="1556">
      <c r="A1556" s="2" t="inlineStr">
        <is>
          <t>D3</t>
        </is>
      </c>
      <c r="B1556" s="2" t="n">
        <v>39</v>
      </c>
      <c r="C1556" s="2">
        <f>_xlfn.XLOOKUP(B1556,Results!$B$23:$B$119,Results!$D$23:$D$119)</f>
        <v/>
      </c>
      <c r="D1556" s="2" t="n">
        <v>13</v>
      </c>
      <c r="E1556" s="2" t="inlineStr"/>
      <c r="F1556" s="2" t="inlineStr"/>
      <c r="G1556" s="2" t="inlineStr"/>
    </row>
    <row r="1557">
      <c r="A1557" s="1" t="inlineStr">
        <is>
          <t>D3</t>
        </is>
      </c>
      <c r="B1557" s="1" t="n">
        <v>39</v>
      </c>
      <c r="C1557" s="2">
        <f>_xlfn.XLOOKUP(B1557,Results!$B$23:$B$119,Results!$D$23:$D$119)</f>
        <v/>
      </c>
      <c r="D1557" s="1" t="n">
        <v>14</v>
      </c>
      <c r="E1557" s="1" t="inlineStr"/>
      <c r="F1557" s="1" t="inlineStr"/>
      <c r="G1557" s="1" t="inlineStr"/>
    </row>
    <row r="1558">
      <c r="A1558" s="2" t="inlineStr">
        <is>
          <t>D3</t>
        </is>
      </c>
      <c r="B1558" s="2" t="n">
        <v>39</v>
      </c>
      <c r="C1558" s="2">
        <f>_xlfn.XLOOKUP(B1558,Results!$B$23:$B$119,Results!$D$23:$D$119)</f>
        <v/>
      </c>
      <c r="D1558" s="2" t="n">
        <v>15</v>
      </c>
      <c r="E1558" s="2" t="inlineStr"/>
      <c r="F1558" s="2" t="inlineStr"/>
      <c r="G1558" s="2" t="inlineStr"/>
    </row>
    <row r="1559">
      <c r="A1559" s="1" t="inlineStr">
        <is>
          <t>D3</t>
        </is>
      </c>
      <c r="B1559" s="1" t="n">
        <v>39</v>
      </c>
      <c r="C1559" s="2">
        <f>_xlfn.XLOOKUP(B1559,Results!$B$23:$B$119,Results!$D$23:$D$119)</f>
        <v/>
      </c>
      <c r="D1559" s="1" t="n">
        <v>16</v>
      </c>
      <c r="E1559" s="1" t="inlineStr"/>
      <c r="F1559" s="1" t="inlineStr"/>
      <c r="G1559" s="1" t="inlineStr"/>
    </row>
    <row r="1560">
      <c r="A1560" s="2" t="inlineStr">
        <is>
          <t>D3</t>
        </is>
      </c>
      <c r="B1560" s="2" t="n">
        <v>39</v>
      </c>
      <c r="C1560" s="2">
        <f>_xlfn.XLOOKUP(B1560,Results!$B$23:$B$119,Results!$D$23:$D$119)</f>
        <v/>
      </c>
      <c r="D1560" s="2" t="n">
        <v>17</v>
      </c>
      <c r="E1560" s="2" t="inlineStr"/>
      <c r="F1560" s="2" t="inlineStr"/>
      <c r="G1560" s="2" t="inlineStr"/>
    </row>
    <row r="1561">
      <c r="A1561" s="1" t="inlineStr">
        <is>
          <t>D3</t>
        </is>
      </c>
      <c r="B1561" s="1" t="n">
        <v>39</v>
      </c>
      <c r="C1561" s="2">
        <f>_xlfn.XLOOKUP(B1561,Results!$B$23:$B$119,Results!$D$23:$D$119)</f>
        <v/>
      </c>
      <c r="D1561" s="1" t="n">
        <v>18</v>
      </c>
      <c r="E1561" s="1" t="inlineStr"/>
      <c r="F1561" s="1" t="inlineStr"/>
      <c r="G1561" s="1" t="inlineStr"/>
    </row>
    <row r="1562">
      <c r="A1562" s="2" t="inlineStr">
        <is>
          <t>D3</t>
        </is>
      </c>
      <c r="B1562" s="2" t="n">
        <v>39</v>
      </c>
      <c r="C1562" s="2">
        <f>_xlfn.XLOOKUP(B1562,Results!$B$23:$B$119,Results!$D$23:$D$119)</f>
        <v/>
      </c>
      <c r="D1562" s="2" t="n">
        <v>19</v>
      </c>
      <c r="E1562" s="2" t="inlineStr"/>
      <c r="F1562" s="2" t="inlineStr"/>
      <c r="G1562" s="2" t="inlineStr"/>
    </row>
    <row r="1563">
      <c r="A1563" s="1" t="inlineStr">
        <is>
          <t>D3</t>
        </is>
      </c>
      <c r="B1563" s="1" t="n">
        <v>39</v>
      </c>
      <c r="C1563" s="2">
        <f>_xlfn.XLOOKUP(B1563,Results!$B$23:$B$119,Results!$D$23:$D$119)</f>
        <v/>
      </c>
      <c r="D1563" s="1" t="n">
        <v>20</v>
      </c>
      <c r="E1563" s="1" t="inlineStr"/>
      <c r="F1563" s="1" t="inlineStr"/>
      <c r="G1563" s="1" t="inlineStr"/>
    </row>
    <row r="1564">
      <c r="A1564" s="2" t="inlineStr">
        <is>
          <t>D3</t>
        </is>
      </c>
      <c r="B1564" s="2" t="n">
        <v>39</v>
      </c>
      <c r="C1564" s="2">
        <f>_xlfn.XLOOKUP(B1564,Results!$B$23:$B$119,Results!$D$23:$D$119)</f>
        <v/>
      </c>
      <c r="D1564" s="2" t="n">
        <v>21</v>
      </c>
      <c r="E1564" s="2" t="inlineStr"/>
      <c r="F1564" s="2" t="inlineStr"/>
      <c r="G1564" s="2" t="inlineStr"/>
    </row>
    <row r="1565">
      <c r="A1565" s="1" t="inlineStr">
        <is>
          <t>D3</t>
        </is>
      </c>
      <c r="B1565" s="1" t="n">
        <v>39</v>
      </c>
      <c r="C1565" s="2">
        <f>_xlfn.XLOOKUP(B1565,Results!$B$23:$B$119,Results!$D$23:$D$119)</f>
        <v/>
      </c>
      <c r="D1565" s="1" t="n">
        <v>22</v>
      </c>
      <c r="E1565" s="1" t="inlineStr"/>
      <c r="F1565" s="1" t="inlineStr"/>
      <c r="G1565" s="1" t="inlineStr"/>
    </row>
    <row r="1566">
      <c r="A1566" s="2" t="inlineStr">
        <is>
          <t>D3</t>
        </is>
      </c>
      <c r="B1566" s="2" t="n">
        <v>39</v>
      </c>
      <c r="C1566" s="2">
        <f>_xlfn.XLOOKUP(B1566,Results!$B$23:$B$119,Results!$D$23:$D$119)</f>
        <v/>
      </c>
      <c r="D1566" s="2" t="n">
        <v>23</v>
      </c>
      <c r="E1566" s="2" t="inlineStr"/>
      <c r="F1566" s="2" t="inlineStr"/>
      <c r="G1566" s="2" t="inlineStr"/>
    </row>
    <row r="1567">
      <c r="A1567" s="1" t="inlineStr">
        <is>
          <t>D3</t>
        </is>
      </c>
      <c r="B1567" s="1" t="n">
        <v>39</v>
      </c>
      <c r="C1567" s="2">
        <f>_xlfn.XLOOKUP(B1567,Results!$B$23:$B$119,Results!$D$23:$D$119)</f>
        <v/>
      </c>
      <c r="D1567" s="1" t="n">
        <v>24</v>
      </c>
      <c r="E1567" s="1" t="inlineStr"/>
      <c r="F1567" s="1" t="inlineStr"/>
      <c r="G1567" s="1" t="inlineStr"/>
    </row>
    <row r="1568">
      <c r="A1568" s="2" t="inlineStr">
        <is>
          <t>D3</t>
        </is>
      </c>
      <c r="B1568" s="2" t="n">
        <v>39</v>
      </c>
      <c r="C1568" s="2">
        <f>_xlfn.XLOOKUP(B1568,Results!$B$23:$B$119,Results!$D$23:$D$119)</f>
        <v/>
      </c>
      <c r="D1568" s="2" t="n">
        <v>25</v>
      </c>
      <c r="E1568" s="2" t="inlineStr"/>
      <c r="F1568" s="2" t="inlineStr"/>
      <c r="G1568" s="2" t="inlineStr"/>
    </row>
    <row r="1569">
      <c r="A1569" s="1" t="inlineStr">
        <is>
          <t>D3</t>
        </is>
      </c>
      <c r="B1569" s="1" t="n">
        <v>39</v>
      </c>
      <c r="C1569" s="2">
        <f>_xlfn.XLOOKUP(B1569,Results!$B$23:$B$119,Results!$D$23:$D$119)</f>
        <v/>
      </c>
      <c r="D1569" s="1" t="n">
        <v>26</v>
      </c>
      <c r="E1569" s="1" t="inlineStr"/>
      <c r="F1569" s="1" t="inlineStr"/>
      <c r="G1569" s="1" t="inlineStr"/>
    </row>
    <row r="1570">
      <c r="A1570" s="2" t="inlineStr">
        <is>
          <t>D3</t>
        </is>
      </c>
      <c r="B1570" s="2" t="n">
        <v>39</v>
      </c>
      <c r="C1570" s="2">
        <f>_xlfn.XLOOKUP(B1570,Results!$B$23:$B$119,Results!$D$23:$D$119)</f>
        <v/>
      </c>
      <c r="D1570" s="2" t="n">
        <v>27</v>
      </c>
      <c r="E1570" s="2" t="inlineStr"/>
      <c r="F1570" s="2" t="inlineStr"/>
      <c r="G1570" s="2" t="inlineStr"/>
    </row>
    <row r="1571">
      <c r="A1571" s="1" t="inlineStr">
        <is>
          <t>D3</t>
        </is>
      </c>
      <c r="B1571" s="1" t="n">
        <v>39</v>
      </c>
      <c r="C1571" s="2">
        <f>_xlfn.XLOOKUP(B1571,Results!$B$23:$B$119,Results!$D$23:$D$119)</f>
        <v/>
      </c>
      <c r="D1571" s="1" t="n">
        <v>28</v>
      </c>
      <c r="E1571" s="1" t="inlineStr"/>
      <c r="F1571" s="1" t="inlineStr"/>
      <c r="G1571" s="1" t="inlineStr"/>
    </row>
    <row r="1572">
      <c r="A1572" s="2" t="inlineStr">
        <is>
          <t>D3</t>
        </is>
      </c>
      <c r="B1572" s="2" t="n">
        <v>39</v>
      </c>
      <c r="C1572" s="2">
        <f>_xlfn.XLOOKUP(B1572,Results!$B$23:$B$119,Results!$D$23:$D$119)</f>
        <v/>
      </c>
      <c r="D1572" s="2" t="n">
        <v>29</v>
      </c>
      <c r="E1572" s="2" t="inlineStr"/>
      <c r="F1572" s="2" t="inlineStr"/>
      <c r="G1572" s="2" t="inlineStr"/>
    </row>
    <row r="1573">
      <c r="A1573" s="1" t="inlineStr">
        <is>
          <t>D3</t>
        </is>
      </c>
      <c r="B1573" s="1" t="n">
        <v>39</v>
      </c>
      <c r="C1573" s="2">
        <f>_xlfn.XLOOKUP(B1573,Results!$B$23:$B$119,Results!$D$23:$D$119)</f>
        <v/>
      </c>
      <c r="D1573" s="1" t="n">
        <v>30</v>
      </c>
      <c r="E1573" s="1" t="inlineStr"/>
      <c r="F1573" s="1" t="inlineStr"/>
      <c r="G1573" s="1" t="inlineStr"/>
    </row>
    <row r="1574">
      <c r="A1574" s="2" t="inlineStr">
        <is>
          <t>D3</t>
        </is>
      </c>
      <c r="B1574" s="2" t="n">
        <v>39</v>
      </c>
      <c r="C1574" s="2">
        <f>_xlfn.XLOOKUP(B1574,Results!$B$23:$B$119,Results!$D$23:$D$119)</f>
        <v/>
      </c>
      <c r="D1574" s="2" t="n">
        <v>31</v>
      </c>
      <c r="E1574" s="2" t="inlineStr"/>
      <c r="F1574" s="2" t="inlineStr"/>
      <c r="G1574" s="2" t="inlineStr"/>
    </row>
    <row r="1575">
      <c r="A1575" s="1" t="inlineStr">
        <is>
          <t>D3</t>
        </is>
      </c>
      <c r="B1575" s="1" t="n">
        <v>39</v>
      </c>
      <c r="C1575" s="2">
        <f>_xlfn.XLOOKUP(B1575,Results!$B$23:$B$119,Results!$D$23:$D$119)</f>
        <v/>
      </c>
      <c r="D1575" s="1" t="n">
        <v>32</v>
      </c>
      <c r="E1575" s="1" t="inlineStr"/>
      <c r="F1575" s="1" t="inlineStr"/>
      <c r="G1575" s="1" t="inlineStr"/>
    </row>
    <row r="1576">
      <c r="A1576" s="2" t="inlineStr">
        <is>
          <t>D3</t>
        </is>
      </c>
      <c r="B1576" s="2" t="n">
        <v>39</v>
      </c>
      <c r="C1576" s="2">
        <f>_xlfn.XLOOKUP(B1576,Results!$B$23:$B$119,Results!$D$23:$D$119)</f>
        <v/>
      </c>
      <c r="D1576" s="2" t="n">
        <v>33</v>
      </c>
      <c r="E1576" s="2" t="inlineStr"/>
      <c r="F1576" s="2" t="inlineStr"/>
      <c r="G1576" s="2" t="inlineStr"/>
    </row>
    <row r="1577">
      <c r="A1577" s="1" t="inlineStr">
        <is>
          <t>D3</t>
        </is>
      </c>
      <c r="B1577" s="1" t="n">
        <v>39</v>
      </c>
      <c r="C1577" s="2">
        <f>_xlfn.XLOOKUP(B1577,Results!$B$23:$B$119,Results!$D$23:$D$119)</f>
        <v/>
      </c>
      <c r="D1577" s="1" t="n">
        <v>34</v>
      </c>
      <c r="E1577" s="1" t="inlineStr"/>
      <c r="F1577" s="1" t="inlineStr"/>
      <c r="G1577" s="1" t="inlineStr"/>
    </row>
    <row r="1578">
      <c r="A1578" s="2" t="inlineStr">
        <is>
          <t>D3</t>
        </is>
      </c>
      <c r="B1578" s="2" t="n">
        <v>39</v>
      </c>
      <c r="C1578" s="2">
        <f>_xlfn.XLOOKUP(B1578,Results!$B$23:$B$119,Results!$D$23:$D$119)</f>
        <v/>
      </c>
      <c r="D1578" s="2" t="n">
        <v>35</v>
      </c>
      <c r="E1578" s="2" t="inlineStr"/>
      <c r="F1578" s="2" t="inlineStr"/>
      <c r="G1578" s="2" t="inlineStr"/>
    </row>
    <row r="1579">
      <c r="A1579" s="1" t="inlineStr">
        <is>
          <t>D3</t>
        </is>
      </c>
      <c r="B1579" s="1" t="n">
        <v>39</v>
      </c>
      <c r="C1579" s="2">
        <f>_xlfn.XLOOKUP(B1579,Results!$B$23:$B$119,Results!$D$23:$D$119)</f>
        <v/>
      </c>
      <c r="D1579" s="1" t="n">
        <v>36</v>
      </c>
      <c r="E1579" s="1" t="inlineStr"/>
      <c r="F1579" s="1" t="inlineStr"/>
      <c r="G1579" s="1" t="inlineStr"/>
    </row>
    <row r="1580">
      <c r="A1580" s="2" t="inlineStr">
        <is>
          <t>D3</t>
        </is>
      </c>
      <c r="B1580" s="2" t="n">
        <v>39</v>
      </c>
      <c r="C1580" s="2">
        <f>_xlfn.XLOOKUP(B1580,Results!$B$23:$B$119,Results!$D$23:$D$119)</f>
        <v/>
      </c>
      <c r="D1580" s="2" t="n">
        <v>37</v>
      </c>
      <c r="E1580" s="2" t="inlineStr"/>
      <c r="F1580" s="2" t="inlineStr"/>
      <c r="G1580" s="2" t="inlineStr"/>
    </row>
    <row r="1581">
      <c r="A1581" s="1" t="inlineStr">
        <is>
          <t>D3</t>
        </is>
      </c>
      <c r="B1581" s="1" t="n">
        <v>39</v>
      </c>
      <c r="C1581" s="2">
        <f>_xlfn.XLOOKUP(B1581,Results!$B$23:$B$119,Results!$D$23:$D$119)</f>
        <v/>
      </c>
      <c r="D1581" s="1" t="n">
        <v>38</v>
      </c>
      <c r="E1581" s="1" t="inlineStr"/>
      <c r="F1581" s="1" t="inlineStr"/>
      <c r="G1581" s="1" t="inlineStr"/>
    </row>
    <row r="1582">
      <c r="A1582" s="2" t="inlineStr">
        <is>
          <t>D3</t>
        </is>
      </c>
      <c r="B1582" s="2" t="n">
        <v>39</v>
      </c>
      <c r="C1582" s="2">
        <f>_xlfn.XLOOKUP(B1582,Results!$B$23:$B$119,Results!$D$23:$D$119)</f>
        <v/>
      </c>
      <c r="D1582" s="2" t="n">
        <v>39</v>
      </c>
      <c r="E1582" s="2" t="inlineStr"/>
      <c r="F1582" s="2" t="inlineStr"/>
      <c r="G1582" s="2" t="inlineStr"/>
    </row>
    <row r="1583">
      <c r="A1583" s="1" t="inlineStr">
        <is>
          <t>D3</t>
        </is>
      </c>
      <c r="B1583" s="1" t="n">
        <v>39</v>
      </c>
      <c r="C1583" s="2">
        <f>_xlfn.XLOOKUP(B1583,Results!$B$23:$B$119,Results!$D$23:$D$119)</f>
        <v/>
      </c>
      <c r="D1583" s="1" t="n">
        <v>40</v>
      </c>
      <c r="E1583" s="1" t="inlineStr"/>
      <c r="F1583" s="1" t="inlineStr"/>
      <c r="G1583" s="1" t="inlineStr"/>
    </row>
    <row r="1584">
      <c r="A1584" s="2" t="inlineStr">
        <is>
          <t>D4</t>
        </is>
      </c>
      <c r="B1584" s="2" t="n">
        <v>40</v>
      </c>
      <c r="C1584" s="2">
        <f>_xlfn.XLOOKUP(B1584,Results!$B$23:$B$119,Results!$D$23:$D$119)</f>
        <v/>
      </c>
      <c r="D1584" s="2" t="n">
        <v>1</v>
      </c>
      <c r="E1584" s="2" t="inlineStr">
        <is>
          <t>CHO</t>
        </is>
      </c>
      <c r="F1584" s="2" t="n">
        <v>2.3036</v>
      </c>
      <c r="G1584" s="2" t="n">
        <v>0.005128</v>
      </c>
    </row>
    <row r="1585">
      <c r="A1585" s="1" t="inlineStr">
        <is>
          <t>D4</t>
        </is>
      </c>
      <c r="B1585" s="1" t="n">
        <v>40</v>
      </c>
      <c r="C1585" s="2">
        <f>_xlfn.XLOOKUP(B1585,Results!$B$23:$B$119,Results!$D$23:$D$119)</f>
        <v/>
      </c>
      <c r="D1585" s="1" t="n">
        <v>2</v>
      </c>
      <c r="E1585" s="1" t="inlineStr">
        <is>
          <t>CHO</t>
        </is>
      </c>
      <c r="F1585" s="1" t="n">
        <v>2.3072</v>
      </c>
      <c r="G1585" s="1" t="n">
        <v>0.004139</v>
      </c>
    </row>
    <row r="1586">
      <c r="A1586" s="2" t="inlineStr">
        <is>
          <t>D4</t>
        </is>
      </c>
      <c r="B1586" s="2" t="n">
        <v>40</v>
      </c>
      <c r="C1586" s="2">
        <f>_xlfn.XLOOKUP(B1586,Results!$B$23:$B$119,Results!$D$23:$D$119)</f>
        <v/>
      </c>
      <c r="D1586" s="2" t="n">
        <v>3</v>
      </c>
      <c r="E1586" s="2" t="inlineStr">
        <is>
          <t>CHO</t>
        </is>
      </c>
      <c r="F1586" s="2" t="n">
        <v>2.3098</v>
      </c>
      <c r="G1586" s="2" t="n">
        <v>0.002309</v>
      </c>
    </row>
    <row r="1587">
      <c r="A1587" s="1" t="inlineStr">
        <is>
          <t>D4</t>
        </is>
      </c>
      <c r="B1587" s="1" t="n">
        <v>40</v>
      </c>
      <c r="C1587" s="2">
        <f>_xlfn.XLOOKUP(B1587,Results!$B$23:$B$119,Results!$D$23:$D$119)</f>
        <v/>
      </c>
      <c r="D1587" s="1" t="n">
        <v>4</v>
      </c>
      <c r="E1587" s="1" t="inlineStr">
        <is>
          <t>CHO</t>
        </is>
      </c>
      <c r="F1587" s="1" t="n">
        <v>2.3138</v>
      </c>
      <c r="G1587" s="1" t="n">
        <v>0.001773</v>
      </c>
    </row>
    <row r="1588">
      <c r="A1588" s="2" t="inlineStr">
        <is>
          <t>D4</t>
        </is>
      </c>
      <c r="B1588" s="2" t="n">
        <v>40</v>
      </c>
      <c r="C1588" s="2">
        <f>_xlfn.XLOOKUP(B1588,Results!$B$23:$B$119,Results!$D$23:$D$119)</f>
        <v/>
      </c>
      <c r="D1588" s="2" t="n">
        <v>5</v>
      </c>
      <c r="E1588" s="2" t="inlineStr">
        <is>
          <t>CHO</t>
        </is>
      </c>
      <c r="F1588" s="2" t="n">
        <v>2.3156</v>
      </c>
      <c r="G1588" s="2" t="n">
        <v>-0.000941</v>
      </c>
    </row>
    <row r="1589">
      <c r="A1589" s="1" t="inlineStr">
        <is>
          <t>D4</t>
        </is>
      </c>
      <c r="B1589" s="1" t="n">
        <v>40</v>
      </c>
      <c r="C1589" s="2">
        <f>_xlfn.XLOOKUP(B1589,Results!$B$23:$B$119,Results!$D$23:$D$119)</f>
        <v/>
      </c>
      <c r="D1589" s="1" t="n">
        <v>6</v>
      </c>
      <c r="E1589" s="1" t="inlineStr">
        <is>
          <t>CHO</t>
        </is>
      </c>
      <c r="F1589" s="1" t="n">
        <v>2.3204</v>
      </c>
      <c r="G1589" s="1" t="n">
        <v>-0.000744</v>
      </c>
    </row>
    <row r="1590">
      <c r="A1590" s="2" t="inlineStr">
        <is>
          <t>D4</t>
        </is>
      </c>
      <c r="B1590" s="2" t="n">
        <v>40</v>
      </c>
      <c r="C1590" s="2">
        <f>_xlfn.XLOOKUP(B1590,Results!$B$23:$B$119,Results!$D$23:$D$119)</f>
        <v/>
      </c>
      <c r="D1590" s="2" t="n">
        <v>7</v>
      </c>
      <c r="E1590" s="2" t="inlineStr">
        <is>
          <t>CHO</t>
        </is>
      </c>
      <c r="F1590" s="2" t="n">
        <v>2.3262</v>
      </c>
      <c r="G1590" s="2" t="n">
        <v>0.0005820000000000001</v>
      </c>
    </row>
    <row r="1591">
      <c r="A1591" s="1" t="inlineStr">
        <is>
          <t>D4</t>
        </is>
      </c>
      <c r="B1591" s="1" t="n">
        <v>40</v>
      </c>
      <c r="C1591" s="2">
        <f>_xlfn.XLOOKUP(B1591,Results!$B$23:$B$119,Results!$D$23:$D$119)</f>
        <v/>
      </c>
      <c r="D1591" s="1" t="n">
        <v>8</v>
      </c>
      <c r="E1591" s="1" t="inlineStr">
        <is>
          <t>CHO</t>
        </is>
      </c>
      <c r="F1591" s="1" t="n">
        <v>2.3317</v>
      </c>
      <c r="G1591" s="1" t="n">
        <v>0.001525</v>
      </c>
    </row>
    <row r="1592">
      <c r="A1592" s="2" t="inlineStr">
        <is>
          <t>D4</t>
        </is>
      </c>
      <c r="B1592" s="2" t="n">
        <v>40</v>
      </c>
      <c r="C1592" s="2">
        <f>_xlfn.XLOOKUP(B1592,Results!$B$23:$B$119,Results!$D$23:$D$119)</f>
        <v/>
      </c>
      <c r="D1592" s="2" t="n">
        <v>9</v>
      </c>
      <c r="E1592" s="2" t="inlineStr">
        <is>
          <t>CHO</t>
        </is>
      </c>
      <c r="F1592" s="2" t="n">
        <v>2.3355</v>
      </c>
      <c r="G1592" s="2" t="n">
        <v>0.000858</v>
      </c>
    </row>
    <row r="1593">
      <c r="A1593" s="1" t="inlineStr">
        <is>
          <t>D4</t>
        </is>
      </c>
      <c r="B1593" s="1" t="n">
        <v>40</v>
      </c>
      <c r="C1593" s="2">
        <f>_xlfn.XLOOKUP(B1593,Results!$B$23:$B$119,Results!$D$23:$D$119)</f>
        <v/>
      </c>
      <c r="D1593" s="1" t="n">
        <v>10</v>
      </c>
      <c r="E1593" s="1" t="inlineStr">
        <is>
          <t>CHO</t>
        </is>
      </c>
      <c r="F1593" s="1" t="n">
        <v>2.3385</v>
      </c>
      <c r="G1593" s="1" t="n">
        <v>-0.000746</v>
      </c>
    </row>
    <row r="1594">
      <c r="A1594" s="2" t="inlineStr">
        <is>
          <t>D4</t>
        </is>
      </c>
      <c r="B1594" s="2" t="n">
        <v>40</v>
      </c>
      <c r="C1594" s="2">
        <f>_xlfn.XLOOKUP(B1594,Results!$B$23:$B$119,Results!$D$23:$D$119)</f>
        <v/>
      </c>
      <c r="D1594" s="2" t="n">
        <v>11</v>
      </c>
      <c r="E1594" s="2" t="inlineStr">
        <is>
          <t>CHO</t>
        </is>
      </c>
      <c r="F1594" s="2" t="n">
        <v>2.3434</v>
      </c>
      <c r="G1594" s="2" t="n">
        <v>-0.000307</v>
      </c>
    </row>
    <row r="1595">
      <c r="A1595" s="1" t="inlineStr">
        <is>
          <t>D4</t>
        </is>
      </c>
      <c r="B1595" s="1" t="n">
        <v>40</v>
      </c>
      <c r="C1595" s="2">
        <f>_xlfn.XLOOKUP(B1595,Results!$B$23:$B$119,Results!$D$23:$D$119)</f>
        <v/>
      </c>
      <c r="D1595" s="1" t="n">
        <v>12</v>
      </c>
      <c r="E1595" s="1" t="inlineStr">
        <is>
          <t>CHO</t>
        </is>
      </c>
      <c r="F1595" s="1" t="n">
        <v>2.3473</v>
      </c>
      <c r="G1595" s="1" t="n">
        <v>-0.00099</v>
      </c>
    </row>
    <row r="1596">
      <c r="A1596" s="2" t="inlineStr">
        <is>
          <t>D4</t>
        </is>
      </c>
      <c r="B1596" s="2" t="n">
        <v>40</v>
      </c>
      <c r="C1596" s="2">
        <f>_xlfn.XLOOKUP(B1596,Results!$B$23:$B$119,Results!$D$23:$D$119)</f>
        <v/>
      </c>
      <c r="D1596" s="2" t="n">
        <v>13</v>
      </c>
      <c r="E1596" s="2" t="inlineStr">
        <is>
          <t>CHO</t>
        </is>
      </c>
      <c r="F1596" s="2" t="n">
        <v>2.3521</v>
      </c>
      <c r="G1596" s="2" t="n">
        <v>-0.000655</v>
      </c>
    </row>
    <row r="1597">
      <c r="A1597" s="1" t="inlineStr">
        <is>
          <t>D4</t>
        </is>
      </c>
      <c r="B1597" s="1" t="n">
        <v>40</v>
      </c>
      <c r="C1597" s="2">
        <f>_xlfn.XLOOKUP(B1597,Results!$B$23:$B$119,Results!$D$23:$D$119)</f>
        <v/>
      </c>
      <c r="D1597" s="1" t="n">
        <v>14</v>
      </c>
      <c r="E1597" s="1" t="inlineStr">
        <is>
          <t>CHO</t>
        </is>
      </c>
      <c r="F1597" s="1" t="n">
        <v>2.356</v>
      </c>
      <c r="G1597" s="1" t="n">
        <v>-0.001337</v>
      </c>
    </row>
    <row r="1598">
      <c r="A1598" s="2" t="inlineStr">
        <is>
          <t>D4</t>
        </is>
      </c>
      <c r="B1598" s="2" t="n">
        <v>40</v>
      </c>
      <c r="C1598" s="2">
        <f>_xlfn.XLOOKUP(B1598,Results!$B$23:$B$119,Results!$D$23:$D$119)</f>
        <v/>
      </c>
      <c r="D1598" s="2" t="n">
        <v>15</v>
      </c>
      <c r="E1598" s="2" t="inlineStr">
        <is>
          <t>CHO</t>
        </is>
      </c>
      <c r="F1598" s="2" t="n">
        <v>2.3593</v>
      </c>
      <c r="G1598" s="2" t="n">
        <v>-0.002512</v>
      </c>
    </row>
    <row r="1599">
      <c r="A1599" s="1" t="inlineStr">
        <is>
          <t>D4</t>
        </is>
      </c>
      <c r="B1599" s="1" t="n">
        <v>40</v>
      </c>
      <c r="C1599" s="2">
        <f>_xlfn.XLOOKUP(B1599,Results!$B$23:$B$119,Results!$D$23:$D$119)</f>
        <v/>
      </c>
      <c r="D1599" s="1" t="n">
        <v>16</v>
      </c>
      <c r="E1599" s="1" t="inlineStr">
        <is>
          <t>CHO</t>
        </is>
      </c>
      <c r="F1599" s="1" t="n">
        <v>2.3651</v>
      </c>
      <c r="G1599" s="1" t="n">
        <v>-0.001288</v>
      </c>
    </row>
    <row r="1600">
      <c r="A1600" s="2" t="inlineStr">
        <is>
          <t>D4</t>
        </is>
      </c>
      <c r="B1600" s="2" t="n">
        <v>40</v>
      </c>
      <c r="C1600" s="2">
        <f>_xlfn.XLOOKUP(B1600,Results!$B$23:$B$119,Results!$D$23:$D$119)</f>
        <v/>
      </c>
      <c r="D1600" s="2" t="n">
        <v>17</v>
      </c>
      <c r="E1600" s="2" t="inlineStr">
        <is>
          <t>CHO</t>
        </is>
      </c>
      <c r="F1600" s="2" t="n">
        <v>2.3693</v>
      </c>
      <c r="G1600" s="2" t="n">
        <v>-0.001612</v>
      </c>
    </row>
    <row r="1601">
      <c r="A1601" s="1" t="inlineStr">
        <is>
          <t>D4</t>
        </is>
      </c>
      <c r="B1601" s="1" t="n">
        <v>40</v>
      </c>
      <c r="C1601" s="2">
        <f>_xlfn.XLOOKUP(B1601,Results!$B$23:$B$119,Results!$D$23:$D$119)</f>
        <v/>
      </c>
      <c r="D1601" s="1" t="n">
        <v>18</v>
      </c>
      <c r="E1601" s="1" t="inlineStr">
        <is>
          <t>CHO</t>
        </is>
      </c>
      <c r="F1601" s="1" t="n">
        <v>2.3749</v>
      </c>
      <c r="G1601" s="1" t="n">
        <v>-0.0004929999999999999</v>
      </c>
    </row>
    <row r="1602">
      <c r="A1602" s="2" t="inlineStr">
        <is>
          <t>D4</t>
        </is>
      </c>
      <c r="B1602" s="2" t="n">
        <v>40</v>
      </c>
      <c r="C1602" s="2">
        <f>_xlfn.XLOOKUP(B1602,Results!$B$23:$B$119,Results!$D$23:$D$119)</f>
        <v/>
      </c>
      <c r="D1602" s="2" t="n">
        <v>19</v>
      </c>
      <c r="E1602" s="2" t="inlineStr">
        <is>
          <t>CHO</t>
        </is>
      </c>
      <c r="F1602" s="2" t="n">
        <v>2.3802</v>
      </c>
      <c r="G1602" s="2" t="n">
        <v>0.000254</v>
      </c>
    </row>
    <row r="1603">
      <c r="A1603" s="1" t="inlineStr">
        <is>
          <t>D4</t>
        </is>
      </c>
      <c r="B1603" s="1" t="n">
        <v>40</v>
      </c>
      <c r="C1603" s="2">
        <f>_xlfn.XLOOKUP(B1603,Results!$B$23:$B$119,Results!$D$23:$D$119)</f>
        <v/>
      </c>
      <c r="D1603" s="1" t="n">
        <v>20</v>
      </c>
      <c r="E1603" s="1" t="inlineStr">
        <is>
          <t>CHO</t>
        </is>
      </c>
      <c r="F1603" s="1" t="n">
        <v>2.3851</v>
      </c>
      <c r="G1603" s="1" t="n">
        <v>0.000663</v>
      </c>
    </row>
    <row r="1604">
      <c r="A1604" s="2" t="inlineStr">
        <is>
          <t>D4</t>
        </is>
      </c>
      <c r="B1604" s="2" t="n">
        <v>40</v>
      </c>
      <c r="C1604" s="2">
        <f>_xlfn.XLOOKUP(B1604,Results!$B$23:$B$119,Results!$D$23:$D$119)</f>
        <v/>
      </c>
      <c r="D1604" s="2" t="n">
        <v>21</v>
      </c>
      <c r="E1604" s="2" t="inlineStr">
        <is>
          <t>CHO</t>
        </is>
      </c>
      <c r="F1604" s="2" t="n">
        <v>2.3879</v>
      </c>
      <c r="G1604" s="2" t="n">
        <v>-0.001054</v>
      </c>
    </row>
    <row r="1605">
      <c r="A1605" s="1" t="inlineStr">
        <is>
          <t>D4</t>
        </is>
      </c>
      <c r="B1605" s="1" t="n">
        <v>40</v>
      </c>
      <c r="C1605" s="2">
        <f>_xlfn.XLOOKUP(B1605,Results!$B$23:$B$119,Results!$D$23:$D$119)</f>
        <v/>
      </c>
      <c r="D1605" s="1" t="n">
        <v>22</v>
      </c>
      <c r="E1605" s="1" t="inlineStr">
        <is>
          <t>CHO</t>
        </is>
      </c>
      <c r="F1605" s="1" t="n">
        <v>2.3946</v>
      </c>
      <c r="G1605" s="1" t="n">
        <v>0.001069</v>
      </c>
    </row>
    <row r="1606">
      <c r="A1606" s="2" t="inlineStr">
        <is>
          <t>D4</t>
        </is>
      </c>
      <c r="B1606" s="2" t="n">
        <v>40</v>
      </c>
      <c r="C1606" s="2">
        <f>_xlfn.XLOOKUP(B1606,Results!$B$23:$B$119,Results!$D$23:$D$119)</f>
        <v/>
      </c>
      <c r="D1606" s="2" t="n">
        <v>23</v>
      </c>
      <c r="E1606" s="2" t="inlineStr">
        <is>
          <t>CHO</t>
        </is>
      </c>
      <c r="F1606" s="2" t="n">
        <v>2.3999</v>
      </c>
      <c r="G1606" s="2" t="n">
        <v>0.001838</v>
      </c>
    </row>
    <row r="1607">
      <c r="A1607" s="1" t="inlineStr">
        <is>
          <t>D4</t>
        </is>
      </c>
      <c r="B1607" s="1" t="n">
        <v>40</v>
      </c>
      <c r="C1607" s="2">
        <f>_xlfn.XLOOKUP(B1607,Results!$B$23:$B$119,Results!$D$23:$D$119)</f>
        <v/>
      </c>
      <c r="D1607" s="1" t="n">
        <v>24</v>
      </c>
      <c r="E1607" s="1" t="inlineStr">
        <is>
          <t>CHO</t>
        </is>
      </c>
      <c r="F1607" s="1" t="n">
        <v>2.4036</v>
      </c>
      <c r="G1607" s="1" t="n">
        <v>0.001031</v>
      </c>
    </row>
    <row r="1608">
      <c r="A1608" s="2" t="inlineStr">
        <is>
          <t>D4</t>
        </is>
      </c>
      <c r="B1608" s="2" t="n">
        <v>40</v>
      </c>
      <c r="C1608" s="2">
        <f>_xlfn.XLOOKUP(B1608,Results!$B$23:$B$119,Results!$D$23:$D$119)</f>
        <v/>
      </c>
      <c r="D1608" s="2" t="n">
        <v>25</v>
      </c>
      <c r="E1608" s="2" t="inlineStr">
        <is>
          <t>CHO</t>
        </is>
      </c>
      <c r="F1608" s="2" t="n">
        <v>2.4072</v>
      </c>
      <c r="G1608" s="2" t="n">
        <v>6.7e-05</v>
      </c>
    </row>
    <row r="1609">
      <c r="A1609" s="1" t="inlineStr">
        <is>
          <t>D4</t>
        </is>
      </c>
      <c r="B1609" s="1" t="n">
        <v>40</v>
      </c>
      <c r="C1609" s="2">
        <f>_xlfn.XLOOKUP(B1609,Results!$B$23:$B$119,Results!$D$23:$D$119)</f>
        <v/>
      </c>
      <c r="D1609" s="1" t="n">
        <v>26</v>
      </c>
      <c r="E1609" s="1" t="inlineStr">
        <is>
          <t>CHO</t>
        </is>
      </c>
      <c r="F1609" s="1" t="n">
        <v>2.4121</v>
      </c>
      <c r="G1609" s="1" t="n">
        <v>0.000439</v>
      </c>
    </row>
    <row r="1610">
      <c r="A1610" s="2" t="inlineStr">
        <is>
          <t>D4</t>
        </is>
      </c>
      <c r="B1610" s="2" t="n">
        <v>40</v>
      </c>
      <c r="C1610" s="2">
        <f>_xlfn.XLOOKUP(B1610,Results!$B$23:$B$119,Results!$D$23:$D$119)</f>
        <v/>
      </c>
      <c r="D1610" s="2" t="n">
        <v>27</v>
      </c>
      <c r="E1610" s="2" t="inlineStr">
        <is>
          <t>CHO</t>
        </is>
      </c>
      <c r="F1610" s="2" t="n">
        <v>2.4152</v>
      </c>
      <c r="G1610" s="2" t="n">
        <v>-0.000974</v>
      </c>
    </row>
    <row r="1611">
      <c r="A1611" s="1" t="inlineStr">
        <is>
          <t>D4</t>
        </is>
      </c>
      <c r="B1611" s="1" t="n">
        <v>40</v>
      </c>
      <c r="C1611" s="2">
        <f>_xlfn.XLOOKUP(B1611,Results!$B$23:$B$119,Results!$D$23:$D$119)</f>
        <v/>
      </c>
      <c r="D1611" s="1" t="n">
        <v>28</v>
      </c>
      <c r="E1611" s="1" t="inlineStr">
        <is>
          <t>CHO</t>
        </is>
      </c>
      <c r="F1611" s="1" t="n">
        <v>2.4221</v>
      </c>
      <c r="G1611" s="1" t="n">
        <v>0.001464</v>
      </c>
    </row>
    <row r="1612">
      <c r="A1612" s="2" t="inlineStr">
        <is>
          <t>D4</t>
        </is>
      </c>
      <c r="B1612" s="2" t="n">
        <v>40</v>
      </c>
      <c r="C1612" s="2">
        <f>_xlfn.XLOOKUP(B1612,Results!$B$23:$B$119,Results!$D$23:$D$119)</f>
        <v/>
      </c>
      <c r="D1612" s="2" t="n">
        <v>29</v>
      </c>
      <c r="E1612" s="2" t="inlineStr">
        <is>
          <t>CHO</t>
        </is>
      </c>
      <c r="F1612" s="2" t="n">
        <v>2.4264</v>
      </c>
      <c r="G1612" s="2" t="n">
        <v>0.001238</v>
      </c>
    </row>
    <row r="1613">
      <c r="A1613" s="1" t="inlineStr">
        <is>
          <t>D4</t>
        </is>
      </c>
      <c r="B1613" s="1" t="n">
        <v>40</v>
      </c>
      <c r="C1613" s="2">
        <f>_xlfn.XLOOKUP(B1613,Results!$B$23:$B$119,Results!$D$23:$D$119)</f>
        <v/>
      </c>
      <c r="D1613" s="1" t="n">
        <v>30</v>
      </c>
      <c r="E1613" s="1" t="inlineStr">
        <is>
          <t>CHO</t>
        </is>
      </c>
      <c r="F1613" s="1" t="n">
        <v>2.4278</v>
      </c>
      <c r="G1613" s="1" t="n">
        <v>-0.001894</v>
      </c>
    </row>
    <row r="1614">
      <c r="A1614" s="2" t="inlineStr">
        <is>
          <t>D4</t>
        </is>
      </c>
      <c r="B1614" s="2" t="n">
        <v>40</v>
      </c>
      <c r="C1614" s="2">
        <f>_xlfn.XLOOKUP(B1614,Results!$B$23:$B$119,Results!$D$23:$D$119)</f>
        <v/>
      </c>
      <c r="D1614" s="2" t="n">
        <v>31</v>
      </c>
      <c r="E1614" s="2" t="inlineStr">
        <is>
          <t>CHO</t>
        </is>
      </c>
      <c r="F1614" s="2" t="n">
        <v>2.4358</v>
      </c>
      <c r="G1614" s="2" t="n">
        <v>0.001568</v>
      </c>
    </row>
    <row r="1615">
      <c r="A1615" s="1" t="inlineStr">
        <is>
          <t>D4</t>
        </is>
      </c>
      <c r="B1615" s="1" t="n">
        <v>40</v>
      </c>
      <c r="C1615" s="2">
        <f>_xlfn.XLOOKUP(B1615,Results!$B$23:$B$119,Results!$D$23:$D$119)</f>
        <v/>
      </c>
      <c r="D1615" s="1" t="n">
        <v>32</v>
      </c>
      <c r="E1615" s="1" t="inlineStr">
        <is>
          <t>CHO</t>
        </is>
      </c>
      <c r="F1615" s="1" t="n">
        <v>2.4398</v>
      </c>
      <c r="G1615" s="1" t="n">
        <v>0.001066</v>
      </c>
    </row>
    <row r="1616">
      <c r="A1616" s="2" t="inlineStr">
        <is>
          <t>D4</t>
        </is>
      </c>
      <c r="B1616" s="2" t="n">
        <v>40</v>
      </c>
      <c r="C1616" s="2">
        <f>_xlfn.XLOOKUP(B1616,Results!$B$23:$B$119,Results!$D$23:$D$119)</f>
        <v/>
      </c>
      <c r="D1616" s="2" t="n">
        <v>33</v>
      </c>
      <c r="E1616" s="2" t="inlineStr">
        <is>
          <t>CHO</t>
        </is>
      </c>
      <c r="F1616" s="2" t="n">
        <v>2.4419</v>
      </c>
      <c r="G1616" s="2" t="n">
        <v>-0.001396</v>
      </c>
    </row>
    <row r="1617">
      <c r="A1617" s="1" t="inlineStr">
        <is>
          <t>D4</t>
        </is>
      </c>
      <c r="B1617" s="1" t="n">
        <v>40</v>
      </c>
      <c r="C1617" s="2">
        <f>_xlfn.XLOOKUP(B1617,Results!$B$23:$B$119,Results!$D$23:$D$119)</f>
        <v/>
      </c>
      <c r="D1617" s="1" t="n">
        <v>34</v>
      </c>
      <c r="E1617" s="1" t="inlineStr">
        <is>
          <t>CHO</t>
        </is>
      </c>
      <c r="F1617" s="1" t="n">
        <v>2.4467</v>
      </c>
      <c r="G1617" s="1" t="n">
        <v>-0.001071</v>
      </c>
    </row>
    <row r="1618">
      <c r="A1618" s="2" t="inlineStr">
        <is>
          <t>D4</t>
        </is>
      </c>
      <c r="B1618" s="2" t="n">
        <v>40</v>
      </c>
      <c r="C1618" s="2">
        <f>_xlfn.XLOOKUP(B1618,Results!$B$23:$B$119,Results!$D$23:$D$119)</f>
        <v/>
      </c>
      <c r="D1618" s="2" t="n">
        <v>35</v>
      </c>
      <c r="E1618" s="2" t="inlineStr">
        <is>
          <t>CHO</t>
        </is>
      </c>
      <c r="F1618" s="2" t="n">
        <v>2.45</v>
      </c>
      <c r="G1618" s="2" t="n">
        <v>-0.002332</v>
      </c>
    </row>
    <row r="1619">
      <c r="A1619" s="1" t="inlineStr">
        <is>
          <t>D4</t>
        </is>
      </c>
      <c r="B1619" s="1" t="n">
        <v>40</v>
      </c>
      <c r="C1619" s="2">
        <f>_xlfn.XLOOKUP(B1619,Results!$B$23:$B$119,Results!$D$23:$D$119)</f>
        <v/>
      </c>
      <c r="D1619" s="1" t="n">
        <v>36</v>
      </c>
      <c r="E1619" s="1" t="inlineStr">
        <is>
          <t>CHO</t>
        </is>
      </c>
      <c r="F1619" s="1" t="n">
        <v>2.4556</v>
      </c>
      <c r="G1619" s="1" t="n">
        <v>-0.001231</v>
      </c>
    </row>
    <row r="1620">
      <c r="A1620" s="2" t="inlineStr">
        <is>
          <t>D4</t>
        </is>
      </c>
      <c r="B1620" s="2" t="n">
        <v>40</v>
      </c>
      <c r="C1620" s="2">
        <f>_xlfn.XLOOKUP(B1620,Results!$B$23:$B$119,Results!$D$23:$D$119)</f>
        <v/>
      </c>
      <c r="D1620" s="2" t="n">
        <v>37</v>
      </c>
      <c r="E1620" s="2" t="inlineStr">
        <is>
          <t>CHO</t>
        </is>
      </c>
      <c r="F1620" s="2" t="n">
        <v>2.4618</v>
      </c>
      <c r="G1620" s="2" t="n">
        <v>0.000415</v>
      </c>
    </row>
    <row r="1621">
      <c r="A1621" s="1" t="inlineStr">
        <is>
          <t>D4</t>
        </is>
      </c>
      <c r="B1621" s="1" t="n">
        <v>40</v>
      </c>
      <c r="C1621" s="2">
        <f>_xlfn.XLOOKUP(B1621,Results!$B$23:$B$119,Results!$D$23:$D$119)</f>
        <v/>
      </c>
      <c r="D1621" s="1" t="n">
        <v>38</v>
      </c>
      <c r="E1621" s="1" t="inlineStr">
        <is>
          <t>CHO</t>
        </is>
      </c>
      <c r="F1621" s="1" t="n">
        <v>2.4666</v>
      </c>
      <c r="G1621" s="1" t="n">
        <v>0.000644</v>
      </c>
    </row>
    <row r="1622">
      <c r="A1622" s="2" t="inlineStr">
        <is>
          <t>D4</t>
        </is>
      </c>
      <c r="B1622" s="2" t="n">
        <v>40</v>
      </c>
      <c r="C1622" s="2">
        <f>_xlfn.XLOOKUP(B1622,Results!$B$23:$B$119,Results!$D$23:$D$119)</f>
        <v/>
      </c>
      <c r="D1622" s="2" t="n">
        <v>39</v>
      </c>
      <c r="E1622" s="2" t="inlineStr">
        <is>
          <t>CHO</t>
        </is>
      </c>
      <c r="F1622" s="2" t="n">
        <v>2.4732</v>
      </c>
      <c r="G1622" s="2" t="n">
        <v>0.002773</v>
      </c>
    </row>
    <row r="1623">
      <c r="A1623" s="1" t="inlineStr">
        <is>
          <t>D4</t>
        </is>
      </c>
      <c r="B1623" s="1" t="n">
        <v>40</v>
      </c>
      <c r="C1623" s="2">
        <f>_xlfn.XLOOKUP(B1623,Results!$B$23:$B$119,Results!$D$23:$D$119)</f>
        <v/>
      </c>
      <c r="D1623" s="1" t="n">
        <v>40</v>
      </c>
      <c r="E1623" s="1" t="inlineStr">
        <is>
          <t>CHO</t>
        </is>
      </c>
      <c r="F1623" s="1" t="n">
        <v>2.4744</v>
      </c>
      <c r="G1623" s="1" t="n">
        <v>-0.000538</v>
      </c>
    </row>
    <row r="1624">
      <c r="A1624" s="2" t="inlineStr">
        <is>
          <t>D5</t>
        </is>
      </c>
      <c r="B1624" s="2" t="n">
        <v>41</v>
      </c>
      <c r="C1624" s="2">
        <f>_xlfn.XLOOKUP(B1624,Results!$B$23:$B$119,Results!$D$23:$D$119)</f>
        <v/>
      </c>
      <c r="D1624" s="2" t="n">
        <v>1</v>
      </c>
      <c r="E1624" s="2" t="inlineStr">
        <is>
          <t>CHO</t>
        </is>
      </c>
      <c r="F1624" s="2" t="n">
        <v>2.3097</v>
      </c>
      <c r="G1624" s="2" t="n">
        <v>0.016966</v>
      </c>
    </row>
    <row r="1625">
      <c r="A1625" s="1" t="inlineStr">
        <is>
          <t>D5</t>
        </is>
      </c>
      <c r="B1625" s="1" t="n">
        <v>41</v>
      </c>
      <c r="C1625" s="2">
        <f>_xlfn.XLOOKUP(B1625,Results!$B$23:$B$119,Results!$D$23:$D$119)</f>
        <v/>
      </c>
      <c r="D1625" s="1" t="n">
        <v>2</v>
      </c>
      <c r="E1625" s="1" t="inlineStr">
        <is>
          <t>CHO</t>
        </is>
      </c>
      <c r="F1625" s="1" t="n">
        <v>2.308</v>
      </c>
      <c r="G1625" s="1" t="n">
        <v>0.010603</v>
      </c>
    </row>
    <row r="1626">
      <c r="A1626" s="2" t="inlineStr">
        <is>
          <t>D5</t>
        </is>
      </c>
      <c r="B1626" s="2" t="n">
        <v>41</v>
      </c>
      <c r="C1626" s="2">
        <f>_xlfn.XLOOKUP(B1626,Results!$B$23:$B$119,Results!$D$23:$D$119)</f>
        <v/>
      </c>
      <c r="D1626" s="2" t="n">
        <v>3</v>
      </c>
      <c r="E1626" s="2" t="inlineStr">
        <is>
          <t>CHO</t>
        </is>
      </c>
      <c r="F1626" s="2" t="n">
        <v>2.3041</v>
      </c>
      <c r="G1626" s="2" t="n">
        <v>0.002124</v>
      </c>
    </row>
    <row r="1627">
      <c r="A1627" s="1" t="inlineStr">
        <is>
          <t>D5</t>
        </is>
      </c>
      <c r="B1627" s="1" t="n">
        <v>41</v>
      </c>
      <c r="C1627" s="2">
        <f>_xlfn.XLOOKUP(B1627,Results!$B$23:$B$119,Results!$D$23:$D$119)</f>
        <v/>
      </c>
      <c r="D1627" s="1" t="n">
        <v>4</v>
      </c>
      <c r="E1627" s="1" t="inlineStr">
        <is>
          <t>CHO</t>
        </is>
      </c>
      <c r="F1627" s="1" t="n">
        <v>2.3083</v>
      </c>
      <c r="G1627" s="1" t="n">
        <v>0.001673</v>
      </c>
    </row>
    <row r="1628">
      <c r="A1628" s="2" t="inlineStr">
        <is>
          <t>D5</t>
        </is>
      </c>
      <c r="B1628" s="2" t="n">
        <v>41</v>
      </c>
      <c r="C1628" s="2">
        <f>_xlfn.XLOOKUP(B1628,Results!$B$23:$B$119,Results!$D$23:$D$119)</f>
        <v/>
      </c>
      <c r="D1628" s="2" t="n">
        <v>5</v>
      </c>
      <c r="E1628" s="2" t="inlineStr">
        <is>
          <t>CHO</t>
        </is>
      </c>
      <c r="F1628" s="2" t="n">
        <v>2.3139</v>
      </c>
      <c r="G1628" s="2" t="n">
        <v>0.002729</v>
      </c>
    </row>
    <row r="1629">
      <c r="A1629" s="1" t="inlineStr">
        <is>
          <t>D5</t>
        </is>
      </c>
      <c r="B1629" s="1" t="n">
        <v>41</v>
      </c>
      <c r="C1629" s="2">
        <f>_xlfn.XLOOKUP(B1629,Results!$B$23:$B$119,Results!$D$23:$D$119)</f>
        <v/>
      </c>
      <c r="D1629" s="1" t="n">
        <v>6</v>
      </c>
      <c r="E1629" s="1" t="inlineStr">
        <is>
          <t>CHO</t>
        </is>
      </c>
      <c r="F1629" s="1" t="n">
        <v>2.3177</v>
      </c>
      <c r="G1629" s="1" t="n">
        <v>0.001864</v>
      </c>
    </row>
    <row r="1630">
      <c r="A1630" s="2" t="inlineStr">
        <is>
          <t>D5</t>
        </is>
      </c>
      <c r="B1630" s="2" t="n">
        <v>41</v>
      </c>
      <c r="C1630" s="2">
        <f>_xlfn.XLOOKUP(B1630,Results!$B$23:$B$119,Results!$D$23:$D$119)</f>
        <v/>
      </c>
      <c r="D1630" s="2" t="n">
        <v>7</v>
      </c>
      <c r="E1630" s="2" t="inlineStr">
        <is>
          <t>CHO</t>
        </is>
      </c>
      <c r="F1630" s="2" t="n">
        <v>2.3203</v>
      </c>
      <c r="G1630" s="2" t="n">
        <v>-8.8e-05</v>
      </c>
    </row>
    <row r="1631">
      <c r="A1631" s="1" t="inlineStr">
        <is>
          <t>D5</t>
        </is>
      </c>
      <c r="B1631" s="1" t="n">
        <v>41</v>
      </c>
      <c r="C1631" s="2">
        <f>_xlfn.XLOOKUP(B1631,Results!$B$23:$B$119,Results!$D$23:$D$119)</f>
        <v/>
      </c>
      <c r="D1631" s="1" t="n">
        <v>8</v>
      </c>
      <c r="E1631" s="1" t="inlineStr">
        <is>
          <t>CHO</t>
        </is>
      </c>
      <c r="F1631" s="1" t="n">
        <v>2.3264</v>
      </c>
      <c r="G1631" s="1" t="n">
        <v>0.001353</v>
      </c>
    </row>
    <row r="1632">
      <c r="A1632" s="2" t="inlineStr">
        <is>
          <t>D5</t>
        </is>
      </c>
      <c r="B1632" s="2" t="n">
        <v>41</v>
      </c>
      <c r="C1632" s="2">
        <f>_xlfn.XLOOKUP(B1632,Results!$B$23:$B$119,Results!$D$23:$D$119)</f>
        <v/>
      </c>
      <c r="D1632" s="2" t="n">
        <v>9</v>
      </c>
      <c r="E1632" s="2" t="inlineStr">
        <is>
          <t>CHO</t>
        </is>
      </c>
      <c r="F1632" s="2" t="n">
        <v>2.3283</v>
      </c>
      <c r="G1632" s="2" t="n">
        <v>-0.001389</v>
      </c>
    </row>
    <row r="1633">
      <c r="A1633" s="1" t="inlineStr">
        <is>
          <t>D5</t>
        </is>
      </c>
      <c r="B1633" s="1" t="n">
        <v>41</v>
      </c>
      <c r="C1633" s="2">
        <f>_xlfn.XLOOKUP(B1633,Results!$B$23:$B$119,Results!$D$23:$D$119)</f>
        <v/>
      </c>
      <c r="D1633" s="1" t="n">
        <v>10</v>
      </c>
      <c r="E1633" s="1" t="inlineStr">
        <is>
          <t>CHO</t>
        </is>
      </c>
      <c r="F1633" s="1" t="n">
        <v>2.3303</v>
      </c>
      <c r="G1633" s="1" t="n">
        <v>-0.003975</v>
      </c>
    </row>
    <row r="1634">
      <c r="A1634" s="2" t="inlineStr">
        <is>
          <t>D5</t>
        </is>
      </c>
      <c r="B1634" s="2" t="n">
        <v>41</v>
      </c>
      <c r="C1634" s="2">
        <f>_xlfn.XLOOKUP(B1634,Results!$B$23:$B$119,Results!$D$23:$D$119)</f>
        <v/>
      </c>
      <c r="D1634" s="2" t="n">
        <v>11</v>
      </c>
      <c r="E1634" s="2" t="inlineStr">
        <is>
          <t>CHO</t>
        </is>
      </c>
      <c r="F1634" s="2" t="n">
        <v>2.3371</v>
      </c>
      <c r="G1634" s="2" t="n">
        <v>-0.001833</v>
      </c>
    </row>
    <row r="1635">
      <c r="A1635" s="1" t="inlineStr">
        <is>
          <t>D5</t>
        </is>
      </c>
      <c r="B1635" s="1" t="n">
        <v>41</v>
      </c>
      <c r="C1635" s="2">
        <f>_xlfn.XLOOKUP(B1635,Results!$B$23:$B$119,Results!$D$23:$D$119)</f>
        <v/>
      </c>
      <c r="D1635" s="1" t="n">
        <v>12</v>
      </c>
      <c r="E1635" s="1" t="inlineStr">
        <is>
          <t>CHO</t>
        </is>
      </c>
      <c r="F1635" s="1" t="n">
        <v>2.3436</v>
      </c>
      <c r="G1635" s="1" t="n">
        <v>7.499999999999999e-05</v>
      </c>
    </row>
    <row r="1636">
      <c r="A1636" s="2" t="inlineStr">
        <is>
          <t>D5</t>
        </is>
      </c>
      <c r="B1636" s="2" t="n">
        <v>41</v>
      </c>
      <c r="C1636" s="2">
        <f>_xlfn.XLOOKUP(B1636,Results!$B$23:$B$119,Results!$D$23:$D$119)</f>
        <v/>
      </c>
      <c r="D1636" s="2" t="n">
        <v>13</v>
      </c>
      <c r="E1636" s="2" t="inlineStr">
        <is>
          <t>CHO</t>
        </is>
      </c>
      <c r="F1636" s="2" t="n">
        <v>2.3483</v>
      </c>
      <c r="G1636" s="2" t="n">
        <v>0.000221</v>
      </c>
    </row>
    <row r="1637">
      <c r="A1637" s="1" t="inlineStr">
        <is>
          <t>D5</t>
        </is>
      </c>
      <c r="B1637" s="1" t="n">
        <v>41</v>
      </c>
      <c r="C1637" s="2">
        <f>_xlfn.XLOOKUP(B1637,Results!$B$23:$B$119,Results!$D$23:$D$119)</f>
        <v/>
      </c>
      <c r="D1637" s="1" t="n">
        <v>14</v>
      </c>
      <c r="E1637" s="1" t="inlineStr">
        <is>
          <t>CHO</t>
        </is>
      </c>
      <c r="F1637" s="1" t="n">
        <v>2.3531</v>
      </c>
      <c r="G1637" s="1" t="n">
        <v>0.000394</v>
      </c>
    </row>
    <row r="1638">
      <c r="A1638" s="2" t="inlineStr">
        <is>
          <t>D5</t>
        </is>
      </c>
      <c r="B1638" s="2" t="n">
        <v>41</v>
      </c>
      <c r="C1638" s="2">
        <f>_xlfn.XLOOKUP(B1638,Results!$B$23:$B$119,Results!$D$23:$D$119)</f>
        <v/>
      </c>
      <c r="D1638" s="2" t="n">
        <v>15</v>
      </c>
      <c r="E1638" s="2" t="inlineStr">
        <is>
          <t>CHO</t>
        </is>
      </c>
      <c r="F1638" s="2" t="n">
        <v>2.3576</v>
      </c>
      <c r="G1638" s="2" t="n">
        <v>0.000238</v>
      </c>
    </row>
    <row r="1639">
      <c r="A1639" s="1" t="inlineStr">
        <is>
          <t>D5</t>
        </is>
      </c>
      <c r="B1639" s="1" t="n">
        <v>41</v>
      </c>
      <c r="C1639" s="2">
        <f>_xlfn.XLOOKUP(B1639,Results!$B$23:$B$119,Results!$D$23:$D$119)</f>
        <v/>
      </c>
      <c r="D1639" s="1" t="n">
        <v>16</v>
      </c>
      <c r="E1639" s="1" t="inlineStr">
        <is>
          <t>CHO</t>
        </is>
      </c>
      <c r="F1639" s="1" t="n">
        <v>2.3618</v>
      </c>
      <c r="G1639" s="1" t="n">
        <v>-0.00018</v>
      </c>
    </row>
    <row r="1640">
      <c r="A1640" s="2" t="inlineStr">
        <is>
          <t>D5</t>
        </is>
      </c>
      <c r="B1640" s="2" t="n">
        <v>41</v>
      </c>
      <c r="C1640" s="2">
        <f>_xlfn.XLOOKUP(B1640,Results!$B$23:$B$119,Results!$D$23:$D$119)</f>
        <v/>
      </c>
      <c r="D1640" s="2" t="n">
        <v>17</v>
      </c>
      <c r="E1640" s="2" t="inlineStr">
        <is>
          <t>CHO</t>
        </is>
      </c>
      <c r="F1640" s="2" t="n">
        <v>2.3667</v>
      </c>
      <c r="G1640" s="2" t="n">
        <v>0.000146</v>
      </c>
    </row>
    <row r="1641">
      <c r="A1641" s="1" t="inlineStr">
        <is>
          <t>D5</t>
        </is>
      </c>
      <c r="B1641" s="1" t="n">
        <v>41</v>
      </c>
      <c r="C1641" s="2">
        <f>_xlfn.XLOOKUP(B1641,Results!$B$23:$B$119,Results!$D$23:$D$119)</f>
        <v/>
      </c>
      <c r="D1641" s="1" t="n">
        <v>18</v>
      </c>
      <c r="E1641" s="1" t="inlineStr">
        <is>
          <t>CHO</t>
        </is>
      </c>
      <c r="F1641" s="1" t="n">
        <v>2.372</v>
      </c>
      <c r="G1641" s="1" t="n">
        <v>0.000786</v>
      </c>
    </row>
    <row r="1642">
      <c r="A1642" s="2" t="inlineStr">
        <is>
          <t>D5</t>
        </is>
      </c>
      <c r="B1642" s="2" t="n">
        <v>41</v>
      </c>
      <c r="C1642" s="2">
        <f>_xlfn.XLOOKUP(B1642,Results!$B$23:$B$119,Results!$D$23:$D$119)</f>
        <v/>
      </c>
      <c r="D1642" s="2" t="n">
        <v>19</v>
      </c>
      <c r="E1642" s="2" t="inlineStr">
        <is>
          <t>CHO</t>
        </is>
      </c>
      <c r="F1642" s="2" t="n">
        <v>2.3738</v>
      </c>
      <c r="G1642" s="2" t="n">
        <v>-0.002006</v>
      </c>
    </row>
    <row r="1643">
      <c r="A1643" s="1" t="inlineStr">
        <is>
          <t>D5</t>
        </is>
      </c>
      <c r="B1643" s="1" t="n">
        <v>41</v>
      </c>
      <c r="C1643" s="2">
        <f>_xlfn.XLOOKUP(B1643,Results!$B$23:$B$119,Results!$D$23:$D$119)</f>
        <v/>
      </c>
      <c r="D1643" s="1" t="n">
        <v>20</v>
      </c>
      <c r="E1643" s="1" t="inlineStr">
        <is>
          <t>CHO</t>
        </is>
      </c>
      <c r="F1643" s="1" t="n">
        <v>2.3776</v>
      </c>
      <c r="G1643" s="1" t="n">
        <v>-0.002826</v>
      </c>
    </row>
    <row r="1644">
      <c r="A1644" s="2" t="inlineStr">
        <is>
          <t>D5</t>
        </is>
      </c>
      <c r="B1644" s="2" t="n">
        <v>41</v>
      </c>
      <c r="C1644" s="2">
        <f>_xlfn.XLOOKUP(B1644,Results!$B$23:$B$119,Results!$D$23:$D$119)</f>
        <v/>
      </c>
      <c r="D1644" s="2" t="n">
        <v>21</v>
      </c>
      <c r="E1644" s="2" t="inlineStr">
        <is>
          <t>CHO</t>
        </is>
      </c>
      <c r="F1644" s="2" t="n">
        <v>2.3829</v>
      </c>
      <c r="G1644" s="2" t="n">
        <v>-0.002091</v>
      </c>
    </row>
    <row r="1645">
      <c r="A1645" s="1" t="inlineStr">
        <is>
          <t>D5</t>
        </is>
      </c>
      <c r="B1645" s="1" t="n">
        <v>41</v>
      </c>
      <c r="C1645" s="2">
        <f>_xlfn.XLOOKUP(B1645,Results!$B$23:$B$119,Results!$D$23:$D$119)</f>
        <v/>
      </c>
      <c r="D1645" s="1" t="n">
        <v>22</v>
      </c>
      <c r="E1645" s="1" t="inlineStr">
        <is>
          <t>CHO</t>
        </is>
      </c>
      <c r="F1645" s="1" t="n">
        <v>2.3882</v>
      </c>
      <c r="G1645" s="1" t="n">
        <v>-0.001463</v>
      </c>
    </row>
    <row r="1646">
      <c r="A1646" s="2" t="inlineStr">
        <is>
          <t>D5</t>
        </is>
      </c>
      <c r="B1646" s="2" t="n">
        <v>41</v>
      </c>
      <c r="C1646" s="2">
        <f>_xlfn.XLOOKUP(B1646,Results!$B$23:$B$119,Results!$D$23:$D$119)</f>
        <v/>
      </c>
      <c r="D1646" s="2" t="n">
        <v>23</v>
      </c>
      <c r="E1646" s="2" t="inlineStr">
        <is>
          <t>CHO</t>
        </is>
      </c>
      <c r="F1646" s="2" t="n">
        <v>2.3907</v>
      </c>
      <c r="G1646" s="2" t="n">
        <v>-0.003588</v>
      </c>
    </row>
    <row r="1647">
      <c r="A1647" s="1" t="inlineStr">
        <is>
          <t>D5</t>
        </is>
      </c>
      <c r="B1647" s="1" t="n">
        <v>41</v>
      </c>
      <c r="C1647" s="2">
        <f>_xlfn.XLOOKUP(B1647,Results!$B$23:$B$119,Results!$D$23:$D$119)</f>
        <v/>
      </c>
      <c r="D1647" s="1" t="n">
        <v>24</v>
      </c>
      <c r="E1647" s="1" t="inlineStr">
        <is>
          <t>CHO</t>
        </is>
      </c>
      <c r="F1647" s="1" t="n">
        <v>2.3976</v>
      </c>
      <c r="G1647" s="1" t="n">
        <v>-0.001256</v>
      </c>
    </row>
    <row r="1648">
      <c r="A1648" s="2" t="inlineStr">
        <is>
          <t>D5</t>
        </is>
      </c>
      <c r="B1648" s="2" t="n">
        <v>41</v>
      </c>
      <c r="C1648" s="2">
        <f>_xlfn.XLOOKUP(B1648,Results!$B$23:$B$119,Results!$D$23:$D$119)</f>
        <v/>
      </c>
      <c r="D1648" s="2" t="n">
        <v>25</v>
      </c>
      <c r="E1648" s="2" t="inlineStr">
        <is>
          <t>CHO</t>
        </is>
      </c>
      <c r="F1648" s="2" t="n">
        <v>2.4041</v>
      </c>
      <c r="G1648" s="2" t="n">
        <v>0.000644</v>
      </c>
    </row>
    <row r="1649">
      <c r="A1649" s="1" t="inlineStr">
        <is>
          <t>D5</t>
        </is>
      </c>
      <c r="B1649" s="1" t="n">
        <v>41</v>
      </c>
      <c r="C1649" s="2">
        <f>_xlfn.XLOOKUP(B1649,Results!$B$23:$B$119,Results!$D$23:$D$119)</f>
        <v/>
      </c>
      <c r="D1649" s="1" t="n">
        <v>26</v>
      </c>
      <c r="E1649" s="1" t="inlineStr">
        <is>
          <t>CHO</t>
        </is>
      </c>
      <c r="F1649" s="1" t="n">
        <v>2.4087</v>
      </c>
      <c r="G1649" s="1" t="n">
        <v>0.000577</v>
      </c>
    </row>
    <row r="1650">
      <c r="A1650" s="2" t="inlineStr">
        <is>
          <t>D5</t>
        </is>
      </c>
      <c r="B1650" s="2" t="n">
        <v>41</v>
      </c>
      <c r="C1650" s="2">
        <f>_xlfn.XLOOKUP(B1650,Results!$B$23:$B$119,Results!$D$23:$D$119)</f>
        <v/>
      </c>
      <c r="D1650" s="2" t="n">
        <v>27</v>
      </c>
      <c r="E1650" s="2" t="inlineStr">
        <is>
          <t>CHO</t>
        </is>
      </c>
      <c r="F1650" s="2" t="n">
        <v>2.4127</v>
      </c>
      <c r="G1650" s="2" t="n">
        <v>1.5e-05</v>
      </c>
    </row>
    <row r="1651">
      <c r="A1651" s="1" t="inlineStr">
        <is>
          <t>D5</t>
        </is>
      </c>
      <c r="B1651" s="1" t="n">
        <v>41</v>
      </c>
      <c r="C1651" s="2">
        <f>_xlfn.XLOOKUP(B1651,Results!$B$23:$B$119,Results!$D$23:$D$119)</f>
        <v/>
      </c>
      <c r="D1651" s="1" t="n">
        <v>28</v>
      </c>
      <c r="E1651" s="1" t="inlineStr">
        <is>
          <t>CHO</t>
        </is>
      </c>
      <c r="F1651" s="1" t="n">
        <v>2.4203</v>
      </c>
      <c r="G1651" s="1" t="n">
        <v>0.002977</v>
      </c>
    </row>
    <row r="1652">
      <c r="A1652" s="2" t="inlineStr">
        <is>
          <t>D5</t>
        </is>
      </c>
      <c r="B1652" s="2" t="n">
        <v>41</v>
      </c>
      <c r="C1652" s="2">
        <f>_xlfn.XLOOKUP(B1652,Results!$B$23:$B$119,Results!$D$23:$D$119)</f>
        <v/>
      </c>
      <c r="D1652" s="2" t="n">
        <v>29</v>
      </c>
      <c r="E1652" s="2" t="inlineStr">
        <is>
          <t>CHO</t>
        </is>
      </c>
      <c r="F1652" s="2" t="n">
        <v>2.4245</v>
      </c>
      <c r="G1652" s="2" t="n">
        <v>0.002568</v>
      </c>
    </row>
    <row r="1653">
      <c r="A1653" s="1" t="inlineStr">
        <is>
          <t>D5</t>
        </is>
      </c>
      <c r="B1653" s="1" t="n">
        <v>41</v>
      </c>
      <c r="C1653" s="2">
        <f>_xlfn.XLOOKUP(B1653,Results!$B$23:$B$119,Results!$D$23:$D$119)</f>
        <v/>
      </c>
      <c r="D1653" s="1" t="n">
        <v>30</v>
      </c>
      <c r="E1653" s="1" t="inlineStr">
        <is>
          <t>CHO</t>
        </is>
      </c>
      <c r="F1653" s="1" t="n">
        <v>2.4245</v>
      </c>
      <c r="G1653" s="1" t="n">
        <v>-0.00201</v>
      </c>
    </row>
    <row r="1654">
      <c r="A1654" s="2" t="inlineStr">
        <is>
          <t>D5</t>
        </is>
      </c>
      <c r="B1654" s="2" t="n">
        <v>41</v>
      </c>
      <c r="C1654" s="2">
        <f>_xlfn.XLOOKUP(B1654,Results!$B$23:$B$119,Results!$D$23:$D$119)</f>
        <v/>
      </c>
      <c r="D1654" s="2" t="n">
        <v>31</v>
      </c>
      <c r="E1654" s="2" t="inlineStr">
        <is>
          <t>CHO</t>
        </is>
      </c>
      <c r="F1654" s="2" t="n">
        <v>2.4292</v>
      </c>
      <c r="G1654" s="2" t="n">
        <v>-0.002002</v>
      </c>
    </row>
    <row r="1655">
      <c r="A1655" s="1" t="inlineStr">
        <is>
          <t>D5</t>
        </is>
      </c>
      <c r="B1655" s="1" t="n">
        <v>41</v>
      </c>
      <c r="C1655" s="2">
        <f>_xlfn.XLOOKUP(B1655,Results!$B$23:$B$119,Results!$D$23:$D$119)</f>
        <v/>
      </c>
      <c r="D1655" s="1" t="n">
        <v>32</v>
      </c>
      <c r="E1655" s="1" t="inlineStr">
        <is>
          <t>CHO</t>
        </is>
      </c>
      <c r="F1655" s="1" t="n">
        <v>2.4366</v>
      </c>
      <c r="G1655" s="1" t="n">
        <v>0.00083</v>
      </c>
    </row>
    <row r="1656">
      <c r="A1656" s="2" t="inlineStr">
        <is>
          <t>D5</t>
        </is>
      </c>
      <c r="B1656" s="2" t="n">
        <v>41</v>
      </c>
      <c r="C1656" s="2">
        <f>_xlfn.XLOOKUP(B1656,Results!$B$23:$B$119,Results!$D$23:$D$119)</f>
        <v/>
      </c>
      <c r="D1656" s="2" t="n">
        <v>33</v>
      </c>
      <c r="E1656" s="2" t="inlineStr">
        <is>
          <t>CHO</t>
        </is>
      </c>
      <c r="F1656" s="2" t="n">
        <v>2.4417</v>
      </c>
      <c r="G1656" s="2" t="n">
        <v>0.001347</v>
      </c>
    </row>
    <row r="1657">
      <c r="A1657" s="1" t="inlineStr">
        <is>
          <t>D5</t>
        </is>
      </c>
      <c r="B1657" s="1" t="n">
        <v>41</v>
      </c>
      <c r="C1657" s="2">
        <f>_xlfn.XLOOKUP(B1657,Results!$B$23:$B$119,Results!$D$23:$D$119)</f>
        <v/>
      </c>
      <c r="D1657" s="1" t="n">
        <v>34</v>
      </c>
      <c r="E1657" s="1" t="inlineStr">
        <is>
          <t>CHO</t>
        </is>
      </c>
      <c r="F1657" s="1" t="n">
        <v>2.447</v>
      </c>
      <c r="G1657" s="1" t="n">
        <v>0.002004</v>
      </c>
    </row>
    <row r="1658">
      <c r="A1658" s="2" t="inlineStr">
        <is>
          <t>D5</t>
        </is>
      </c>
      <c r="B1658" s="2" t="n">
        <v>41</v>
      </c>
      <c r="C1658" s="2">
        <f>_xlfn.XLOOKUP(B1658,Results!$B$23:$B$119,Results!$D$23:$D$119)</f>
        <v/>
      </c>
      <c r="D1658" s="2" t="n">
        <v>35</v>
      </c>
      <c r="E1658" s="2" t="inlineStr">
        <is>
          <t>CHO</t>
        </is>
      </c>
      <c r="F1658" s="2" t="n">
        <v>2.4518</v>
      </c>
      <c r="G1658" s="2" t="n">
        <v>0.002143</v>
      </c>
    </row>
    <row r="1659">
      <c r="A1659" s="1" t="inlineStr">
        <is>
          <t>D5</t>
        </is>
      </c>
      <c r="B1659" s="1" t="n">
        <v>41</v>
      </c>
      <c r="C1659" s="2">
        <f>_xlfn.XLOOKUP(B1659,Results!$B$23:$B$119,Results!$D$23:$D$119)</f>
        <v/>
      </c>
      <c r="D1659" s="1" t="n">
        <v>36</v>
      </c>
      <c r="E1659" s="1" t="inlineStr">
        <is>
          <t>CHO</t>
        </is>
      </c>
      <c r="F1659" s="1" t="n">
        <v>2.4565</v>
      </c>
      <c r="G1659" s="1" t="n">
        <v>0.002278</v>
      </c>
    </row>
    <row r="1660">
      <c r="A1660" s="2" t="inlineStr">
        <is>
          <t>D5</t>
        </is>
      </c>
      <c r="B1660" s="2" t="n">
        <v>41</v>
      </c>
      <c r="C1660" s="2">
        <f>_xlfn.XLOOKUP(B1660,Results!$B$23:$B$119,Results!$D$23:$D$119)</f>
        <v/>
      </c>
      <c r="D1660" s="2" t="n">
        <v>37</v>
      </c>
      <c r="E1660" s="2" t="inlineStr">
        <is>
          <t>CHO</t>
        </is>
      </c>
      <c r="F1660" s="2" t="n">
        <v>2.4624</v>
      </c>
      <c r="G1660" s="2" t="n">
        <v>0.003571</v>
      </c>
    </row>
    <row r="1661">
      <c r="A1661" s="1" t="inlineStr">
        <is>
          <t>D5</t>
        </is>
      </c>
      <c r="B1661" s="1" t="n">
        <v>41</v>
      </c>
      <c r="C1661" s="2">
        <f>_xlfn.XLOOKUP(B1661,Results!$B$23:$B$119,Results!$D$23:$D$119)</f>
        <v/>
      </c>
      <c r="D1661" s="1" t="n">
        <v>38</v>
      </c>
      <c r="E1661" s="1" t="inlineStr">
        <is>
          <t>CHO</t>
        </is>
      </c>
      <c r="F1661" s="1" t="n">
        <v>2.4742</v>
      </c>
      <c r="G1661" s="1" t="n">
        <v>0.010732</v>
      </c>
    </row>
    <row r="1662">
      <c r="A1662" s="2" t="inlineStr">
        <is>
          <t>D5</t>
        </is>
      </c>
      <c r="B1662" s="2" t="n">
        <v>41</v>
      </c>
      <c r="C1662" s="2">
        <f>_xlfn.XLOOKUP(B1662,Results!$B$23:$B$119,Results!$D$23:$D$119)</f>
        <v/>
      </c>
      <c r="D1662" s="2" t="n">
        <v>39</v>
      </c>
      <c r="E1662" s="2" t="inlineStr">
        <is>
          <t>CHO</t>
        </is>
      </c>
      <c r="F1662" s="2" t="n">
        <v>2.4866</v>
      </c>
      <c r="G1662" s="2" t="n">
        <v>0.018573</v>
      </c>
    </row>
    <row r="1663">
      <c r="A1663" s="1" t="inlineStr">
        <is>
          <t>D5</t>
        </is>
      </c>
      <c r="B1663" s="1" t="n">
        <v>41</v>
      </c>
      <c r="C1663" s="2">
        <f>_xlfn.XLOOKUP(B1663,Results!$B$23:$B$119,Results!$D$23:$D$119)</f>
        <v/>
      </c>
      <c r="D1663" s="1" t="n">
        <v>40</v>
      </c>
      <c r="E1663" s="1" t="inlineStr">
        <is>
          <t>CHO</t>
        </is>
      </c>
      <c r="F1663" s="1" t="n">
        <v>2.5049</v>
      </c>
      <c r="G1663" s="1" t="n">
        <v>0.032205</v>
      </c>
    </row>
    <row r="1664">
      <c r="A1664" s="2" t="inlineStr">
        <is>
          <t>D6</t>
        </is>
      </c>
      <c r="B1664" s="2" t="n">
        <v>42</v>
      </c>
      <c r="C1664" s="2">
        <f>_xlfn.XLOOKUP(B1664,Results!$B$23:$B$119,Results!$D$23:$D$119)</f>
        <v/>
      </c>
      <c r="D1664" s="2" t="n">
        <v>1</v>
      </c>
      <c r="E1664" s="2" t="inlineStr">
        <is>
          <t>CHO</t>
        </is>
      </c>
      <c r="F1664" s="2" t="n">
        <v>2.3214</v>
      </c>
      <c r="G1664" s="2" t="n">
        <v>0.008776000000000001</v>
      </c>
    </row>
    <row r="1665">
      <c r="A1665" s="1" t="inlineStr">
        <is>
          <t>D6</t>
        </is>
      </c>
      <c r="B1665" s="1" t="n">
        <v>42</v>
      </c>
      <c r="C1665" s="2">
        <f>_xlfn.XLOOKUP(B1665,Results!$B$23:$B$119,Results!$D$23:$D$119)</f>
        <v/>
      </c>
      <c r="D1665" s="1" t="n">
        <v>2</v>
      </c>
      <c r="E1665" s="1" t="inlineStr">
        <is>
          <t>CHO</t>
        </is>
      </c>
      <c r="F1665" s="1" t="n">
        <v>2.3218</v>
      </c>
      <c r="G1665" s="1" t="n">
        <v>0.004483</v>
      </c>
    </row>
    <row r="1666">
      <c r="A1666" s="2" t="inlineStr">
        <is>
          <t>D6</t>
        </is>
      </c>
      <c r="B1666" s="2" t="n">
        <v>42</v>
      </c>
      <c r="C1666" s="2">
        <f>_xlfn.XLOOKUP(B1666,Results!$B$23:$B$119,Results!$D$23:$D$119)</f>
        <v/>
      </c>
      <c r="D1666" s="2" t="n">
        <v>3</v>
      </c>
      <c r="E1666" s="2" t="inlineStr">
        <is>
          <t>CHO</t>
        </is>
      </c>
      <c r="F1666" s="2" t="n">
        <v>2.3254</v>
      </c>
      <c r="G1666" s="2" t="n">
        <v>0.003442</v>
      </c>
    </row>
    <row r="1667">
      <c r="A1667" s="1" t="inlineStr">
        <is>
          <t>D6</t>
        </is>
      </c>
      <c r="B1667" s="1" t="n">
        <v>42</v>
      </c>
      <c r="C1667" s="2">
        <f>_xlfn.XLOOKUP(B1667,Results!$B$23:$B$119,Results!$D$23:$D$119)</f>
        <v/>
      </c>
      <c r="D1667" s="1" t="n">
        <v>4</v>
      </c>
      <c r="E1667" s="1" t="inlineStr">
        <is>
          <t>CHO</t>
        </is>
      </c>
      <c r="F1667" s="1" t="n">
        <v>2.3282</v>
      </c>
      <c r="G1667" s="1" t="n">
        <v>0.001646</v>
      </c>
    </row>
    <row r="1668">
      <c r="A1668" s="2" t="inlineStr">
        <is>
          <t>D6</t>
        </is>
      </c>
      <c r="B1668" s="2" t="n">
        <v>42</v>
      </c>
      <c r="C1668" s="2">
        <f>_xlfn.XLOOKUP(B1668,Results!$B$23:$B$119,Results!$D$23:$D$119)</f>
        <v/>
      </c>
      <c r="D1668" s="2" t="n">
        <v>5</v>
      </c>
      <c r="E1668" s="2" t="inlineStr">
        <is>
          <t>CHO</t>
        </is>
      </c>
      <c r="F1668" s="2" t="n">
        <v>2.3315</v>
      </c>
      <c r="G1668" s="2" t="n">
        <v>0.000271</v>
      </c>
    </row>
    <row r="1669">
      <c r="A1669" s="1" t="inlineStr">
        <is>
          <t>D6</t>
        </is>
      </c>
      <c r="B1669" s="1" t="n">
        <v>42</v>
      </c>
      <c r="C1669" s="2">
        <f>_xlfn.XLOOKUP(B1669,Results!$B$23:$B$119,Results!$D$23:$D$119)</f>
        <v/>
      </c>
      <c r="D1669" s="1" t="n">
        <v>6</v>
      </c>
      <c r="E1669" s="1" t="inlineStr">
        <is>
          <t>CHO</t>
        </is>
      </c>
      <c r="F1669" s="1" t="n">
        <v>2.3349</v>
      </c>
      <c r="G1669" s="1" t="n">
        <v>-0.001001</v>
      </c>
    </row>
    <row r="1670">
      <c r="A1670" s="2" t="inlineStr">
        <is>
          <t>D6</t>
        </is>
      </c>
      <c r="B1670" s="2" t="n">
        <v>42</v>
      </c>
      <c r="C1670" s="2">
        <f>_xlfn.XLOOKUP(B1670,Results!$B$23:$B$119,Results!$D$23:$D$119)</f>
        <v/>
      </c>
      <c r="D1670" s="2" t="n">
        <v>7</v>
      </c>
      <c r="E1670" s="2" t="inlineStr">
        <is>
          <t>CHO</t>
        </is>
      </c>
      <c r="F1670" s="2" t="n">
        <v>2.3427</v>
      </c>
      <c r="G1670" s="2" t="n">
        <v>0.002083</v>
      </c>
    </row>
    <row r="1671">
      <c r="A1671" s="1" t="inlineStr">
        <is>
          <t>D6</t>
        </is>
      </c>
      <c r="B1671" s="1" t="n">
        <v>42</v>
      </c>
      <c r="C1671" s="2">
        <f>_xlfn.XLOOKUP(B1671,Results!$B$23:$B$119,Results!$D$23:$D$119)</f>
        <v/>
      </c>
      <c r="D1671" s="1" t="n">
        <v>8</v>
      </c>
      <c r="E1671" s="1" t="inlineStr">
        <is>
          <t>CHO</t>
        </is>
      </c>
      <c r="F1671" s="1" t="n">
        <v>2.3489</v>
      </c>
      <c r="G1671" s="1" t="n">
        <v>0.003698</v>
      </c>
    </row>
    <row r="1672">
      <c r="A1672" s="2" t="inlineStr">
        <is>
          <t>D6</t>
        </is>
      </c>
      <c r="B1672" s="2" t="n">
        <v>42</v>
      </c>
      <c r="C1672" s="2">
        <f>_xlfn.XLOOKUP(B1672,Results!$B$23:$B$119,Results!$D$23:$D$119)</f>
        <v/>
      </c>
      <c r="D1672" s="2" t="n">
        <v>9</v>
      </c>
      <c r="E1672" s="2" t="inlineStr">
        <is>
          <t>CHO</t>
        </is>
      </c>
      <c r="F1672" s="2" t="n">
        <v>2.3508</v>
      </c>
      <c r="G1672" s="2" t="n">
        <v>0.000913</v>
      </c>
    </row>
    <row r="1673">
      <c r="A1673" s="1" t="inlineStr">
        <is>
          <t>D6</t>
        </is>
      </c>
      <c r="B1673" s="1" t="n">
        <v>42</v>
      </c>
      <c r="C1673" s="2">
        <f>_xlfn.XLOOKUP(B1673,Results!$B$23:$B$119,Results!$D$23:$D$119)</f>
        <v/>
      </c>
      <c r="D1673" s="1" t="n">
        <v>10</v>
      </c>
      <c r="E1673" s="1" t="inlineStr">
        <is>
          <t>CHO</t>
        </is>
      </c>
      <c r="F1673" s="1" t="n">
        <v>2.3547</v>
      </c>
      <c r="G1673" s="1" t="n">
        <v>0.000127</v>
      </c>
    </row>
    <row r="1674">
      <c r="A1674" s="2" t="inlineStr">
        <is>
          <t>D6</t>
        </is>
      </c>
      <c r="B1674" s="2" t="n">
        <v>42</v>
      </c>
      <c r="C1674" s="2">
        <f>_xlfn.XLOOKUP(B1674,Results!$B$23:$B$119,Results!$D$23:$D$119)</f>
        <v/>
      </c>
      <c r="D1674" s="2" t="n">
        <v>11</v>
      </c>
      <c r="E1674" s="2" t="inlineStr">
        <is>
          <t>CHO</t>
        </is>
      </c>
      <c r="F1674" s="2" t="n">
        <v>2.3624</v>
      </c>
      <c r="G1674" s="2" t="n">
        <v>0.003195</v>
      </c>
    </row>
    <row r="1675">
      <c r="A1675" s="1" t="inlineStr">
        <is>
          <t>D6</t>
        </is>
      </c>
      <c r="B1675" s="1" t="n">
        <v>42</v>
      </c>
      <c r="C1675" s="2">
        <f>_xlfn.XLOOKUP(B1675,Results!$B$23:$B$119,Results!$D$23:$D$119)</f>
        <v/>
      </c>
      <c r="D1675" s="1" t="n">
        <v>12</v>
      </c>
      <c r="E1675" s="1" t="inlineStr">
        <is>
          <t>CHO</t>
        </is>
      </c>
      <c r="F1675" s="1" t="n">
        <v>2.3665</v>
      </c>
      <c r="G1675" s="1" t="n">
        <v>0.002602</v>
      </c>
    </row>
    <row r="1676">
      <c r="A1676" s="2" t="inlineStr">
        <is>
          <t>D6</t>
        </is>
      </c>
      <c r="B1676" s="2" t="n">
        <v>42</v>
      </c>
      <c r="C1676" s="2">
        <f>_xlfn.XLOOKUP(B1676,Results!$B$23:$B$119,Results!$D$23:$D$119)</f>
        <v/>
      </c>
      <c r="D1676" s="2" t="n">
        <v>13</v>
      </c>
      <c r="E1676" s="2" t="inlineStr">
        <is>
          <t>CHO</t>
        </is>
      </c>
      <c r="F1676" s="2" t="n">
        <v>2.3696</v>
      </c>
      <c r="G1676" s="2" t="n">
        <v>0.001028</v>
      </c>
    </row>
    <row r="1677">
      <c r="A1677" s="1" t="inlineStr">
        <is>
          <t>D6</t>
        </is>
      </c>
      <c r="B1677" s="1" t="n">
        <v>42</v>
      </c>
      <c r="C1677" s="2">
        <f>_xlfn.XLOOKUP(B1677,Results!$B$23:$B$119,Results!$D$23:$D$119)</f>
        <v/>
      </c>
      <c r="D1677" s="1" t="n">
        <v>14</v>
      </c>
      <c r="E1677" s="1" t="inlineStr">
        <is>
          <t>CHO</t>
        </is>
      </c>
      <c r="F1677" s="1" t="n">
        <v>2.3709</v>
      </c>
      <c r="G1677" s="1" t="n">
        <v>-0.002253</v>
      </c>
    </row>
    <row r="1678">
      <c r="A1678" s="2" t="inlineStr">
        <is>
          <t>D6</t>
        </is>
      </c>
      <c r="B1678" s="2" t="n">
        <v>42</v>
      </c>
      <c r="C1678" s="2">
        <f>_xlfn.XLOOKUP(B1678,Results!$B$23:$B$119,Results!$D$23:$D$119)</f>
        <v/>
      </c>
      <c r="D1678" s="2" t="n">
        <v>15</v>
      </c>
      <c r="E1678" s="2" t="inlineStr">
        <is>
          <t>CHO</t>
        </is>
      </c>
      <c r="F1678" s="2" t="n">
        <v>2.376</v>
      </c>
      <c r="G1678" s="2" t="n">
        <v>-0.001859</v>
      </c>
    </row>
    <row r="1679">
      <c r="A1679" s="1" t="inlineStr">
        <is>
          <t>D6</t>
        </is>
      </c>
      <c r="B1679" s="1" t="n">
        <v>42</v>
      </c>
      <c r="C1679" s="2">
        <f>_xlfn.XLOOKUP(B1679,Results!$B$23:$B$119,Results!$D$23:$D$119)</f>
        <v/>
      </c>
      <c r="D1679" s="1" t="n">
        <v>16</v>
      </c>
      <c r="E1679" s="1" t="inlineStr">
        <is>
          <t>CHO</t>
        </is>
      </c>
      <c r="F1679" s="1" t="n">
        <v>2.3808</v>
      </c>
      <c r="G1679" s="1" t="n">
        <v>-0.001696</v>
      </c>
    </row>
    <row r="1680">
      <c r="A1680" s="2" t="inlineStr">
        <is>
          <t>D6</t>
        </is>
      </c>
      <c r="B1680" s="2" t="n">
        <v>42</v>
      </c>
      <c r="C1680" s="2">
        <f>_xlfn.XLOOKUP(B1680,Results!$B$23:$B$119,Results!$D$23:$D$119)</f>
        <v/>
      </c>
      <c r="D1680" s="2" t="n">
        <v>17</v>
      </c>
      <c r="E1680" s="2" t="inlineStr">
        <is>
          <t>CHO</t>
        </is>
      </c>
      <c r="F1680" s="2" t="n">
        <v>2.3829</v>
      </c>
      <c r="G1680" s="2" t="n">
        <v>-0.00426</v>
      </c>
    </row>
    <row r="1681">
      <c r="A1681" s="1" t="inlineStr">
        <is>
          <t>D6</t>
        </is>
      </c>
      <c r="B1681" s="1" t="n">
        <v>42</v>
      </c>
      <c r="C1681" s="2">
        <f>_xlfn.XLOOKUP(B1681,Results!$B$23:$B$119,Results!$D$23:$D$119)</f>
        <v/>
      </c>
      <c r="D1681" s="1" t="n">
        <v>18</v>
      </c>
      <c r="E1681" s="1" t="inlineStr">
        <is>
          <t>CHO</t>
        </is>
      </c>
      <c r="F1681" s="1" t="n">
        <v>2.3876</v>
      </c>
      <c r="G1681" s="1" t="n">
        <v>-0.004236</v>
      </c>
    </row>
    <row r="1682">
      <c r="A1682" s="2" t="inlineStr">
        <is>
          <t>D6</t>
        </is>
      </c>
      <c r="B1682" s="2" t="n">
        <v>42</v>
      </c>
      <c r="C1682" s="2">
        <f>_xlfn.XLOOKUP(B1682,Results!$B$23:$B$119,Results!$D$23:$D$119)</f>
        <v/>
      </c>
      <c r="D1682" s="2" t="n">
        <v>19</v>
      </c>
      <c r="E1682" s="2" t="inlineStr">
        <is>
          <t>CHO</t>
        </is>
      </c>
      <c r="F1682" s="2" t="n">
        <v>2.3924</v>
      </c>
      <c r="G1682" s="2" t="n">
        <v>-0.004081</v>
      </c>
    </row>
    <row r="1683">
      <c r="A1683" s="1" t="inlineStr">
        <is>
          <t>D6</t>
        </is>
      </c>
      <c r="B1683" s="1" t="n">
        <v>42</v>
      </c>
      <c r="C1683" s="2">
        <f>_xlfn.XLOOKUP(B1683,Results!$B$23:$B$119,Results!$D$23:$D$119)</f>
        <v/>
      </c>
      <c r="D1683" s="1" t="n">
        <v>20</v>
      </c>
      <c r="E1683" s="1" t="inlineStr">
        <is>
          <t>CHO</t>
        </is>
      </c>
      <c r="F1683" s="1" t="n">
        <v>2.3967</v>
      </c>
      <c r="G1683" s="1" t="n">
        <v>-0.004471</v>
      </c>
    </row>
    <row r="1684">
      <c r="A1684" s="2" t="inlineStr">
        <is>
          <t>D6</t>
        </is>
      </c>
      <c r="B1684" s="2" t="n">
        <v>42</v>
      </c>
      <c r="C1684" s="2">
        <f>_xlfn.XLOOKUP(B1684,Results!$B$23:$B$119,Results!$D$23:$D$119)</f>
        <v/>
      </c>
      <c r="D1684" s="2" t="n">
        <v>21</v>
      </c>
      <c r="E1684" s="2" t="inlineStr">
        <is>
          <t>CHO</t>
        </is>
      </c>
      <c r="F1684" s="2" t="n">
        <v>2.401</v>
      </c>
      <c r="G1684" s="2" t="n">
        <v>-0.004819</v>
      </c>
    </row>
    <row r="1685">
      <c r="A1685" s="1" t="inlineStr">
        <is>
          <t>D6</t>
        </is>
      </c>
      <c r="B1685" s="1" t="n">
        <v>42</v>
      </c>
      <c r="C1685" s="2">
        <f>_xlfn.XLOOKUP(B1685,Results!$B$23:$B$119,Results!$D$23:$D$119)</f>
        <v/>
      </c>
      <c r="D1685" s="1" t="n">
        <v>22</v>
      </c>
      <c r="E1685" s="1" t="inlineStr">
        <is>
          <t>CHO</t>
        </is>
      </c>
      <c r="F1685" s="1" t="n">
        <v>2.4087</v>
      </c>
      <c r="G1685" s="1" t="n">
        <v>-0.001774</v>
      </c>
    </row>
    <row r="1686">
      <c r="A1686" s="2" t="inlineStr">
        <is>
          <t>D6</t>
        </is>
      </c>
      <c r="B1686" s="2" t="n">
        <v>42</v>
      </c>
      <c r="C1686" s="2">
        <f>_xlfn.XLOOKUP(B1686,Results!$B$23:$B$119,Results!$D$23:$D$119)</f>
        <v/>
      </c>
      <c r="D1686" s="2" t="n">
        <v>23</v>
      </c>
      <c r="E1686" s="2" t="inlineStr">
        <is>
          <t>CHO</t>
        </is>
      </c>
      <c r="F1686" s="2" t="n">
        <v>2.4141</v>
      </c>
      <c r="G1686" s="2" t="n">
        <v>-0.0009990000000000001</v>
      </c>
    </row>
    <row r="1687">
      <c r="A1687" s="1" t="inlineStr">
        <is>
          <t>D6</t>
        </is>
      </c>
      <c r="B1687" s="1" t="n">
        <v>42</v>
      </c>
      <c r="C1687" s="2">
        <f>_xlfn.XLOOKUP(B1687,Results!$B$23:$B$119,Results!$D$23:$D$119)</f>
        <v/>
      </c>
      <c r="D1687" s="1" t="n">
        <v>24</v>
      </c>
      <c r="E1687" s="1" t="inlineStr">
        <is>
          <t>CHO</t>
        </is>
      </c>
      <c r="F1687" s="1" t="n">
        <v>2.4195</v>
      </c>
      <c r="G1687" s="1" t="n">
        <v>-0.000307</v>
      </c>
    </row>
    <row r="1688">
      <c r="A1688" s="2" t="inlineStr">
        <is>
          <t>D6</t>
        </is>
      </c>
      <c r="B1688" s="2" t="n">
        <v>42</v>
      </c>
      <c r="C1688" s="2">
        <f>_xlfn.XLOOKUP(B1688,Results!$B$23:$B$119,Results!$D$23:$D$119)</f>
        <v/>
      </c>
      <c r="D1688" s="2" t="n">
        <v>25</v>
      </c>
      <c r="E1688" s="2" t="inlineStr">
        <is>
          <t>CHO</t>
        </is>
      </c>
      <c r="F1688" s="2" t="n">
        <v>2.4246</v>
      </c>
      <c r="G1688" s="2" t="n">
        <v>0.000113</v>
      </c>
    </row>
    <row r="1689">
      <c r="A1689" s="1" t="inlineStr">
        <is>
          <t>D6</t>
        </is>
      </c>
      <c r="B1689" s="1" t="n">
        <v>42</v>
      </c>
      <c r="C1689" s="2">
        <f>_xlfn.XLOOKUP(B1689,Results!$B$23:$B$119,Results!$D$23:$D$119)</f>
        <v/>
      </c>
      <c r="D1689" s="1" t="n">
        <v>26</v>
      </c>
      <c r="E1689" s="1" t="inlineStr">
        <is>
          <t>CHO</t>
        </is>
      </c>
      <c r="F1689" s="1" t="n">
        <v>2.4296</v>
      </c>
      <c r="G1689" s="1" t="n">
        <v>0.000507</v>
      </c>
    </row>
    <row r="1690">
      <c r="A1690" s="2" t="inlineStr">
        <is>
          <t>D6</t>
        </is>
      </c>
      <c r="B1690" s="2" t="n">
        <v>42</v>
      </c>
      <c r="C1690" s="2">
        <f>_xlfn.XLOOKUP(B1690,Results!$B$23:$B$119,Results!$D$23:$D$119)</f>
        <v/>
      </c>
      <c r="D1690" s="2" t="n">
        <v>27</v>
      </c>
      <c r="E1690" s="2" t="inlineStr">
        <is>
          <t>CHO</t>
        </is>
      </c>
      <c r="F1690" s="2" t="n">
        <v>2.4343</v>
      </c>
      <c r="G1690" s="2" t="n">
        <v>0.000504</v>
      </c>
    </row>
    <row r="1691">
      <c r="A1691" s="1" t="inlineStr">
        <is>
          <t>D6</t>
        </is>
      </c>
      <c r="B1691" s="1" t="n">
        <v>42</v>
      </c>
      <c r="C1691" s="2">
        <f>_xlfn.XLOOKUP(B1691,Results!$B$23:$B$119,Results!$D$23:$D$119)</f>
        <v/>
      </c>
      <c r="D1691" s="1" t="n">
        <v>28</v>
      </c>
      <c r="E1691" s="1" t="inlineStr">
        <is>
          <t>CHO</t>
        </is>
      </c>
      <c r="F1691" s="1" t="n">
        <v>2.4358</v>
      </c>
      <c r="G1691" s="1" t="n">
        <v>-0.002671</v>
      </c>
    </row>
    <row r="1692">
      <c r="A1692" s="2" t="inlineStr">
        <is>
          <t>D6</t>
        </is>
      </c>
      <c r="B1692" s="2" t="n">
        <v>42</v>
      </c>
      <c r="C1692" s="2">
        <f>_xlfn.XLOOKUP(B1692,Results!$B$23:$B$119,Results!$D$23:$D$119)</f>
        <v/>
      </c>
      <c r="D1692" s="2" t="n">
        <v>29</v>
      </c>
      <c r="E1692" s="2" t="inlineStr">
        <is>
          <t>CHO</t>
        </is>
      </c>
      <c r="F1692" s="2" t="n">
        <v>2.4431</v>
      </c>
      <c r="G1692" s="2" t="n">
        <v>-3e-06</v>
      </c>
    </row>
    <row r="1693">
      <c r="A1693" s="1" t="inlineStr">
        <is>
          <t>D6</t>
        </is>
      </c>
      <c r="B1693" s="1" t="n">
        <v>42</v>
      </c>
      <c r="C1693" s="2">
        <f>_xlfn.XLOOKUP(B1693,Results!$B$23:$B$119,Results!$D$23:$D$119)</f>
        <v/>
      </c>
      <c r="D1693" s="1" t="n">
        <v>30</v>
      </c>
      <c r="E1693" s="1" t="inlineStr">
        <is>
          <t>CHO</t>
        </is>
      </c>
      <c r="F1693" s="1" t="n">
        <v>2.447</v>
      </c>
      <c r="G1693" s="1" t="n">
        <v>-0.000742</v>
      </c>
    </row>
    <row r="1694">
      <c r="A1694" s="2" t="inlineStr">
        <is>
          <t>D6</t>
        </is>
      </c>
      <c r="B1694" s="2" t="n">
        <v>42</v>
      </c>
      <c r="C1694" s="2">
        <f>_xlfn.XLOOKUP(B1694,Results!$B$23:$B$119,Results!$D$23:$D$119)</f>
        <v/>
      </c>
      <c r="D1694" s="2" t="n">
        <v>31</v>
      </c>
      <c r="E1694" s="2" t="inlineStr">
        <is>
          <t>CHO</t>
        </is>
      </c>
      <c r="F1694" s="2" t="n">
        <v>2.4575</v>
      </c>
      <c r="G1694" s="2" t="n">
        <v>0.005046</v>
      </c>
    </row>
    <row r="1695">
      <c r="A1695" s="1" t="inlineStr">
        <is>
          <t>D6</t>
        </is>
      </c>
      <c r="B1695" s="1" t="n">
        <v>42</v>
      </c>
      <c r="C1695" s="2">
        <f>_xlfn.XLOOKUP(B1695,Results!$B$23:$B$119,Results!$D$23:$D$119)</f>
        <v/>
      </c>
      <c r="D1695" s="1" t="n">
        <v>32</v>
      </c>
      <c r="E1695" s="1" t="inlineStr">
        <is>
          <t>CHO</t>
        </is>
      </c>
      <c r="F1695" s="1" t="n">
        <v>2.4619</v>
      </c>
      <c r="G1695" s="1" t="n">
        <v>0.004858</v>
      </c>
    </row>
    <row r="1696">
      <c r="A1696" s="2" t="inlineStr">
        <is>
          <t>D6</t>
        </is>
      </c>
      <c r="B1696" s="2" t="n">
        <v>42</v>
      </c>
      <c r="C1696" s="2">
        <f>_xlfn.XLOOKUP(B1696,Results!$B$23:$B$119,Results!$D$23:$D$119)</f>
        <v/>
      </c>
      <c r="D1696" s="2" t="n">
        <v>33</v>
      </c>
      <c r="E1696" s="2" t="inlineStr">
        <is>
          <t>CHO</t>
        </is>
      </c>
      <c r="F1696" s="2" t="n">
        <v>2.4632</v>
      </c>
      <c r="G1696" s="2" t="n">
        <v>0.001434</v>
      </c>
    </row>
    <row r="1697">
      <c r="A1697" s="1" t="inlineStr">
        <is>
          <t>D6</t>
        </is>
      </c>
      <c r="B1697" s="1" t="n">
        <v>42</v>
      </c>
      <c r="C1697" s="2">
        <f>_xlfn.XLOOKUP(B1697,Results!$B$23:$B$119,Results!$D$23:$D$119)</f>
        <v/>
      </c>
      <c r="D1697" s="1" t="n">
        <v>34</v>
      </c>
      <c r="E1697" s="1" t="inlineStr">
        <is>
          <t>CHO</t>
        </is>
      </c>
      <c r="F1697" s="1" t="n">
        <v>2.4664</v>
      </c>
      <c r="G1697" s="1" t="n">
        <v>-2.6e-05</v>
      </c>
    </row>
    <row r="1698">
      <c r="A1698" s="2" t="inlineStr">
        <is>
          <t>D6</t>
        </is>
      </c>
      <c r="B1698" s="2" t="n">
        <v>42</v>
      </c>
      <c r="C1698" s="2">
        <f>_xlfn.XLOOKUP(B1698,Results!$B$23:$B$119,Results!$D$23:$D$119)</f>
        <v/>
      </c>
      <c r="D1698" s="2" t="n">
        <v>35</v>
      </c>
      <c r="E1698" s="2" t="inlineStr">
        <is>
          <t>CHO</t>
        </is>
      </c>
      <c r="F1698" s="2" t="n">
        <v>2.4713</v>
      </c>
      <c r="G1698" s="2" t="n">
        <v>0.000233</v>
      </c>
    </row>
    <row r="1699">
      <c r="A1699" s="1" t="inlineStr">
        <is>
          <t>D6</t>
        </is>
      </c>
      <c r="B1699" s="1" t="n">
        <v>42</v>
      </c>
      <c r="C1699" s="2">
        <f>_xlfn.XLOOKUP(B1699,Results!$B$23:$B$119,Results!$D$23:$D$119)</f>
        <v/>
      </c>
      <c r="D1699" s="1" t="n">
        <v>36</v>
      </c>
      <c r="E1699" s="1" t="inlineStr">
        <is>
          <t>CHO</t>
        </is>
      </c>
      <c r="F1699" s="1" t="n">
        <v>2.4772</v>
      </c>
      <c r="G1699" s="1" t="n">
        <v>0.001493</v>
      </c>
    </row>
    <row r="1700">
      <c r="A1700" s="2" t="inlineStr">
        <is>
          <t>D6</t>
        </is>
      </c>
      <c r="B1700" s="2" t="n">
        <v>42</v>
      </c>
      <c r="C1700" s="2">
        <f>_xlfn.XLOOKUP(B1700,Results!$B$23:$B$119,Results!$D$23:$D$119)</f>
        <v/>
      </c>
      <c r="D1700" s="2" t="n">
        <v>37</v>
      </c>
      <c r="E1700" s="2" t="inlineStr">
        <is>
          <t>CHO</t>
        </is>
      </c>
      <c r="F1700" s="2" t="n">
        <v>2.4823</v>
      </c>
      <c r="G1700" s="2" t="n">
        <v>0.001869</v>
      </c>
    </row>
    <row r="1701">
      <c r="A1701" s="1" t="inlineStr">
        <is>
          <t>D6</t>
        </is>
      </c>
      <c r="B1701" s="1" t="n">
        <v>42</v>
      </c>
      <c r="C1701" s="2">
        <f>_xlfn.XLOOKUP(B1701,Results!$B$23:$B$119,Results!$D$23:$D$119)</f>
        <v/>
      </c>
      <c r="D1701" s="1" t="n">
        <v>38</v>
      </c>
      <c r="E1701" s="1" t="inlineStr">
        <is>
          <t>CHO</t>
        </is>
      </c>
      <c r="F1701" s="1" t="n">
        <v>2.4851</v>
      </c>
      <c r="G1701" s="1" t="n">
        <v>0.000104</v>
      </c>
    </row>
    <row r="1702">
      <c r="A1702" s="2" t="inlineStr">
        <is>
          <t>D6</t>
        </is>
      </c>
      <c r="B1702" s="2" t="n">
        <v>42</v>
      </c>
      <c r="C1702" s="2">
        <f>_xlfn.XLOOKUP(B1702,Results!$B$23:$B$119,Results!$D$23:$D$119)</f>
        <v/>
      </c>
      <c r="D1702" s="2" t="n">
        <v>39</v>
      </c>
      <c r="E1702" s="2" t="inlineStr">
        <is>
          <t>CHO</t>
        </is>
      </c>
      <c r="F1702" s="2" t="n">
        <v>2.4897</v>
      </c>
      <c r="G1702" s="2" t="n">
        <v>3.3e-05</v>
      </c>
    </row>
    <row r="1703">
      <c r="A1703" s="1" t="inlineStr">
        <is>
          <t>D6</t>
        </is>
      </c>
      <c r="B1703" s="1" t="n">
        <v>42</v>
      </c>
      <c r="C1703" s="2">
        <f>_xlfn.XLOOKUP(B1703,Results!$B$23:$B$119,Results!$D$23:$D$119)</f>
        <v/>
      </c>
      <c r="D1703" s="1" t="n">
        <v>40</v>
      </c>
      <c r="E1703" s="1" t="inlineStr">
        <is>
          <t>CHO</t>
        </is>
      </c>
      <c r="F1703" s="1" t="n">
        <v>2.4949</v>
      </c>
      <c r="G1703" s="1" t="n">
        <v>0.000564</v>
      </c>
    </row>
    <row r="1704">
      <c r="A1704" s="2" t="inlineStr">
        <is>
          <t>D7</t>
        </is>
      </c>
      <c r="B1704" s="2" t="n">
        <v>43</v>
      </c>
      <c r="C1704" s="2">
        <f>_xlfn.XLOOKUP(B1704,Results!$B$23:$B$119,Results!$D$23:$D$119)</f>
        <v/>
      </c>
      <c r="D1704" s="2" t="n">
        <v>1</v>
      </c>
      <c r="E1704" s="2" t="inlineStr"/>
      <c r="F1704" s="2" t="inlineStr"/>
      <c r="G1704" s="2" t="inlineStr"/>
    </row>
    <row r="1705">
      <c r="A1705" s="1" t="inlineStr">
        <is>
          <t>D7</t>
        </is>
      </c>
      <c r="B1705" s="1" t="n">
        <v>43</v>
      </c>
      <c r="C1705" s="2">
        <f>_xlfn.XLOOKUP(B1705,Results!$B$23:$B$119,Results!$D$23:$D$119)</f>
        <v/>
      </c>
      <c r="D1705" s="1" t="n">
        <v>2</v>
      </c>
      <c r="E1705" s="1" t="inlineStr"/>
      <c r="F1705" s="1" t="inlineStr"/>
      <c r="G1705" s="1" t="inlineStr"/>
    </row>
    <row r="1706">
      <c r="A1706" s="2" t="inlineStr">
        <is>
          <t>D7</t>
        </is>
      </c>
      <c r="B1706" s="2" t="n">
        <v>43</v>
      </c>
      <c r="C1706" s="2">
        <f>_xlfn.XLOOKUP(B1706,Results!$B$23:$B$119,Results!$D$23:$D$119)</f>
        <v/>
      </c>
      <c r="D1706" s="2" t="n">
        <v>3</v>
      </c>
      <c r="E1706" s="2" t="inlineStr"/>
      <c r="F1706" s="2" t="inlineStr"/>
      <c r="G1706" s="2" t="inlineStr"/>
    </row>
    <row r="1707">
      <c r="A1707" s="1" t="inlineStr">
        <is>
          <t>D7</t>
        </is>
      </c>
      <c r="B1707" s="1" t="n">
        <v>43</v>
      </c>
      <c r="C1707" s="2">
        <f>_xlfn.XLOOKUP(B1707,Results!$B$23:$B$119,Results!$D$23:$D$119)</f>
        <v/>
      </c>
      <c r="D1707" s="1" t="n">
        <v>4</v>
      </c>
      <c r="E1707" s="1" t="inlineStr"/>
      <c r="F1707" s="1" t="inlineStr"/>
      <c r="G1707" s="1" t="inlineStr"/>
    </row>
    <row r="1708">
      <c r="A1708" s="2" t="inlineStr">
        <is>
          <t>D7</t>
        </is>
      </c>
      <c r="B1708" s="2" t="n">
        <v>43</v>
      </c>
      <c r="C1708" s="2">
        <f>_xlfn.XLOOKUP(B1708,Results!$B$23:$B$119,Results!$D$23:$D$119)</f>
        <v/>
      </c>
      <c r="D1708" s="2" t="n">
        <v>5</v>
      </c>
      <c r="E1708" s="2" t="inlineStr"/>
      <c r="F1708" s="2" t="inlineStr"/>
      <c r="G1708" s="2" t="inlineStr"/>
    </row>
    <row r="1709">
      <c r="A1709" s="1" t="inlineStr">
        <is>
          <t>D7</t>
        </is>
      </c>
      <c r="B1709" s="1" t="n">
        <v>43</v>
      </c>
      <c r="C1709" s="2">
        <f>_xlfn.XLOOKUP(B1709,Results!$B$23:$B$119,Results!$D$23:$D$119)</f>
        <v/>
      </c>
      <c r="D1709" s="1" t="n">
        <v>6</v>
      </c>
      <c r="E1709" s="1" t="inlineStr"/>
      <c r="F1709" s="1" t="inlineStr"/>
      <c r="G1709" s="1" t="inlineStr"/>
    </row>
    <row r="1710">
      <c r="A1710" s="2" t="inlineStr">
        <is>
          <t>D7</t>
        </is>
      </c>
      <c r="B1710" s="2" t="n">
        <v>43</v>
      </c>
      <c r="C1710" s="2">
        <f>_xlfn.XLOOKUP(B1710,Results!$B$23:$B$119,Results!$D$23:$D$119)</f>
        <v/>
      </c>
      <c r="D1710" s="2" t="n">
        <v>7</v>
      </c>
      <c r="E1710" s="2" t="inlineStr"/>
      <c r="F1710" s="2" t="inlineStr"/>
      <c r="G1710" s="2" t="inlineStr"/>
    </row>
    <row r="1711">
      <c r="A1711" s="1" t="inlineStr">
        <is>
          <t>D7</t>
        </is>
      </c>
      <c r="B1711" s="1" t="n">
        <v>43</v>
      </c>
      <c r="C1711" s="2">
        <f>_xlfn.XLOOKUP(B1711,Results!$B$23:$B$119,Results!$D$23:$D$119)</f>
        <v/>
      </c>
      <c r="D1711" s="1" t="n">
        <v>8</v>
      </c>
      <c r="E1711" s="1" t="inlineStr"/>
      <c r="F1711" s="1" t="inlineStr"/>
      <c r="G1711" s="1" t="inlineStr"/>
    </row>
    <row r="1712">
      <c r="A1712" s="2" t="inlineStr">
        <is>
          <t>D7</t>
        </is>
      </c>
      <c r="B1712" s="2" t="n">
        <v>43</v>
      </c>
      <c r="C1712" s="2">
        <f>_xlfn.XLOOKUP(B1712,Results!$B$23:$B$119,Results!$D$23:$D$119)</f>
        <v/>
      </c>
      <c r="D1712" s="2" t="n">
        <v>9</v>
      </c>
      <c r="E1712" s="2" t="inlineStr"/>
      <c r="F1712" s="2" t="inlineStr"/>
      <c r="G1712" s="2" t="inlineStr"/>
    </row>
    <row r="1713">
      <c r="A1713" s="1" t="inlineStr">
        <is>
          <t>D7</t>
        </is>
      </c>
      <c r="B1713" s="1" t="n">
        <v>43</v>
      </c>
      <c r="C1713" s="2">
        <f>_xlfn.XLOOKUP(B1713,Results!$B$23:$B$119,Results!$D$23:$D$119)</f>
        <v/>
      </c>
      <c r="D1713" s="1" t="n">
        <v>10</v>
      </c>
      <c r="E1713" s="1" t="inlineStr"/>
      <c r="F1713" s="1" t="inlineStr"/>
      <c r="G1713" s="1" t="inlineStr"/>
    </row>
    <row r="1714">
      <c r="A1714" s="2" t="inlineStr">
        <is>
          <t>D7</t>
        </is>
      </c>
      <c r="B1714" s="2" t="n">
        <v>43</v>
      </c>
      <c r="C1714" s="2">
        <f>_xlfn.XLOOKUP(B1714,Results!$B$23:$B$119,Results!$D$23:$D$119)</f>
        <v/>
      </c>
      <c r="D1714" s="2" t="n">
        <v>11</v>
      </c>
      <c r="E1714" s="2" t="inlineStr"/>
      <c r="F1714" s="2" t="inlineStr"/>
      <c r="G1714" s="2" t="inlineStr"/>
    </row>
    <row r="1715">
      <c r="A1715" s="1" t="inlineStr">
        <is>
          <t>D7</t>
        </is>
      </c>
      <c r="B1715" s="1" t="n">
        <v>43</v>
      </c>
      <c r="C1715" s="2">
        <f>_xlfn.XLOOKUP(B1715,Results!$B$23:$B$119,Results!$D$23:$D$119)</f>
        <v/>
      </c>
      <c r="D1715" s="1" t="n">
        <v>12</v>
      </c>
      <c r="E1715" s="1" t="inlineStr"/>
      <c r="F1715" s="1" t="inlineStr"/>
      <c r="G1715" s="1" t="inlineStr"/>
    </row>
    <row r="1716">
      <c r="A1716" s="2" t="inlineStr">
        <is>
          <t>D7</t>
        </is>
      </c>
      <c r="B1716" s="2" t="n">
        <v>43</v>
      </c>
      <c r="C1716" s="2">
        <f>_xlfn.XLOOKUP(B1716,Results!$B$23:$B$119,Results!$D$23:$D$119)</f>
        <v/>
      </c>
      <c r="D1716" s="2" t="n">
        <v>13</v>
      </c>
      <c r="E1716" s="2" t="inlineStr"/>
      <c r="F1716" s="2" t="inlineStr"/>
      <c r="G1716" s="2" t="inlineStr"/>
    </row>
    <row r="1717">
      <c r="A1717" s="1" t="inlineStr">
        <is>
          <t>D7</t>
        </is>
      </c>
      <c r="B1717" s="1" t="n">
        <v>43</v>
      </c>
      <c r="C1717" s="2">
        <f>_xlfn.XLOOKUP(B1717,Results!$B$23:$B$119,Results!$D$23:$D$119)</f>
        <v/>
      </c>
      <c r="D1717" s="1" t="n">
        <v>14</v>
      </c>
      <c r="E1717" s="1" t="inlineStr"/>
      <c r="F1717" s="1" t="inlineStr"/>
      <c r="G1717" s="1" t="inlineStr"/>
    </row>
    <row r="1718">
      <c r="A1718" s="2" t="inlineStr">
        <is>
          <t>D7</t>
        </is>
      </c>
      <c r="B1718" s="2" t="n">
        <v>43</v>
      </c>
      <c r="C1718" s="2">
        <f>_xlfn.XLOOKUP(B1718,Results!$B$23:$B$119,Results!$D$23:$D$119)</f>
        <v/>
      </c>
      <c r="D1718" s="2" t="n">
        <v>15</v>
      </c>
      <c r="E1718" s="2" t="inlineStr"/>
      <c r="F1718" s="2" t="inlineStr"/>
      <c r="G1718" s="2" t="inlineStr"/>
    </row>
    <row r="1719">
      <c r="A1719" s="1" t="inlineStr">
        <is>
          <t>D7</t>
        </is>
      </c>
      <c r="B1719" s="1" t="n">
        <v>43</v>
      </c>
      <c r="C1719" s="2">
        <f>_xlfn.XLOOKUP(B1719,Results!$B$23:$B$119,Results!$D$23:$D$119)</f>
        <v/>
      </c>
      <c r="D1719" s="1" t="n">
        <v>16</v>
      </c>
      <c r="E1719" s="1" t="inlineStr"/>
      <c r="F1719" s="1" t="inlineStr"/>
      <c r="G1719" s="1" t="inlineStr"/>
    </row>
    <row r="1720">
      <c r="A1720" s="2" t="inlineStr">
        <is>
          <t>D7</t>
        </is>
      </c>
      <c r="B1720" s="2" t="n">
        <v>43</v>
      </c>
      <c r="C1720" s="2">
        <f>_xlfn.XLOOKUP(B1720,Results!$B$23:$B$119,Results!$D$23:$D$119)</f>
        <v/>
      </c>
      <c r="D1720" s="2" t="n">
        <v>17</v>
      </c>
      <c r="E1720" s="2" t="inlineStr"/>
      <c r="F1720" s="2" t="inlineStr"/>
      <c r="G1720" s="2" t="inlineStr"/>
    </row>
    <row r="1721">
      <c r="A1721" s="1" t="inlineStr">
        <is>
          <t>D7</t>
        </is>
      </c>
      <c r="B1721" s="1" t="n">
        <v>43</v>
      </c>
      <c r="C1721" s="2">
        <f>_xlfn.XLOOKUP(B1721,Results!$B$23:$B$119,Results!$D$23:$D$119)</f>
        <v/>
      </c>
      <c r="D1721" s="1" t="n">
        <v>18</v>
      </c>
      <c r="E1721" s="1" t="inlineStr"/>
      <c r="F1721" s="1" t="inlineStr"/>
      <c r="G1721" s="1" t="inlineStr"/>
    </row>
    <row r="1722">
      <c r="A1722" s="2" t="inlineStr">
        <is>
          <t>D7</t>
        </is>
      </c>
      <c r="B1722" s="2" t="n">
        <v>43</v>
      </c>
      <c r="C1722" s="2">
        <f>_xlfn.XLOOKUP(B1722,Results!$B$23:$B$119,Results!$D$23:$D$119)</f>
        <v/>
      </c>
      <c r="D1722" s="2" t="n">
        <v>19</v>
      </c>
      <c r="E1722" s="2" t="inlineStr"/>
      <c r="F1722" s="2" t="inlineStr"/>
      <c r="G1722" s="2" t="inlineStr"/>
    </row>
    <row r="1723">
      <c r="A1723" s="1" t="inlineStr">
        <is>
          <t>D7</t>
        </is>
      </c>
      <c r="B1723" s="1" t="n">
        <v>43</v>
      </c>
      <c r="C1723" s="2">
        <f>_xlfn.XLOOKUP(B1723,Results!$B$23:$B$119,Results!$D$23:$D$119)</f>
        <v/>
      </c>
      <c r="D1723" s="1" t="n">
        <v>20</v>
      </c>
      <c r="E1723" s="1" t="inlineStr"/>
      <c r="F1723" s="1" t="inlineStr"/>
      <c r="G1723" s="1" t="inlineStr"/>
    </row>
    <row r="1724">
      <c r="A1724" s="2" t="inlineStr">
        <is>
          <t>D7</t>
        </is>
      </c>
      <c r="B1724" s="2" t="n">
        <v>43</v>
      </c>
      <c r="C1724" s="2">
        <f>_xlfn.XLOOKUP(B1724,Results!$B$23:$B$119,Results!$D$23:$D$119)</f>
        <v/>
      </c>
      <c r="D1724" s="2" t="n">
        <v>21</v>
      </c>
      <c r="E1724" s="2" t="inlineStr"/>
      <c r="F1724" s="2" t="inlineStr"/>
      <c r="G1724" s="2" t="inlineStr"/>
    </row>
    <row r="1725">
      <c r="A1725" s="1" t="inlineStr">
        <is>
          <t>D7</t>
        </is>
      </c>
      <c r="B1725" s="1" t="n">
        <v>43</v>
      </c>
      <c r="C1725" s="2">
        <f>_xlfn.XLOOKUP(B1725,Results!$B$23:$B$119,Results!$D$23:$D$119)</f>
        <v/>
      </c>
      <c r="D1725" s="1" t="n">
        <v>22</v>
      </c>
      <c r="E1725" s="1" t="inlineStr"/>
      <c r="F1725" s="1" t="inlineStr"/>
      <c r="G1725" s="1" t="inlineStr"/>
    </row>
    <row r="1726">
      <c r="A1726" s="2" t="inlineStr">
        <is>
          <t>D7</t>
        </is>
      </c>
      <c r="B1726" s="2" t="n">
        <v>43</v>
      </c>
      <c r="C1726" s="2">
        <f>_xlfn.XLOOKUP(B1726,Results!$B$23:$B$119,Results!$D$23:$D$119)</f>
        <v/>
      </c>
      <c r="D1726" s="2" t="n">
        <v>23</v>
      </c>
      <c r="E1726" s="2" t="inlineStr"/>
      <c r="F1726" s="2" t="inlineStr"/>
      <c r="G1726" s="2" t="inlineStr"/>
    </row>
    <row r="1727">
      <c r="A1727" s="1" t="inlineStr">
        <is>
          <t>D7</t>
        </is>
      </c>
      <c r="B1727" s="1" t="n">
        <v>43</v>
      </c>
      <c r="C1727" s="2">
        <f>_xlfn.XLOOKUP(B1727,Results!$B$23:$B$119,Results!$D$23:$D$119)</f>
        <v/>
      </c>
      <c r="D1727" s="1" t="n">
        <v>24</v>
      </c>
      <c r="E1727" s="1" t="inlineStr"/>
      <c r="F1727" s="1" t="inlineStr"/>
      <c r="G1727" s="1" t="inlineStr"/>
    </row>
    <row r="1728">
      <c r="A1728" s="2" t="inlineStr">
        <is>
          <t>D7</t>
        </is>
      </c>
      <c r="B1728" s="2" t="n">
        <v>43</v>
      </c>
      <c r="C1728" s="2">
        <f>_xlfn.XLOOKUP(B1728,Results!$B$23:$B$119,Results!$D$23:$D$119)</f>
        <v/>
      </c>
      <c r="D1728" s="2" t="n">
        <v>25</v>
      </c>
      <c r="E1728" s="2" t="inlineStr"/>
      <c r="F1728" s="2" t="inlineStr"/>
      <c r="G1728" s="2" t="inlineStr"/>
    </row>
    <row r="1729">
      <c r="A1729" s="1" t="inlineStr">
        <is>
          <t>D7</t>
        </is>
      </c>
      <c r="B1729" s="1" t="n">
        <v>43</v>
      </c>
      <c r="C1729" s="2">
        <f>_xlfn.XLOOKUP(B1729,Results!$B$23:$B$119,Results!$D$23:$D$119)</f>
        <v/>
      </c>
      <c r="D1729" s="1" t="n">
        <v>26</v>
      </c>
      <c r="E1729" s="1" t="inlineStr"/>
      <c r="F1729" s="1" t="inlineStr"/>
      <c r="G1729" s="1" t="inlineStr"/>
    </row>
    <row r="1730">
      <c r="A1730" s="2" t="inlineStr">
        <is>
          <t>D7</t>
        </is>
      </c>
      <c r="B1730" s="2" t="n">
        <v>43</v>
      </c>
      <c r="C1730" s="2">
        <f>_xlfn.XLOOKUP(B1730,Results!$B$23:$B$119,Results!$D$23:$D$119)</f>
        <v/>
      </c>
      <c r="D1730" s="2" t="n">
        <v>27</v>
      </c>
      <c r="E1730" s="2" t="inlineStr"/>
      <c r="F1730" s="2" t="inlineStr"/>
      <c r="G1730" s="2" t="inlineStr"/>
    </row>
    <row r="1731">
      <c r="A1731" s="1" t="inlineStr">
        <is>
          <t>D7</t>
        </is>
      </c>
      <c r="B1731" s="1" t="n">
        <v>43</v>
      </c>
      <c r="C1731" s="2">
        <f>_xlfn.XLOOKUP(B1731,Results!$B$23:$B$119,Results!$D$23:$D$119)</f>
        <v/>
      </c>
      <c r="D1731" s="1" t="n">
        <v>28</v>
      </c>
      <c r="E1731" s="1" t="inlineStr"/>
      <c r="F1731" s="1" t="inlineStr"/>
      <c r="G1731" s="1" t="inlineStr"/>
    </row>
    <row r="1732">
      <c r="A1732" s="2" t="inlineStr">
        <is>
          <t>D7</t>
        </is>
      </c>
      <c r="B1732" s="2" t="n">
        <v>43</v>
      </c>
      <c r="C1732" s="2">
        <f>_xlfn.XLOOKUP(B1732,Results!$B$23:$B$119,Results!$D$23:$D$119)</f>
        <v/>
      </c>
      <c r="D1732" s="2" t="n">
        <v>29</v>
      </c>
      <c r="E1732" s="2" t="inlineStr"/>
      <c r="F1732" s="2" t="inlineStr"/>
      <c r="G1732" s="2" t="inlineStr"/>
    </row>
    <row r="1733">
      <c r="A1733" s="1" t="inlineStr">
        <is>
          <t>D7</t>
        </is>
      </c>
      <c r="B1733" s="1" t="n">
        <v>43</v>
      </c>
      <c r="C1733" s="2">
        <f>_xlfn.XLOOKUP(B1733,Results!$B$23:$B$119,Results!$D$23:$D$119)</f>
        <v/>
      </c>
      <c r="D1733" s="1" t="n">
        <v>30</v>
      </c>
      <c r="E1733" s="1" t="inlineStr"/>
      <c r="F1733" s="1" t="inlineStr"/>
      <c r="G1733" s="1" t="inlineStr"/>
    </row>
    <row r="1734">
      <c r="A1734" s="2" t="inlineStr">
        <is>
          <t>D7</t>
        </is>
      </c>
      <c r="B1734" s="2" t="n">
        <v>43</v>
      </c>
      <c r="C1734" s="2">
        <f>_xlfn.XLOOKUP(B1734,Results!$B$23:$B$119,Results!$D$23:$D$119)</f>
        <v/>
      </c>
      <c r="D1734" s="2" t="n">
        <v>31</v>
      </c>
      <c r="E1734" s="2" t="inlineStr"/>
      <c r="F1734" s="2" t="inlineStr"/>
      <c r="G1734" s="2" t="inlineStr"/>
    </row>
    <row r="1735">
      <c r="A1735" s="1" t="inlineStr">
        <is>
          <t>D7</t>
        </is>
      </c>
      <c r="B1735" s="1" t="n">
        <v>43</v>
      </c>
      <c r="C1735" s="2">
        <f>_xlfn.XLOOKUP(B1735,Results!$B$23:$B$119,Results!$D$23:$D$119)</f>
        <v/>
      </c>
      <c r="D1735" s="1" t="n">
        <v>32</v>
      </c>
      <c r="E1735" s="1" t="inlineStr"/>
      <c r="F1735" s="1" t="inlineStr"/>
      <c r="G1735" s="1" t="inlineStr"/>
    </row>
    <row r="1736">
      <c r="A1736" s="2" t="inlineStr">
        <is>
          <t>D7</t>
        </is>
      </c>
      <c r="B1736" s="2" t="n">
        <v>43</v>
      </c>
      <c r="C1736" s="2">
        <f>_xlfn.XLOOKUP(B1736,Results!$B$23:$B$119,Results!$D$23:$D$119)</f>
        <v/>
      </c>
      <c r="D1736" s="2" t="n">
        <v>33</v>
      </c>
      <c r="E1736" s="2" t="inlineStr"/>
      <c r="F1736" s="2" t="inlineStr"/>
      <c r="G1736" s="2" t="inlineStr"/>
    </row>
    <row r="1737">
      <c r="A1737" s="1" t="inlineStr">
        <is>
          <t>D7</t>
        </is>
      </c>
      <c r="B1737" s="1" t="n">
        <v>43</v>
      </c>
      <c r="C1737" s="2">
        <f>_xlfn.XLOOKUP(B1737,Results!$B$23:$B$119,Results!$D$23:$D$119)</f>
        <v/>
      </c>
      <c r="D1737" s="1" t="n">
        <v>34</v>
      </c>
      <c r="E1737" s="1" t="inlineStr"/>
      <c r="F1737" s="1" t="inlineStr"/>
      <c r="G1737" s="1" t="inlineStr"/>
    </row>
    <row r="1738">
      <c r="A1738" s="2" t="inlineStr">
        <is>
          <t>D7</t>
        </is>
      </c>
      <c r="B1738" s="2" t="n">
        <v>43</v>
      </c>
      <c r="C1738" s="2">
        <f>_xlfn.XLOOKUP(B1738,Results!$B$23:$B$119,Results!$D$23:$D$119)</f>
        <v/>
      </c>
      <c r="D1738" s="2" t="n">
        <v>35</v>
      </c>
      <c r="E1738" s="2" t="inlineStr"/>
      <c r="F1738" s="2" t="inlineStr"/>
      <c r="G1738" s="2" t="inlineStr"/>
    </row>
    <row r="1739">
      <c r="A1739" s="1" t="inlineStr">
        <is>
          <t>D7</t>
        </is>
      </c>
      <c r="B1739" s="1" t="n">
        <v>43</v>
      </c>
      <c r="C1739" s="2">
        <f>_xlfn.XLOOKUP(B1739,Results!$B$23:$B$119,Results!$D$23:$D$119)</f>
        <v/>
      </c>
      <c r="D1739" s="1" t="n">
        <v>36</v>
      </c>
      <c r="E1739" s="1" t="inlineStr"/>
      <c r="F1739" s="1" t="inlineStr"/>
      <c r="G1739" s="1" t="inlineStr"/>
    </row>
    <row r="1740">
      <c r="A1740" s="2" t="inlineStr">
        <is>
          <t>D7</t>
        </is>
      </c>
      <c r="B1740" s="2" t="n">
        <v>43</v>
      </c>
      <c r="C1740" s="2">
        <f>_xlfn.XLOOKUP(B1740,Results!$B$23:$B$119,Results!$D$23:$D$119)</f>
        <v/>
      </c>
      <c r="D1740" s="2" t="n">
        <v>37</v>
      </c>
      <c r="E1740" s="2" t="inlineStr"/>
      <c r="F1740" s="2" t="inlineStr"/>
      <c r="G1740" s="2" t="inlineStr"/>
    </row>
    <row r="1741">
      <c r="A1741" s="1" t="inlineStr">
        <is>
          <t>D7</t>
        </is>
      </c>
      <c r="B1741" s="1" t="n">
        <v>43</v>
      </c>
      <c r="C1741" s="2">
        <f>_xlfn.XLOOKUP(B1741,Results!$B$23:$B$119,Results!$D$23:$D$119)</f>
        <v/>
      </c>
      <c r="D1741" s="1" t="n">
        <v>38</v>
      </c>
      <c r="E1741" s="1" t="inlineStr"/>
      <c r="F1741" s="1" t="inlineStr"/>
      <c r="G1741" s="1" t="inlineStr"/>
    </row>
    <row r="1742">
      <c r="A1742" s="2" t="inlineStr">
        <is>
          <t>D7</t>
        </is>
      </c>
      <c r="B1742" s="2" t="n">
        <v>43</v>
      </c>
      <c r="C1742" s="2">
        <f>_xlfn.XLOOKUP(B1742,Results!$B$23:$B$119,Results!$D$23:$D$119)</f>
        <v/>
      </c>
      <c r="D1742" s="2" t="n">
        <v>39</v>
      </c>
      <c r="E1742" s="2" t="inlineStr"/>
      <c r="F1742" s="2" t="inlineStr"/>
      <c r="G1742" s="2" t="inlineStr"/>
    </row>
    <row r="1743">
      <c r="A1743" s="1" t="inlineStr">
        <is>
          <t>D7</t>
        </is>
      </c>
      <c r="B1743" s="1" t="n">
        <v>43</v>
      </c>
      <c r="C1743" s="2">
        <f>_xlfn.XLOOKUP(B1743,Results!$B$23:$B$119,Results!$D$23:$D$119)</f>
        <v/>
      </c>
      <c r="D1743" s="1" t="n">
        <v>40</v>
      </c>
      <c r="E1743" s="1" t="inlineStr"/>
      <c r="F1743" s="1" t="inlineStr"/>
      <c r="G1743" s="1" t="inlineStr"/>
    </row>
    <row r="1744">
      <c r="A1744" s="2" t="inlineStr">
        <is>
          <t>D8</t>
        </is>
      </c>
      <c r="B1744" s="2" t="n">
        <v>44</v>
      </c>
      <c r="C1744" s="2">
        <f>_xlfn.XLOOKUP(B1744,Results!$B$23:$B$119,Results!$D$23:$D$119)</f>
        <v/>
      </c>
      <c r="D1744" s="2" t="n">
        <v>1</v>
      </c>
      <c r="E1744" s="2" t="inlineStr"/>
      <c r="F1744" s="2" t="inlineStr"/>
      <c r="G1744" s="2" t="inlineStr"/>
    </row>
    <row r="1745">
      <c r="A1745" s="1" t="inlineStr">
        <is>
          <t>D8</t>
        </is>
      </c>
      <c r="B1745" s="1" t="n">
        <v>44</v>
      </c>
      <c r="C1745" s="2">
        <f>_xlfn.XLOOKUP(B1745,Results!$B$23:$B$119,Results!$D$23:$D$119)</f>
        <v/>
      </c>
      <c r="D1745" s="1" t="n">
        <v>2</v>
      </c>
      <c r="E1745" s="1" t="inlineStr"/>
      <c r="F1745" s="1" t="inlineStr"/>
      <c r="G1745" s="1" t="inlineStr"/>
    </row>
    <row r="1746">
      <c r="A1746" s="2" t="inlineStr">
        <is>
          <t>D8</t>
        </is>
      </c>
      <c r="B1746" s="2" t="n">
        <v>44</v>
      </c>
      <c r="C1746" s="2">
        <f>_xlfn.XLOOKUP(B1746,Results!$B$23:$B$119,Results!$D$23:$D$119)</f>
        <v/>
      </c>
      <c r="D1746" s="2" t="n">
        <v>3</v>
      </c>
      <c r="E1746" s="2" t="inlineStr"/>
      <c r="F1746" s="2" t="inlineStr"/>
      <c r="G1746" s="2" t="inlineStr"/>
    </row>
    <row r="1747">
      <c r="A1747" s="1" t="inlineStr">
        <is>
          <t>D8</t>
        </is>
      </c>
      <c r="B1747" s="1" t="n">
        <v>44</v>
      </c>
      <c r="C1747" s="2">
        <f>_xlfn.XLOOKUP(B1747,Results!$B$23:$B$119,Results!$D$23:$D$119)</f>
        <v/>
      </c>
      <c r="D1747" s="1" t="n">
        <v>4</v>
      </c>
      <c r="E1747" s="1" t="inlineStr"/>
      <c r="F1747" s="1" t="inlineStr"/>
      <c r="G1747" s="1" t="inlineStr"/>
    </row>
    <row r="1748">
      <c r="A1748" s="2" t="inlineStr">
        <is>
          <t>D8</t>
        </is>
      </c>
      <c r="B1748" s="2" t="n">
        <v>44</v>
      </c>
      <c r="C1748" s="2">
        <f>_xlfn.XLOOKUP(B1748,Results!$B$23:$B$119,Results!$D$23:$D$119)</f>
        <v/>
      </c>
      <c r="D1748" s="2" t="n">
        <v>5</v>
      </c>
      <c r="E1748" s="2" t="inlineStr"/>
      <c r="F1748" s="2" t="inlineStr"/>
      <c r="G1748" s="2" t="inlineStr"/>
    </row>
    <row r="1749">
      <c r="A1749" s="1" t="inlineStr">
        <is>
          <t>D8</t>
        </is>
      </c>
      <c r="B1749" s="1" t="n">
        <v>44</v>
      </c>
      <c r="C1749" s="2">
        <f>_xlfn.XLOOKUP(B1749,Results!$B$23:$B$119,Results!$D$23:$D$119)</f>
        <v/>
      </c>
      <c r="D1749" s="1" t="n">
        <v>6</v>
      </c>
      <c r="E1749" s="1" t="inlineStr"/>
      <c r="F1749" s="1" t="inlineStr"/>
      <c r="G1749" s="1" t="inlineStr"/>
    </row>
    <row r="1750">
      <c r="A1750" s="2" t="inlineStr">
        <is>
          <t>D8</t>
        </is>
      </c>
      <c r="B1750" s="2" t="n">
        <v>44</v>
      </c>
      <c r="C1750" s="2">
        <f>_xlfn.XLOOKUP(B1750,Results!$B$23:$B$119,Results!$D$23:$D$119)</f>
        <v/>
      </c>
      <c r="D1750" s="2" t="n">
        <v>7</v>
      </c>
      <c r="E1750" s="2" t="inlineStr"/>
      <c r="F1750" s="2" t="inlineStr"/>
      <c r="G1750" s="2" t="inlineStr"/>
    </row>
    <row r="1751">
      <c r="A1751" s="1" t="inlineStr">
        <is>
          <t>D8</t>
        </is>
      </c>
      <c r="B1751" s="1" t="n">
        <v>44</v>
      </c>
      <c r="C1751" s="2">
        <f>_xlfn.XLOOKUP(B1751,Results!$B$23:$B$119,Results!$D$23:$D$119)</f>
        <v/>
      </c>
      <c r="D1751" s="1" t="n">
        <v>8</v>
      </c>
      <c r="E1751" s="1" t="inlineStr"/>
      <c r="F1751" s="1" t="inlineStr"/>
      <c r="G1751" s="1" t="inlineStr"/>
    </row>
    <row r="1752">
      <c r="A1752" s="2" t="inlineStr">
        <is>
          <t>D8</t>
        </is>
      </c>
      <c r="B1752" s="2" t="n">
        <v>44</v>
      </c>
      <c r="C1752" s="2">
        <f>_xlfn.XLOOKUP(B1752,Results!$B$23:$B$119,Results!$D$23:$D$119)</f>
        <v/>
      </c>
      <c r="D1752" s="2" t="n">
        <v>9</v>
      </c>
      <c r="E1752" s="2" t="inlineStr"/>
      <c r="F1752" s="2" t="inlineStr"/>
      <c r="G1752" s="2" t="inlineStr"/>
    </row>
    <row r="1753">
      <c r="A1753" s="1" t="inlineStr">
        <is>
          <t>D8</t>
        </is>
      </c>
      <c r="B1753" s="1" t="n">
        <v>44</v>
      </c>
      <c r="C1753" s="2">
        <f>_xlfn.XLOOKUP(B1753,Results!$B$23:$B$119,Results!$D$23:$D$119)</f>
        <v/>
      </c>
      <c r="D1753" s="1" t="n">
        <v>10</v>
      </c>
      <c r="E1753" s="1" t="inlineStr"/>
      <c r="F1753" s="1" t="inlineStr"/>
      <c r="G1753" s="1" t="inlineStr"/>
    </row>
    <row r="1754">
      <c r="A1754" s="2" t="inlineStr">
        <is>
          <t>D8</t>
        </is>
      </c>
      <c r="B1754" s="2" t="n">
        <v>44</v>
      </c>
      <c r="C1754" s="2">
        <f>_xlfn.XLOOKUP(B1754,Results!$B$23:$B$119,Results!$D$23:$D$119)</f>
        <v/>
      </c>
      <c r="D1754" s="2" t="n">
        <v>11</v>
      </c>
      <c r="E1754" s="2" t="inlineStr"/>
      <c r="F1754" s="2" t="inlineStr"/>
      <c r="G1754" s="2" t="inlineStr"/>
    </row>
    <row r="1755">
      <c r="A1755" s="1" t="inlineStr">
        <is>
          <t>D8</t>
        </is>
      </c>
      <c r="B1755" s="1" t="n">
        <v>44</v>
      </c>
      <c r="C1755" s="2">
        <f>_xlfn.XLOOKUP(B1755,Results!$B$23:$B$119,Results!$D$23:$D$119)</f>
        <v/>
      </c>
      <c r="D1755" s="1" t="n">
        <v>12</v>
      </c>
      <c r="E1755" s="1" t="inlineStr"/>
      <c r="F1755" s="1" t="inlineStr"/>
      <c r="G1755" s="1" t="inlineStr"/>
    </row>
    <row r="1756">
      <c r="A1756" s="2" t="inlineStr">
        <is>
          <t>D8</t>
        </is>
      </c>
      <c r="B1756" s="2" t="n">
        <v>44</v>
      </c>
      <c r="C1756" s="2">
        <f>_xlfn.XLOOKUP(B1756,Results!$B$23:$B$119,Results!$D$23:$D$119)</f>
        <v/>
      </c>
      <c r="D1756" s="2" t="n">
        <v>13</v>
      </c>
      <c r="E1756" s="2" t="inlineStr"/>
      <c r="F1756" s="2" t="inlineStr"/>
      <c r="G1756" s="2" t="inlineStr"/>
    </row>
    <row r="1757">
      <c r="A1757" s="1" t="inlineStr">
        <is>
          <t>D8</t>
        </is>
      </c>
      <c r="B1757" s="1" t="n">
        <v>44</v>
      </c>
      <c r="C1757" s="2">
        <f>_xlfn.XLOOKUP(B1757,Results!$B$23:$B$119,Results!$D$23:$D$119)</f>
        <v/>
      </c>
      <c r="D1757" s="1" t="n">
        <v>14</v>
      </c>
      <c r="E1757" s="1" t="inlineStr"/>
      <c r="F1757" s="1" t="inlineStr"/>
      <c r="G1757" s="1" t="inlineStr"/>
    </row>
    <row r="1758">
      <c r="A1758" s="2" t="inlineStr">
        <is>
          <t>D8</t>
        </is>
      </c>
      <c r="B1758" s="2" t="n">
        <v>44</v>
      </c>
      <c r="C1758" s="2">
        <f>_xlfn.XLOOKUP(B1758,Results!$B$23:$B$119,Results!$D$23:$D$119)</f>
        <v/>
      </c>
      <c r="D1758" s="2" t="n">
        <v>15</v>
      </c>
      <c r="E1758" s="2" t="inlineStr"/>
      <c r="F1758" s="2" t="inlineStr"/>
      <c r="G1758" s="2" t="inlineStr"/>
    </row>
    <row r="1759">
      <c r="A1759" s="1" t="inlineStr">
        <is>
          <t>D8</t>
        </is>
      </c>
      <c r="B1759" s="1" t="n">
        <v>44</v>
      </c>
      <c r="C1759" s="2">
        <f>_xlfn.XLOOKUP(B1759,Results!$B$23:$B$119,Results!$D$23:$D$119)</f>
        <v/>
      </c>
      <c r="D1759" s="1" t="n">
        <v>16</v>
      </c>
      <c r="E1759" s="1" t="inlineStr"/>
      <c r="F1759" s="1" t="inlineStr"/>
      <c r="G1759" s="1" t="inlineStr"/>
    </row>
    <row r="1760">
      <c r="A1760" s="2" t="inlineStr">
        <is>
          <t>D8</t>
        </is>
      </c>
      <c r="B1760" s="2" t="n">
        <v>44</v>
      </c>
      <c r="C1760" s="2">
        <f>_xlfn.XLOOKUP(B1760,Results!$B$23:$B$119,Results!$D$23:$D$119)</f>
        <v/>
      </c>
      <c r="D1760" s="2" t="n">
        <v>17</v>
      </c>
      <c r="E1760" s="2" t="inlineStr"/>
      <c r="F1760" s="2" t="inlineStr"/>
      <c r="G1760" s="2" t="inlineStr"/>
    </row>
    <row r="1761">
      <c r="A1761" s="1" t="inlineStr">
        <is>
          <t>D8</t>
        </is>
      </c>
      <c r="B1761" s="1" t="n">
        <v>44</v>
      </c>
      <c r="C1761" s="2">
        <f>_xlfn.XLOOKUP(B1761,Results!$B$23:$B$119,Results!$D$23:$D$119)</f>
        <v/>
      </c>
      <c r="D1761" s="1" t="n">
        <v>18</v>
      </c>
      <c r="E1761" s="1" t="inlineStr"/>
      <c r="F1761" s="1" t="inlineStr"/>
      <c r="G1761" s="1" t="inlineStr"/>
    </row>
    <row r="1762">
      <c r="A1762" s="2" t="inlineStr">
        <is>
          <t>D8</t>
        </is>
      </c>
      <c r="B1762" s="2" t="n">
        <v>44</v>
      </c>
      <c r="C1762" s="2">
        <f>_xlfn.XLOOKUP(B1762,Results!$B$23:$B$119,Results!$D$23:$D$119)</f>
        <v/>
      </c>
      <c r="D1762" s="2" t="n">
        <v>19</v>
      </c>
      <c r="E1762" s="2" t="inlineStr"/>
      <c r="F1762" s="2" t="inlineStr"/>
      <c r="G1762" s="2" t="inlineStr"/>
    </row>
    <row r="1763">
      <c r="A1763" s="1" t="inlineStr">
        <is>
          <t>D8</t>
        </is>
      </c>
      <c r="B1763" s="1" t="n">
        <v>44</v>
      </c>
      <c r="C1763" s="2">
        <f>_xlfn.XLOOKUP(B1763,Results!$B$23:$B$119,Results!$D$23:$D$119)</f>
        <v/>
      </c>
      <c r="D1763" s="1" t="n">
        <v>20</v>
      </c>
      <c r="E1763" s="1" t="inlineStr"/>
      <c r="F1763" s="1" t="inlineStr"/>
      <c r="G1763" s="1" t="inlineStr"/>
    </row>
    <row r="1764">
      <c r="A1764" s="2" t="inlineStr">
        <is>
          <t>D8</t>
        </is>
      </c>
      <c r="B1764" s="2" t="n">
        <v>44</v>
      </c>
      <c r="C1764" s="2">
        <f>_xlfn.XLOOKUP(B1764,Results!$B$23:$B$119,Results!$D$23:$D$119)</f>
        <v/>
      </c>
      <c r="D1764" s="2" t="n">
        <v>21</v>
      </c>
      <c r="E1764" s="2" t="inlineStr"/>
      <c r="F1764" s="2" t="inlineStr"/>
      <c r="G1764" s="2" t="inlineStr"/>
    </row>
    <row r="1765">
      <c r="A1765" s="1" t="inlineStr">
        <is>
          <t>D8</t>
        </is>
      </c>
      <c r="B1765" s="1" t="n">
        <v>44</v>
      </c>
      <c r="C1765" s="2">
        <f>_xlfn.XLOOKUP(B1765,Results!$B$23:$B$119,Results!$D$23:$D$119)</f>
        <v/>
      </c>
      <c r="D1765" s="1" t="n">
        <v>22</v>
      </c>
      <c r="E1765" s="1" t="inlineStr"/>
      <c r="F1765" s="1" t="inlineStr"/>
      <c r="G1765" s="1" t="inlineStr"/>
    </row>
    <row r="1766">
      <c r="A1766" s="2" t="inlineStr">
        <is>
          <t>D8</t>
        </is>
      </c>
      <c r="B1766" s="2" t="n">
        <v>44</v>
      </c>
      <c r="C1766" s="2">
        <f>_xlfn.XLOOKUP(B1766,Results!$B$23:$B$119,Results!$D$23:$D$119)</f>
        <v/>
      </c>
      <c r="D1766" s="2" t="n">
        <v>23</v>
      </c>
      <c r="E1766" s="2" t="inlineStr"/>
      <c r="F1766" s="2" t="inlineStr"/>
      <c r="G1766" s="2" t="inlineStr"/>
    </row>
    <row r="1767">
      <c r="A1767" s="1" t="inlineStr">
        <is>
          <t>D8</t>
        </is>
      </c>
      <c r="B1767" s="1" t="n">
        <v>44</v>
      </c>
      <c r="C1767" s="2">
        <f>_xlfn.XLOOKUP(B1767,Results!$B$23:$B$119,Results!$D$23:$D$119)</f>
        <v/>
      </c>
      <c r="D1767" s="1" t="n">
        <v>24</v>
      </c>
      <c r="E1767" s="1" t="inlineStr"/>
      <c r="F1767" s="1" t="inlineStr"/>
      <c r="G1767" s="1" t="inlineStr"/>
    </row>
    <row r="1768">
      <c r="A1768" s="2" t="inlineStr">
        <is>
          <t>D8</t>
        </is>
      </c>
      <c r="B1768" s="2" t="n">
        <v>44</v>
      </c>
      <c r="C1768" s="2">
        <f>_xlfn.XLOOKUP(B1768,Results!$B$23:$B$119,Results!$D$23:$D$119)</f>
        <v/>
      </c>
      <c r="D1768" s="2" t="n">
        <v>25</v>
      </c>
      <c r="E1768" s="2" t="inlineStr"/>
      <c r="F1768" s="2" t="inlineStr"/>
      <c r="G1768" s="2" t="inlineStr"/>
    </row>
    <row r="1769">
      <c r="A1769" s="1" t="inlineStr">
        <is>
          <t>D8</t>
        </is>
      </c>
      <c r="B1769" s="1" t="n">
        <v>44</v>
      </c>
      <c r="C1769" s="2">
        <f>_xlfn.XLOOKUP(B1769,Results!$B$23:$B$119,Results!$D$23:$D$119)</f>
        <v/>
      </c>
      <c r="D1769" s="1" t="n">
        <v>26</v>
      </c>
      <c r="E1769" s="1" t="inlineStr"/>
      <c r="F1769" s="1" t="inlineStr"/>
      <c r="G1769" s="1" t="inlineStr"/>
    </row>
    <row r="1770">
      <c r="A1770" s="2" t="inlineStr">
        <is>
          <t>D8</t>
        </is>
      </c>
      <c r="B1770" s="2" t="n">
        <v>44</v>
      </c>
      <c r="C1770" s="2">
        <f>_xlfn.XLOOKUP(B1770,Results!$B$23:$B$119,Results!$D$23:$D$119)</f>
        <v/>
      </c>
      <c r="D1770" s="2" t="n">
        <v>27</v>
      </c>
      <c r="E1770" s="2" t="inlineStr"/>
      <c r="F1770" s="2" t="inlineStr"/>
      <c r="G1770" s="2" t="inlineStr"/>
    </row>
    <row r="1771">
      <c r="A1771" s="1" t="inlineStr">
        <is>
          <t>D8</t>
        </is>
      </c>
      <c r="B1771" s="1" t="n">
        <v>44</v>
      </c>
      <c r="C1771" s="2">
        <f>_xlfn.XLOOKUP(B1771,Results!$B$23:$B$119,Results!$D$23:$D$119)</f>
        <v/>
      </c>
      <c r="D1771" s="1" t="n">
        <v>28</v>
      </c>
      <c r="E1771" s="1" t="inlineStr"/>
      <c r="F1771" s="1" t="inlineStr"/>
      <c r="G1771" s="1" t="inlineStr"/>
    </row>
    <row r="1772">
      <c r="A1772" s="2" t="inlineStr">
        <is>
          <t>D8</t>
        </is>
      </c>
      <c r="B1772" s="2" t="n">
        <v>44</v>
      </c>
      <c r="C1772" s="2">
        <f>_xlfn.XLOOKUP(B1772,Results!$B$23:$B$119,Results!$D$23:$D$119)</f>
        <v/>
      </c>
      <c r="D1772" s="2" t="n">
        <v>29</v>
      </c>
      <c r="E1772" s="2" t="inlineStr"/>
      <c r="F1772" s="2" t="inlineStr"/>
      <c r="G1772" s="2" t="inlineStr"/>
    </row>
    <row r="1773">
      <c r="A1773" s="1" t="inlineStr">
        <is>
          <t>D8</t>
        </is>
      </c>
      <c r="B1773" s="1" t="n">
        <v>44</v>
      </c>
      <c r="C1773" s="2">
        <f>_xlfn.XLOOKUP(B1773,Results!$B$23:$B$119,Results!$D$23:$D$119)</f>
        <v/>
      </c>
      <c r="D1773" s="1" t="n">
        <v>30</v>
      </c>
      <c r="E1773" s="1" t="inlineStr"/>
      <c r="F1773" s="1" t="inlineStr"/>
      <c r="G1773" s="1" t="inlineStr"/>
    </row>
    <row r="1774">
      <c r="A1774" s="2" t="inlineStr">
        <is>
          <t>D8</t>
        </is>
      </c>
      <c r="B1774" s="2" t="n">
        <v>44</v>
      </c>
      <c r="C1774" s="2">
        <f>_xlfn.XLOOKUP(B1774,Results!$B$23:$B$119,Results!$D$23:$D$119)</f>
        <v/>
      </c>
      <c r="D1774" s="2" t="n">
        <v>31</v>
      </c>
      <c r="E1774" s="2" t="inlineStr"/>
      <c r="F1774" s="2" t="inlineStr"/>
      <c r="G1774" s="2" t="inlineStr"/>
    </row>
    <row r="1775">
      <c r="A1775" s="1" t="inlineStr">
        <is>
          <t>D8</t>
        </is>
      </c>
      <c r="B1775" s="1" t="n">
        <v>44</v>
      </c>
      <c r="C1775" s="2">
        <f>_xlfn.XLOOKUP(B1775,Results!$B$23:$B$119,Results!$D$23:$D$119)</f>
        <v/>
      </c>
      <c r="D1775" s="1" t="n">
        <v>32</v>
      </c>
      <c r="E1775" s="1" t="inlineStr"/>
      <c r="F1775" s="1" t="inlineStr"/>
      <c r="G1775" s="1" t="inlineStr"/>
    </row>
    <row r="1776">
      <c r="A1776" s="2" t="inlineStr">
        <is>
          <t>D8</t>
        </is>
      </c>
      <c r="B1776" s="2" t="n">
        <v>44</v>
      </c>
      <c r="C1776" s="2">
        <f>_xlfn.XLOOKUP(B1776,Results!$B$23:$B$119,Results!$D$23:$D$119)</f>
        <v/>
      </c>
      <c r="D1776" s="2" t="n">
        <v>33</v>
      </c>
      <c r="E1776" s="2" t="inlineStr"/>
      <c r="F1776" s="2" t="inlineStr"/>
      <c r="G1776" s="2" t="inlineStr"/>
    </row>
    <row r="1777">
      <c r="A1777" s="1" t="inlineStr">
        <is>
          <t>D8</t>
        </is>
      </c>
      <c r="B1777" s="1" t="n">
        <v>44</v>
      </c>
      <c r="C1777" s="2">
        <f>_xlfn.XLOOKUP(B1777,Results!$B$23:$B$119,Results!$D$23:$D$119)</f>
        <v/>
      </c>
      <c r="D1777" s="1" t="n">
        <v>34</v>
      </c>
      <c r="E1777" s="1" t="inlineStr"/>
      <c r="F1777" s="1" t="inlineStr"/>
      <c r="G1777" s="1" t="inlineStr"/>
    </row>
    <row r="1778">
      <c r="A1778" s="2" t="inlineStr">
        <is>
          <t>D8</t>
        </is>
      </c>
      <c r="B1778" s="2" t="n">
        <v>44</v>
      </c>
      <c r="C1778" s="2">
        <f>_xlfn.XLOOKUP(B1778,Results!$B$23:$B$119,Results!$D$23:$D$119)</f>
        <v/>
      </c>
      <c r="D1778" s="2" t="n">
        <v>35</v>
      </c>
      <c r="E1778" s="2" t="inlineStr"/>
      <c r="F1778" s="2" t="inlineStr"/>
      <c r="G1778" s="2" t="inlineStr"/>
    </row>
    <row r="1779">
      <c r="A1779" s="1" t="inlineStr">
        <is>
          <t>D8</t>
        </is>
      </c>
      <c r="B1779" s="1" t="n">
        <v>44</v>
      </c>
      <c r="C1779" s="2">
        <f>_xlfn.XLOOKUP(B1779,Results!$B$23:$B$119,Results!$D$23:$D$119)</f>
        <v/>
      </c>
      <c r="D1779" s="1" t="n">
        <v>36</v>
      </c>
      <c r="E1779" s="1" t="inlineStr"/>
      <c r="F1779" s="1" t="inlineStr"/>
      <c r="G1779" s="1" t="inlineStr"/>
    </row>
    <row r="1780">
      <c r="A1780" s="2" t="inlineStr">
        <is>
          <t>D8</t>
        </is>
      </c>
      <c r="B1780" s="2" t="n">
        <v>44</v>
      </c>
      <c r="C1780" s="2">
        <f>_xlfn.XLOOKUP(B1780,Results!$B$23:$B$119,Results!$D$23:$D$119)</f>
        <v/>
      </c>
      <c r="D1780" s="2" t="n">
        <v>37</v>
      </c>
      <c r="E1780" s="2" t="inlineStr"/>
      <c r="F1780" s="2" t="inlineStr"/>
      <c r="G1780" s="2" t="inlineStr"/>
    </row>
    <row r="1781">
      <c r="A1781" s="1" t="inlineStr">
        <is>
          <t>D8</t>
        </is>
      </c>
      <c r="B1781" s="1" t="n">
        <v>44</v>
      </c>
      <c r="C1781" s="2">
        <f>_xlfn.XLOOKUP(B1781,Results!$B$23:$B$119,Results!$D$23:$D$119)</f>
        <v/>
      </c>
      <c r="D1781" s="1" t="n">
        <v>38</v>
      </c>
      <c r="E1781" s="1" t="inlineStr"/>
      <c r="F1781" s="1" t="inlineStr"/>
      <c r="G1781" s="1" t="inlineStr"/>
    </row>
    <row r="1782">
      <c r="A1782" s="2" t="inlineStr">
        <is>
          <t>D8</t>
        </is>
      </c>
      <c r="B1782" s="2" t="n">
        <v>44</v>
      </c>
      <c r="C1782" s="2">
        <f>_xlfn.XLOOKUP(B1782,Results!$B$23:$B$119,Results!$D$23:$D$119)</f>
        <v/>
      </c>
      <c r="D1782" s="2" t="n">
        <v>39</v>
      </c>
      <c r="E1782" s="2" t="inlineStr"/>
      <c r="F1782" s="2" t="inlineStr"/>
      <c r="G1782" s="2" t="inlineStr"/>
    </row>
    <row r="1783">
      <c r="A1783" s="1" t="inlineStr">
        <is>
          <t>D8</t>
        </is>
      </c>
      <c r="B1783" s="1" t="n">
        <v>44</v>
      </c>
      <c r="C1783" s="2">
        <f>_xlfn.XLOOKUP(B1783,Results!$B$23:$B$119,Results!$D$23:$D$119)</f>
        <v/>
      </c>
      <c r="D1783" s="1" t="n">
        <v>40</v>
      </c>
      <c r="E1783" s="1" t="inlineStr"/>
      <c r="F1783" s="1" t="inlineStr"/>
      <c r="G1783" s="1" t="inlineStr"/>
    </row>
    <row r="1784">
      <c r="A1784" s="2" t="inlineStr">
        <is>
          <t>D9</t>
        </is>
      </c>
      <c r="B1784" s="2" t="n">
        <v>45</v>
      </c>
      <c r="C1784" s="2">
        <f>_xlfn.XLOOKUP(B1784,Results!$B$23:$B$119,Results!$D$23:$D$119)</f>
        <v/>
      </c>
      <c r="D1784" s="2" t="n">
        <v>1</v>
      </c>
      <c r="E1784" s="2" t="inlineStr"/>
      <c r="F1784" s="2" t="inlineStr"/>
      <c r="G1784" s="2" t="inlineStr"/>
    </row>
    <row r="1785">
      <c r="A1785" s="1" t="inlineStr">
        <is>
          <t>D9</t>
        </is>
      </c>
      <c r="B1785" s="1" t="n">
        <v>45</v>
      </c>
      <c r="C1785" s="2">
        <f>_xlfn.XLOOKUP(B1785,Results!$B$23:$B$119,Results!$D$23:$D$119)</f>
        <v/>
      </c>
      <c r="D1785" s="1" t="n">
        <v>2</v>
      </c>
      <c r="E1785" s="1" t="inlineStr"/>
      <c r="F1785" s="1" t="inlineStr"/>
      <c r="G1785" s="1" t="inlineStr"/>
    </row>
    <row r="1786">
      <c r="A1786" s="2" t="inlineStr">
        <is>
          <t>D9</t>
        </is>
      </c>
      <c r="B1786" s="2" t="n">
        <v>45</v>
      </c>
      <c r="C1786" s="2">
        <f>_xlfn.XLOOKUP(B1786,Results!$B$23:$B$119,Results!$D$23:$D$119)</f>
        <v/>
      </c>
      <c r="D1786" s="2" t="n">
        <v>3</v>
      </c>
      <c r="E1786" s="2" t="inlineStr"/>
      <c r="F1786" s="2" t="inlineStr"/>
      <c r="G1786" s="2" t="inlineStr"/>
    </row>
    <row r="1787">
      <c r="A1787" s="1" t="inlineStr">
        <is>
          <t>D9</t>
        </is>
      </c>
      <c r="B1787" s="1" t="n">
        <v>45</v>
      </c>
      <c r="C1787" s="2">
        <f>_xlfn.XLOOKUP(B1787,Results!$B$23:$B$119,Results!$D$23:$D$119)</f>
        <v/>
      </c>
      <c r="D1787" s="1" t="n">
        <v>4</v>
      </c>
      <c r="E1787" s="1" t="inlineStr"/>
      <c r="F1787" s="1" t="inlineStr"/>
      <c r="G1787" s="1" t="inlineStr"/>
    </row>
    <row r="1788">
      <c r="A1788" s="2" t="inlineStr">
        <is>
          <t>D9</t>
        </is>
      </c>
      <c r="B1788" s="2" t="n">
        <v>45</v>
      </c>
      <c r="C1788" s="2">
        <f>_xlfn.XLOOKUP(B1788,Results!$B$23:$B$119,Results!$D$23:$D$119)</f>
        <v/>
      </c>
      <c r="D1788" s="2" t="n">
        <v>5</v>
      </c>
      <c r="E1788" s="2" t="inlineStr"/>
      <c r="F1788" s="2" t="inlineStr"/>
      <c r="G1788" s="2" t="inlineStr"/>
    </row>
    <row r="1789">
      <c r="A1789" s="1" t="inlineStr">
        <is>
          <t>D9</t>
        </is>
      </c>
      <c r="B1789" s="1" t="n">
        <v>45</v>
      </c>
      <c r="C1789" s="2">
        <f>_xlfn.XLOOKUP(B1789,Results!$B$23:$B$119,Results!$D$23:$D$119)</f>
        <v/>
      </c>
      <c r="D1789" s="1" t="n">
        <v>6</v>
      </c>
      <c r="E1789" s="1" t="inlineStr"/>
      <c r="F1789" s="1" t="inlineStr"/>
      <c r="G1789" s="1" t="inlineStr"/>
    </row>
    <row r="1790">
      <c r="A1790" s="2" t="inlineStr">
        <is>
          <t>D9</t>
        </is>
      </c>
      <c r="B1790" s="2" t="n">
        <v>45</v>
      </c>
      <c r="C1790" s="2">
        <f>_xlfn.XLOOKUP(B1790,Results!$B$23:$B$119,Results!$D$23:$D$119)</f>
        <v/>
      </c>
      <c r="D1790" s="2" t="n">
        <v>7</v>
      </c>
      <c r="E1790" s="2" t="inlineStr"/>
      <c r="F1790" s="2" t="inlineStr"/>
      <c r="G1790" s="2" t="inlineStr"/>
    </row>
    <row r="1791">
      <c r="A1791" s="1" t="inlineStr">
        <is>
          <t>D9</t>
        </is>
      </c>
      <c r="B1791" s="1" t="n">
        <v>45</v>
      </c>
      <c r="C1791" s="2">
        <f>_xlfn.XLOOKUP(B1791,Results!$B$23:$B$119,Results!$D$23:$D$119)</f>
        <v/>
      </c>
      <c r="D1791" s="1" t="n">
        <v>8</v>
      </c>
      <c r="E1791" s="1" t="inlineStr"/>
      <c r="F1791" s="1" t="inlineStr"/>
      <c r="G1791" s="1" t="inlineStr"/>
    </row>
    <row r="1792">
      <c r="A1792" s="2" t="inlineStr">
        <is>
          <t>D9</t>
        </is>
      </c>
      <c r="B1792" s="2" t="n">
        <v>45</v>
      </c>
      <c r="C1792" s="2">
        <f>_xlfn.XLOOKUP(B1792,Results!$B$23:$B$119,Results!$D$23:$D$119)</f>
        <v/>
      </c>
      <c r="D1792" s="2" t="n">
        <v>9</v>
      </c>
      <c r="E1792" s="2" t="inlineStr"/>
      <c r="F1792" s="2" t="inlineStr"/>
      <c r="G1792" s="2" t="inlineStr"/>
    </row>
    <row r="1793">
      <c r="A1793" s="1" t="inlineStr">
        <is>
          <t>D9</t>
        </is>
      </c>
      <c r="B1793" s="1" t="n">
        <v>45</v>
      </c>
      <c r="C1793" s="2">
        <f>_xlfn.XLOOKUP(B1793,Results!$B$23:$B$119,Results!$D$23:$D$119)</f>
        <v/>
      </c>
      <c r="D1793" s="1" t="n">
        <v>10</v>
      </c>
      <c r="E1793" s="1" t="inlineStr"/>
      <c r="F1793" s="1" t="inlineStr"/>
      <c r="G1793" s="1" t="inlineStr"/>
    </row>
    <row r="1794">
      <c r="A1794" s="2" t="inlineStr">
        <is>
          <t>D9</t>
        </is>
      </c>
      <c r="B1794" s="2" t="n">
        <v>45</v>
      </c>
      <c r="C1794" s="2">
        <f>_xlfn.XLOOKUP(B1794,Results!$B$23:$B$119,Results!$D$23:$D$119)</f>
        <v/>
      </c>
      <c r="D1794" s="2" t="n">
        <v>11</v>
      </c>
      <c r="E1794" s="2" t="inlineStr"/>
      <c r="F1794" s="2" t="inlineStr"/>
      <c r="G1794" s="2" t="inlineStr"/>
    </row>
    <row r="1795">
      <c r="A1795" s="1" t="inlineStr">
        <is>
          <t>D9</t>
        </is>
      </c>
      <c r="B1795" s="1" t="n">
        <v>45</v>
      </c>
      <c r="C1795" s="2">
        <f>_xlfn.XLOOKUP(B1795,Results!$B$23:$B$119,Results!$D$23:$D$119)</f>
        <v/>
      </c>
      <c r="D1795" s="1" t="n">
        <v>12</v>
      </c>
      <c r="E1795" s="1" t="inlineStr"/>
      <c r="F1795" s="1" t="inlineStr"/>
      <c r="G1795" s="1" t="inlineStr"/>
    </row>
    <row r="1796">
      <c r="A1796" s="2" t="inlineStr">
        <is>
          <t>D9</t>
        </is>
      </c>
      <c r="B1796" s="2" t="n">
        <v>45</v>
      </c>
      <c r="C1796" s="2">
        <f>_xlfn.XLOOKUP(B1796,Results!$B$23:$B$119,Results!$D$23:$D$119)</f>
        <v/>
      </c>
      <c r="D1796" s="2" t="n">
        <v>13</v>
      </c>
      <c r="E1796" s="2" t="inlineStr"/>
      <c r="F1796" s="2" t="inlineStr"/>
      <c r="G1796" s="2" t="inlineStr"/>
    </row>
    <row r="1797">
      <c r="A1797" s="1" t="inlineStr">
        <is>
          <t>D9</t>
        </is>
      </c>
      <c r="B1797" s="1" t="n">
        <v>45</v>
      </c>
      <c r="C1797" s="2">
        <f>_xlfn.XLOOKUP(B1797,Results!$B$23:$B$119,Results!$D$23:$D$119)</f>
        <v/>
      </c>
      <c r="D1797" s="1" t="n">
        <v>14</v>
      </c>
      <c r="E1797" s="1" t="inlineStr"/>
      <c r="F1797" s="1" t="inlineStr"/>
      <c r="G1797" s="1" t="inlineStr"/>
    </row>
    <row r="1798">
      <c r="A1798" s="2" t="inlineStr">
        <is>
          <t>D9</t>
        </is>
      </c>
      <c r="B1798" s="2" t="n">
        <v>45</v>
      </c>
      <c r="C1798" s="2">
        <f>_xlfn.XLOOKUP(B1798,Results!$B$23:$B$119,Results!$D$23:$D$119)</f>
        <v/>
      </c>
      <c r="D1798" s="2" t="n">
        <v>15</v>
      </c>
      <c r="E1798" s="2" t="inlineStr"/>
      <c r="F1798" s="2" t="inlineStr"/>
      <c r="G1798" s="2" t="inlineStr"/>
    </row>
    <row r="1799">
      <c r="A1799" s="1" t="inlineStr">
        <is>
          <t>D9</t>
        </is>
      </c>
      <c r="B1799" s="1" t="n">
        <v>45</v>
      </c>
      <c r="C1799" s="2">
        <f>_xlfn.XLOOKUP(B1799,Results!$B$23:$B$119,Results!$D$23:$D$119)</f>
        <v/>
      </c>
      <c r="D1799" s="1" t="n">
        <v>16</v>
      </c>
      <c r="E1799" s="1" t="inlineStr"/>
      <c r="F1799" s="1" t="inlineStr"/>
      <c r="G1799" s="1" t="inlineStr"/>
    </row>
    <row r="1800">
      <c r="A1800" s="2" t="inlineStr">
        <is>
          <t>D9</t>
        </is>
      </c>
      <c r="B1800" s="2" t="n">
        <v>45</v>
      </c>
      <c r="C1800" s="2">
        <f>_xlfn.XLOOKUP(B1800,Results!$B$23:$B$119,Results!$D$23:$D$119)</f>
        <v/>
      </c>
      <c r="D1800" s="2" t="n">
        <v>17</v>
      </c>
      <c r="E1800" s="2" t="inlineStr"/>
      <c r="F1800" s="2" t="inlineStr"/>
      <c r="G1800" s="2" t="inlineStr"/>
    </row>
    <row r="1801">
      <c r="A1801" s="1" t="inlineStr">
        <is>
          <t>D9</t>
        </is>
      </c>
      <c r="B1801" s="1" t="n">
        <v>45</v>
      </c>
      <c r="C1801" s="2">
        <f>_xlfn.XLOOKUP(B1801,Results!$B$23:$B$119,Results!$D$23:$D$119)</f>
        <v/>
      </c>
      <c r="D1801" s="1" t="n">
        <v>18</v>
      </c>
      <c r="E1801" s="1" t="inlineStr"/>
      <c r="F1801" s="1" t="inlineStr"/>
      <c r="G1801" s="1" t="inlineStr"/>
    </row>
    <row r="1802">
      <c r="A1802" s="2" t="inlineStr">
        <is>
          <t>D9</t>
        </is>
      </c>
      <c r="B1802" s="2" t="n">
        <v>45</v>
      </c>
      <c r="C1802" s="2">
        <f>_xlfn.XLOOKUP(B1802,Results!$B$23:$B$119,Results!$D$23:$D$119)</f>
        <v/>
      </c>
      <c r="D1802" s="2" t="n">
        <v>19</v>
      </c>
      <c r="E1802" s="2" t="inlineStr"/>
      <c r="F1802" s="2" t="inlineStr"/>
      <c r="G1802" s="2" t="inlineStr"/>
    </row>
    <row r="1803">
      <c r="A1803" s="1" t="inlineStr">
        <is>
          <t>D9</t>
        </is>
      </c>
      <c r="B1803" s="1" t="n">
        <v>45</v>
      </c>
      <c r="C1803" s="2">
        <f>_xlfn.XLOOKUP(B1803,Results!$B$23:$B$119,Results!$D$23:$D$119)</f>
        <v/>
      </c>
      <c r="D1803" s="1" t="n">
        <v>20</v>
      </c>
      <c r="E1803" s="1" t="inlineStr"/>
      <c r="F1803" s="1" t="inlineStr"/>
      <c r="G1803" s="1" t="inlineStr"/>
    </row>
    <row r="1804">
      <c r="A1804" s="2" t="inlineStr">
        <is>
          <t>D9</t>
        </is>
      </c>
      <c r="B1804" s="2" t="n">
        <v>45</v>
      </c>
      <c r="C1804" s="2">
        <f>_xlfn.XLOOKUP(B1804,Results!$B$23:$B$119,Results!$D$23:$D$119)</f>
        <v/>
      </c>
      <c r="D1804" s="2" t="n">
        <v>21</v>
      </c>
      <c r="E1804" s="2" t="inlineStr"/>
      <c r="F1804" s="2" t="inlineStr"/>
      <c r="G1804" s="2" t="inlineStr"/>
    </row>
    <row r="1805">
      <c r="A1805" s="1" t="inlineStr">
        <is>
          <t>D9</t>
        </is>
      </c>
      <c r="B1805" s="1" t="n">
        <v>45</v>
      </c>
      <c r="C1805" s="2">
        <f>_xlfn.XLOOKUP(B1805,Results!$B$23:$B$119,Results!$D$23:$D$119)</f>
        <v/>
      </c>
      <c r="D1805" s="1" t="n">
        <v>22</v>
      </c>
      <c r="E1805" s="1" t="inlineStr"/>
      <c r="F1805" s="1" t="inlineStr"/>
      <c r="G1805" s="1" t="inlineStr"/>
    </row>
    <row r="1806">
      <c r="A1806" s="2" t="inlineStr">
        <is>
          <t>D9</t>
        </is>
      </c>
      <c r="B1806" s="2" t="n">
        <v>45</v>
      </c>
      <c r="C1806" s="2">
        <f>_xlfn.XLOOKUP(B1806,Results!$B$23:$B$119,Results!$D$23:$D$119)</f>
        <v/>
      </c>
      <c r="D1806" s="2" t="n">
        <v>23</v>
      </c>
      <c r="E1806" s="2" t="inlineStr"/>
      <c r="F1806" s="2" t="inlineStr"/>
      <c r="G1806" s="2" t="inlineStr"/>
    </row>
    <row r="1807">
      <c r="A1807" s="1" t="inlineStr">
        <is>
          <t>D9</t>
        </is>
      </c>
      <c r="B1807" s="1" t="n">
        <v>45</v>
      </c>
      <c r="C1807" s="2">
        <f>_xlfn.XLOOKUP(B1807,Results!$B$23:$B$119,Results!$D$23:$D$119)</f>
        <v/>
      </c>
      <c r="D1807" s="1" t="n">
        <v>24</v>
      </c>
      <c r="E1807" s="1" t="inlineStr"/>
      <c r="F1807" s="1" t="inlineStr"/>
      <c r="G1807" s="1" t="inlineStr"/>
    </row>
    <row r="1808">
      <c r="A1808" s="2" t="inlineStr">
        <is>
          <t>D9</t>
        </is>
      </c>
      <c r="B1808" s="2" t="n">
        <v>45</v>
      </c>
      <c r="C1808" s="2">
        <f>_xlfn.XLOOKUP(B1808,Results!$B$23:$B$119,Results!$D$23:$D$119)</f>
        <v/>
      </c>
      <c r="D1808" s="2" t="n">
        <v>25</v>
      </c>
      <c r="E1808" s="2" t="inlineStr"/>
      <c r="F1808" s="2" t="inlineStr"/>
      <c r="G1808" s="2" t="inlineStr"/>
    </row>
    <row r="1809">
      <c r="A1809" s="1" t="inlineStr">
        <is>
          <t>D9</t>
        </is>
      </c>
      <c r="B1809" s="1" t="n">
        <v>45</v>
      </c>
      <c r="C1809" s="2">
        <f>_xlfn.XLOOKUP(B1809,Results!$B$23:$B$119,Results!$D$23:$D$119)</f>
        <v/>
      </c>
      <c r="D1809" s="1" t="n">
        <v>26</v>
      </c>
      <c r="E1809" s="1" t="inlineStr"/>
      <c r="F1809" s="1" t="inlineStr"/>
      <c r="G1809" s="1" t="inlineStr"/>
    </row>
    <row r="1810">
      <c r="A1810" s="2" t="inlineStr">
        <is>
          <t>D9</t>
        </is>
      </c>
      <c r="B1810" s="2" t="n">
        <v>45</v>
      </c>
      <c r="C1810" s="2">
        <f>_xlfn.XLOOKUP(B1810,Results!$B$23:$B$119,Results!$D$23:$D$119)</f>
        <v/>
      </c>
      <c r="D1810" s="2" t="n">
        <v>27</v>
      </c>
      <c r="E1810" s="2" t="inlineStr"/>
      <c r="F1810" s="2" t="inlineStr"/>
      <c r="G1810" s="2" t="inlineStr"/>
    </row>
    <row r="1811">
      <c r="A1811" s="1" t="inlineStr">
        <is>
          <t>D9</t>
        </is>
      </c>
      <c r="B1811" s="1" t="n">
        <v>45</v>
      </c>
      <c r="C1811" s="2">
        <f>_xlfn.XLOOKUP(B1811,Results!$B$23:$B$119,Results!$D$23:$D$119)</f>
        <v/>
      </c>
      <c r="D1811" s="1" t="n">
        <v>28</v>
      </c>
      <c r="E1811" s="1" t="inlineStr"/>
      <c r="F1811" s="1" t="inlineStr"/>
      <c r="G1811" s="1" t="inlineStr"/>
    </row>
    <row r="1812">
      <c r="A1812" s="2" t="inlineStr">
        <is>
          <t>D9</t>
        </is>
      </c>
      <c r="B1812" s="2" t="n">
        <v>45</v>
      </c>
      <c r="C1812" s="2">
        <f>_xlfn.XLOOKUP(B1812,Results!$B$23:$B$119,Results!$D$23:$D$119)</f>
        <v/>
      </c>
      <c r="D1812" s="2" t="n">
        <v>29</v>
      </c>
      <c r="E1812" s="2" t="inlineStr"/>
      <c r="F1812" s="2" t="inlineStr"/>
      <c r="G1812" s="2" t="inlineStr"/>
    </row>
    <row r="1813">
      <c r="A1813" s="1" t="inlineStr">
        <is>
          <t>D9</t>
        </is>
      </c>
      <c r="B1813" s="1" t="n">
        <v>45</v>
      </c>
      <c r="C1813" s="2">
        <f>_xlfn.XLOOKUP(B1813,Results!$B$23:$B$119,Results!$D$23:$D$119)</f>
        <v/>
      </c>
      <c r="D1813" s="1" t="n">
        <v>30</v>
      </c>
      <c r="E1813" s="1" t="inlineStr"/>
      <c r="F1813" s="1" t="inlineStr"/>
      <c r="G1813" s="1" t="inlineStr"/>
    </row>
    <row r="1814">
      <c r="A1814" s="2" t="inlineStr">
        <is>
          <t>D9</t>
        </is>
      </c>
      <c r="B1814" s="2" t="n">
        <v>45</v>
      </c>
      <c r="C1814" s="2">
        <f>_xlfn.XLOOKUP(B1814,Results!$B$23:$B$119,Results!$D$23:$D$119)</f>
        <v/>
      </c>
      <c r="D1814" s="2" t="n">
        <v>31</v>
      </c>
      <c r="E1814" s="2" t="inlineStr"/>
      <c r="F1814" s="2" t="inlineStr"/>
      <c r="G1814" s="2" t="inlineStr"/>
    </row>
    <row r="1815">
      <c r="A1815" s="1" t="inlineStr">
        <is>
          <t>D9</t>
        </is>
      </c>
      <c r="B1815" s="1" t="n">
        <v>45</v>
      </c>
      <c r="C1815" s="2">
        <f>_xlfn.XLOOKUP(B1815,Results!$B$23:$B$119,Results!$D$23:$D$119)</f>
        <v/>
      </c>
      <c r="D1815" s="1" t="n">
        <v>32</v>
      </c>
      <c r="E1815" s="1" t="inlineStr"/>
      <c r="F1815" s="1" t="inlineStr"/>
      <c r="G1815" s="1" t="inlineStr"/>
    </row>
    <row r="1816">
      <c r="A1816" s="2" t="inlineStr">
        <is>
          <t>D9</t>
        </is>
      </c>
      <c r="B1816" s="2" t="n">
        <v>45</v>
      </c>
      <c r="C1816" s="2">
        <f>_xlfn.XLOOKUP(B1816,Results!$B$23:$B$119,Results!$D$23:$D$119)</f>
        <v/>
      </c>
      <c r="D1816" s="2" t="n">
        <v>33</v>
      </c>
      <c r="E1816" s="2" t="inlineStr"/>
      <c r="F1816" s="2" t="inlineStr"/>
      <c r="G1816" s="2" t="inlineStr"/>
    </row>
    <row r="1817">
      <c r="A1817" s="1" t="inlineStr">
        <is>
          <t>D9</t>
        </is>
      </c>
      <c r="B1817" s="1" t="n">
        <v>45</v>
      </c>
      <c r="C1817" s="2">
        <f>_xlfn.XLOOKUP(B1817,Results!$B$23:$B$119,Results!$D$23:$D$119)</f>
        <v/>
      </c>
      <c r="D1817" s="1" t="n">
        <v>34</v>
      </c>
      <c r="E1817" s="1" t="inlineStr"/>
      <c r="F1817" s="1" t="inlineStr"/>
      <c r="G1817" s="1" t="inlineStr"/>
    </row>
    <row r="1818">
      <c r="A1818" s="2" t="inlineStr">
        <is>
          <t>D9</t>
        </is>
      </c>
      <c r="B1818" s="2" t="n">
        <v>45</v>
      </c>
      <c r="C1818" s="2">
        <f>_xlfn.XLOOKUP(B1818,Results!$B$23:$B$119,Results!$D$23:$D$119)</f>
        <v/>
      </c>
      <c r="D1818" s="2" t="n">
        <v>35</v>
      </c>
      <c r="E1818" s="2" t="inlineStr"/>
      <c r="F1818" s="2" t="inlineStr"/>
      <c r="G1818" s="2" t="inlineStr"/>
    </row>
    <row r="1819">
      <c r="A1819" s="1" t="inlineStr">
        <is>
          <t>D9</t>
        </is>
      </c>
      <c r="B1819" s="1" t="n">
        <v>45</v>
      </c>
      <c r="C1819" s="2">
        <f>_xlfn.XLOOKUP(B1819,Results!$B$23:$B$119,Results!$D$23:$D$119)</f>
        <v/>
      </c>
      <c r="D1819" s="1" t="n">
        <v>36</v>
      </c>
      <c r="E1819" s="1" t="inlineStr"/>
      <c r="F1819" s="1" t="inlineStr"/>
      <c r="G1819" s="1" t="inlineStr"/>
    </row>
    <row r="1820">
      <c r="A1820" s="2" t="inlineStr">
        <is>
          <t>D9</t>
        </is>
      </c>
      <c r="B1820" s="2" t="n">
        <v>45</v>
      </c>
      <c r="C1820" s="2">
        <f>_xlfn.XLOOKUP(B1820,Results!$B$23:$B$119,Results!$D$23:$D$119)</f>
        <v/>
      </c>
      <c r="D1820" s="2" t="n">
        <v>37</v>
      </c>
      <c r="E1820" s="2" t="inlineStr"/>
      <c r="F1820" s="2" t="inlineStr"/>
      <c r="G1820" s="2" t="inlineStr"/>
    </row>
    <row r="1821">
      <c r="A1821" s="1" t="inlineStr">
        <is>
          <t>D9</t>
        </is>
      </c>
      <c r="B1821" s="1" t="n">
        <v>45</v>
      </c>
      <c r="C1821" s="2">
        <f>_xlfn.XLOOKUP(B1821,Results!$B$23:$B$119,Results!$D$23:$D$119)</f>
        <v/>
      </c>
      <c r="D1821" s="1" t="n">
        <v>38</v>
      </c>
      <c r="E1821" s="1" t="inlineStr"/>
      <c r="F1821" s="1" t="inlineStr"/>
      <c r="G1821" s="1" t="inlineStr"/>
    </row>
    <row r="1822">
      <c r="A1822" s="2" t="inlineStr">
        <is>
          <t>D9</t>
        </is>
      </c>
      <c r="B1822" s="2" t="n">
        <v>45</v>
      </c>
      <c r="C1822" s="2">
        <f>_xlfn.XLOOKUP(B1822,Results!$B$23:$B$119,Results!$D$23:$D$119)</f>
        <v/>
      </c>
      <c r="D1822" s="2" t="n">
        <v>39</v>
      </c>
      <c r="E1822" s="2" t="inlineStr"/>
      <c r="F1822" s="2" t="inlineStr"/>
      <c r="G1822" s="2" t="inlineStr"/>
    </row>
    <row r="1823">
      <c r="A1823" s="1" t="inlineStr">
        <is>
          <t>D9</t>
        </is>
      </c>
      <c r="B1823" s="1" t="n">
        <v>45</v>
      </c>
      <c r="C1823" s="2">
        <f>_xlfn.XLOOKUP(B1823,Results!$B$23:$B$119,Results!$D$23:$D$119)</f>
        <v/>
      </c>
      <c r="D1823" s="1" t="n">
        <v>40</v>
      </c>
      <c r="E1823" s="1" t="inlineStr"/>
      <c r="F1823" s="1" t="inlineStr"/>
      <c r="G1823" s="1" t="inlineStr"/>
    </row>
    <row r="1824">
      <c r="A1824" s="2" t="inlineStr">
        <is>
          <t>D10</t>
        </is>
      </c>
      <c r="B1824" s="2" t="n">
        <v>46</v>
      </c>
      <c r="C1824" s="2">
        <f>_xlfn.XLOOKUP(B1824,Results!$B$23:$B$119,Results!$D$23:$D$119)</f>
        <v/>
      </c>
      <c r="D1824" s="2" t="n">
        <v>1</v>
      </c>
      <c r="E1824" s="2" t="inlineStr">
        <is>
          <t>CHO</t>
        </is>
      </c>
      <c r="F1824" s="2" t="n">
        <v>1.9673</v>
      </c>
      <c r="G1824" s="2" t="n">
        <v>0.003267</v>
      </c>
    </row>
    <row r="1825">
      <c r="A1825" s="1" t="inlineStr">
        <is>
          <t>D10</t>
        </is>
      </c>
      <c r="B1825" s="1" t="n">
        <v>46</v>
      </c>
      <c r="C1825" s="2">
        <f>_xlfn.XLOOKUP(B1825,Results!$B$23:$B$119,Results!$D$23:$D$119)</f>
        <v/>
      </c>
      <c r="D1825" s="1" t="n">
        <v>2</v>
      </c>
      <c r="E1825" s="1" t="inlineStr">
        <is>
          <t>CHO</t>
        </is>
      </c>
      <c r="F1825" s="1" t="n">
        <v>1.968</v>
      </c>
      <c r="G1825" s="1" t="n">
        <v>-0.000711</v>
      </c>
    </row>
    <row r="1826">
      <c r="A1826" s="2" t="inlineStr">
        <is>
          <t>D10</t>
        </is>
      </c>
      <c r="B1826" s="2" t="n">
        <v>46</v>
      </c>
      <c r="C1826" s="2">
        <f>_xlfn.XLOOKUP(B1826,Results!$B$23:$B$119,Results!$D$23:$D$119)</f>
        <v/>
      </c>
      <c r="D1826" s="2" t="n">
        <v>3</v>
      </c>
      <c r="E1826" s="2" t="inlineStr">
        <is>
          <t>CHO</t>
        </is>
      </c>
      <c r="F1826" s="2" t="n">
        <v>1.9736</v>
      </c>
      <c r="G1826" s="2" t="n">
        <v>0.000223</v>
      </c>
    </row>
    <row r="1827">
      <c r="A1827" s="1" t="inlineStr">
        <is>
          <t>D10</t>
        </is>
      </c>
      <c r="B1827" s="1" t="n">
        <v>46</v>
      </c>
      <c r="C1827" s="2">
        <f>_xlfn.XLOOKUP(B1827,Results!$B$23:$B$119,Results!$D$23:$D$119)</f>
        <v/>
      </c>
      <c r="D1827" s="1" t="n">
        <v>4</v>
      </c>
      <c r="E1827" s="1" t="inlineStr">
        <is>
          <t>CHO</t>
        </is>
      </c>
      <c r="F1827" s="1" t="n">
        <v>1.9792</v>
      </c>
      <c r="G1827" s="1" t="n">
        <v>0.001183</v>
      </c>
    </row>
    <row r="1828">
      <c r="A1828" s="2" t="inlineStr">
        <is>
          <t>D10</t>
        </is>
      </c>
      <c r="B1828" s="2" t="n">
        <v>46</v>
      </c>
      <c r="C1828" s="2">
        <f>_xlfn.XLOOKUP(B1828,Results!$B$23:$B$119,Results!$D$23:$D$119)</f>
        <v/>
      </c>
      <c r="D1828" s="2" t="n">
        <v>5</v>
      </c>
      <c r="E1828" s="2" t="inlineStr">
        <is>
          <t>CHO</t>
        </is>
      </c>
      <c r="F1828" s="2" t="n">
        <v>1.9832</v>
      </c>
      <c r="G1828" s="2" t="n">
        <v>0.000482</v>
      </c>
    </row>
    <row r="1829">
      <c r="A1829" s="1" t="inlineStr">
        <is>
          <t>D10</t>
        </is>
      </c>
      <c r="B1829" s="1" t="n">
        <v>46</v>
      </c>
      <c r="C1829" s="2">
        <f>_xlfn.XLOOKUP(B1829,Results!$B$23:$B$119,Results!$D$23:$D$119)</f>
        <v/>
      </c>
      <c r="D1829" s="1" t="n">
        <v>6</v>
      </c>
      <c r="E1829" s="1" t="inlineStr">
        <is>
          <t>CHO</t>
        </is>
      </c>
      <c r="F1829" s="1" t="n">
        <v>1.9876</v>
      </c>
      <c r="G1829" s="1" t="n">
        <v>0.000241</v>
      </c>
    </row>
    <row r="1830">
      <c r="A1830" s="2" t="inlineStr">
        <is>
          <t>D10</t>
        </is>
      </c>
      <c r="B1830" s="2" t="n">
        <v>46</v>
      </c>
      <c r="C1830" s="2">
        <f>_xlfn.XLOOKUP(B1830,Results!$B$23:$B$119,Results!$D$23:$D$119)</f>
        <v/>
      </c>
      <c r="D1830" s="2" t="n">
        <v>7</v>
      </c>
      <c r="E1830" s="2" t="inlineStr">
        <is>
          <t>CHO</t>
        </is>
      </c>
      <c r="F1830" s="2" t="n">
        <v>1.9922</v>
      </c>
      <c r="G1830" s="2" t="n">
        <v>0.000153</v>
      </c>
    </row>
    <row r="1831">
      <c r="A1831" s="1" t="inlineStr">
        <is>
          <t>D10</t>
        </is>
      </c>
      <c r="B1831" s="1" t="n">
        <v>46</v>
      </c>
      <c r="C1831" s="2">
        <f>_xlfn.XLOOKUP(B1831,Results!$B$23:$B$119,Results!$D$23:$D$119)</f>
        <v/>
      </c>
      <c r="D1831" s="1" t="n">
        <v>8</v>
      </c>
      <c r="E1831" s="1" t="inlineStr">
        <is>
          <t>CHO</t>
        </is>
      </c>
      <c r="F1831" s="1" t="n">
        <v>1.9954</v>
      </c>
      <c r="G1831" s="1" t="n">
        <v>-0.00132</v>
      </c>
    </row>
    <row r="1832">
      <c r="A1832" s="2" t="inlineStr">
        <is>
          <t>D10</t>
        </is>
      </c>
      <c r="B1832" s="2" t="n">
        <v>46</v>
      </c>
      <c r="C1832" s="2">
        <f>_xlfn.XLOOKUP(B1832,Results!$B$23:$B$119,Results!$D$23:$D$119)</f>
        <v/>
      </c>
      <c r="D1832" s="2" t="n">
        <v>9</v>
      </c>
      <c r="E1832" s="2" t="inlineStr">
        <is>
          <t>CHO</t>
        </is>
      </c>
      <c r="F1832" s="2" t="n">
        <v>2.0005</v>
      </c>
      <c r="G1832" s="2" t="n">
        <v>-0.000891</v>
      </c>
    </row>
    <row r="1833">
      <c r="A1833" s="1" t="inlineStr">
        <is>
          <t>D10</t>
        </is>
      </c>
      <c r="B1833" s="1" t="n">
        <v>46</v>
      </c>
      <c r="C1833" s="2">
        <f>_xlfn.XLOOKUP(B1833,Results!$B$23:$B$119,Results!$D$23:$D$119)</f>
        <v/>
      </c>
      <c r="D1833" s="1" t="n">
        <v>10</v>
      </c>
      <c r="E1833" s="1" t="inlineStr">
        <is>
          <t>CHO</t>
        </is>
      </c>
      <c r="F1833" s="1" t="n">
        <v>2.0041</v>
      </c>
      <c r="G1833" s="1" t="n">
        <v>-0.001911</v>
      </c>
    </row>
    <row r="1834">
      <c r="A1834" s="2" t="inlineStr">
        <is>
          <t>D10</t>
        </is>
      </c>
      <c r="B1834" s="2" t="n">
        <v>46</v>
      </c>
      <c r="C1834" s="2">
        <f>_xlfn.XLOOKUP(B1834,Results!$B$23:$B$119,Results!$D$23:$D$119)</f>
        <v/>
      </c>
      <c r="D1834" s="2" t="n">
        <v>11</v>
      </c>
      <c r="E1834" s="2" t="inlineStr">
        <is>
          <t>CHO</t>
        </is>
      </c>
      <c r="F1834" s="2" t="n">
        <v>2.0109</v>
      </c>
      <c r="G1834" s="2" t="n">
        <v>0.00017</v>
      </c>
    </row>
    <row r="1835">
      <c r="A1835" s="1" t="inlineStr">
        <is>
          <t>D10</t>
        </is>
      </c>
      <c r="B1835" s="1" t="n">
        <v>46</v>
      </c>
      <c r="C1835" s="2">
        <f>_xlfn.XLOOKUP(B1835,Results!$B$23:$B$119,Results!$D$23:$D$119)</f>
        <v/>
      </c>
      <c r="D1835" s="1" t="n">
        <v>12</v>
      </c>
      <c r="E1835" s="1" t="inlineStr">
        <is>
          <t>CHO</t>
        </is>
      </c>
      <c r="F1835" s="1" t="n">
        <v>2.0153</v>
      </c>
      <c r="G1835" s="1" t="n">
        <v>-7.6e-05</v>
      </c>
    </row>
    <row r="1836">
      <c r="A1836" s="2" t="inlineStr">
        <is>
          <t>D10</t>
        </is>
      </c>
      <c r="B1836" s="2" t="n">
        <v>46</v>
      </c>
      <c r="C1836" s="2">
        <f>_xlfn.XLOOKUP(B1836,Results!$B$23:$B$119,Results!$D$23:$D$119)</f>
        <v/>
      </c>
      <c r="D1836" s="2" t="n">
        <v>13</v>
      </c>
      <c r="E1836" s="2" t="inlineStr">
        <is>
          <t>CHO</t>
        </is>
      </c>
      <c r="F1836" s="2" t="n">
        <v>2.02</v>
      </c>
      <c r="G1836" s="2" t="n">
        <v>-3.2e-05</v>
      </c>
    </row>
    <row r="1837">
      <c r="A1837" s="1" t="inlineStr">
        <is>
          <t>D10</t>
        </is>
      </c>
      <c r="B1837" s="1" t="n">
        <v>46</v>
      </c>
      <c r="C1837" s="2">
        <f>_xlfn.XLOOKUP(B1837,Results!$B$23:$B$119,Results!$D$23:$D$119)</f>
        <v/>
      </c>
      <c r="D1837" s="1" t="n">
        <v>14</v>
      </c>
      <c r="E1837" s="1" t="inlineStr">
        <is>
          <t>CHO</t>
        </is>
      </c>
      <c r="F1837" s="1" t="n">
        <v>2.0248</v>
      </c>
      <c r="G1837" s="1" t="n">
        <v>0.000115</v>
      </c>
    </row>
    <row r="1838">
      <c r="A1838" s="2" t="inlineStr">
        <is>
          <t>D10</t>
        </is>
      </c>
      <c r="B1838" s="2" t="n">
        <v>46</v>
      </c>
      <c r="C1838" s="2">
        <f>_xlfn.XLOOKUP(B1838,Results!$B$23:$B$119,Results!$D$23:$D$119)</f>
        <v/>
      </c>
      <c r="D1838" s="2" t="n">
        <v>15</v>
      </c>
      <c r="E1838" s="2" t="inlineStr">
        <is>
          <t>CHO</t>
        </is>
      </c>
      <c r="F1838" s="2" t="n">
        <v>2.031</v>
      </c>
      <c r="G1838" s="2" t="n">
        <v>0.001677</v>
      </c>
    </row>
    <row r="1839">
      <c r="A1839" s="1" t="inlineStr">
        <is>
          <t>D10</t>
        </is>
      </c>
      <c r="B1839" s="1" t="n">
        <v>46</v>
      </c>
      <c r="C1839" s="2">
        <f>_xlfn.XLOOKUP(B1839,Results!$B$23:$B$119,Results!$D$23:$D$119)</f>
        <v/>
      </c>
      <c r="D1839" s="1" t="n">
        <v>16</v>
      </c>
      <c r="E1839" s="1" t="inlineStr">
        <is>
          <t>CHO</t>
        </is>
      </c>
      <c r="F1839" s="1" t="n">
        <v>2.0337</v>
      </c>
      <c r="G1839" s="1" t="n">
        <v>-0.00029</v>
      </c>
    </row>
    <row r="1840">
      <c r="A1840" s="2" t="inlineStr">
        <is>
          <t>D10</t>
        </is>
      </c>
      <c r="B1840" s="2" t="n">
        <v>46</v>
      </c>
      <c r="C1840" s="2">
        <f>_xlfn.XLOOKUP(B1840,Results!$B$23:$B$119,Results!$D$23:$D$119)</f>
        <v/>
      </c>
      <c r="D1840" s="2" t="n">
        <v>17</v>
      </c>
      <c r="E1840" s="2" t="inlineStr">
        <is>
          <t>CHO</t>
        </is>
      </c>
      <c r="F1840" s="2" t="n">
        <v>2.039</v>
      </c>
      <c r="G1840" s="2" t="n">
        <v>0.000277</v>
      </c>
    </row>
    <row r="1841">
      <c r="A1841" s="1" t="inlineStr">
        <is>
          <t>D10</t>
        </is>
      </c>
      <c r="B1841" s="1" t="n">
        <v>46</v>
      </c>
      <c r="C1841" s="2">
        <f>_xlfn.XLOOKUP(B1841,Results!$B$23:$B$119,Results!$D$23:$D$119)</f>
        <v/>
      </c>
      <c r="D1841" s="1" t="n">
        <v>18</v>
      </c>
      <c r="E1841" s="1" t="inlineStr">
        <is>
          <t>CHO</t>
        </is>
      </c>
      <c r="F1841" s="1" t="n">
        <v>2.0483</v>
      </c>
      <c r="G1841" s="1" t="n">
        <v>0.004918</v>
      </c>
    </row>
    <row r="1842">
      <c r="A1842" s="2" t="inlineStr">
        <is>
          <t>D10</t>
        </is>
      </c>
      <c r="B1842" s="2" t="n">
        <v>46</v>
      </c>
      <c r="C1842" s="2">
        <f>_xlfn.XLOOKUP(B1842,Results!$B$23:$B$119,Results!$D$23:$D$119)</f>
        <v/>
      </c>
      <c r="D1842" s="2" t="n">
        <v>19</v>
      </c>
      <c r="E1842" s="2" t="inlineStr">
        <is>
          <t>CHO</t>
        </is>
      </c>
      <c r="F1842" s="2" t="n">
        <v>2.0597</v>
      </c>
      <c r="G1842" s="2" t="n">
        <v>0.011643</v>
      </c>
    </row>
    <row r="1843">
      <c r="A1843" s="1" t="inlineStr">
        <is>
          <t>D10</t>
        </is>
      </c>
      <c r="B1843" s="1" t="n">
        <v>46</v>
      </c>
      <c r="C1843" s="2">
        <f>_xlfn.XLOOKUP(B1843,Results!$B$23:$B$119,Results!$D$23:$D$119)</f>
        <v/>
      </c>
      <c r="D1843" s="1" t="n">
        <v>20</v>
      </c>
      <c r="E1843" s="1" t="inlineStr">
        <is>
          <t>CHO</t>
        </is>
      </c>
      <c r="F1843" s="1" t="n">
        <v>2.0837</v>
      </c>
      <c r="G1843" s="1" t="n">
        <v>0.031017</v>
      </c>
    </row>
    <row r="1844">
      <c r="A1844" s="2" t="inlineStr">
        <is>
          <t>D10</t>
        </is>
      </c>
      <c r="B1844" s="2" t="n">
        <v>46</v>
      </c>
      <c r="C1844" s="2">
        <f>_xlfn.XLOOKUP(B1844,Results!$B$23:$B$119,Results!$D$23:$D$119)</f>
        <v/>
      </c>
      <c r="D1844" s="2" t="n">
        <v>21</v>
      </c>
      <c r="E1844" s="2" t="inlineStr">
        <is>
          <t>CHO</t>
        </is>
      </c>
      <c r="F1844" s="2" t="n">
        <v>2.1126</v>
      </c>
      <c r="G1844" s="2" t="n">
        <v>0.055218</v>
      </c>
    </row>
    <row r="1845">
      <c r="A1845" s="1" t="inlineStr">
        <is>
          <t>D10</t>
        </is>
      </c>
      <c r="B1845" s="1" t="n">
        <v>46</v>
      </c>
      <c r="C1845" s="2">
        <f>_xlfn.XLOOKUP(B1845,Results!$B$23:$B$119,Results!$D$23:$D$119)</f>
        <v/>
      </c>
      <c r="D1845" s="1" t="n">
        <v>22</v>
      </c>
      <c r="E1845" s="1" t="inlineStr">
        <is>
          <t>CHO</t>
        </is>
      </c>
      <c r="F1845" s="1" t="n">
        <v>2.1712</v>
      </c>
      <c r="G1845" s="1" t="n">
        <v>0.109173</v>
      </c>
    </row>
    <row r="1846">
      <c r="A1846" s="2" t="inlineStr">
        <is>
          <t>D10</t>
        </is>
      </c>
      <c r="B1846" s="2" t="n">
        <v>46</v>
      </c>
      <c r="C1846" s="2">
        <f>_xlfn.XLOOKUP(B1846,Results!$B$23:$B$119,Results!$D$23:$D$119)</f>
        <v/>
      </c>
      <c r="D1846" s="2" t="n">
        <v>23</v>
      </c>
      <c r="E1846" s="2" t="inlineStr">
        <is>
          <t>CHO</t>
        </is>
      </c>
      <c r="F1846" s="2" t="n">
        <v>2.2789</v>
      </c>
      <c r="G1846" s="2" t="n">
        <v>0.212197</v>
      </c>
    </row>
    <row r="1847">
      <c r="A1847" s="1" t="inlineStr">
        <is>
          <t>D10</t>
        </is>
      </c>
      <c r="B1847" s="1" t="n">
        <v>46</v>
      </c>
      <c r="C1847" s="2">
        <f>_xlfn.XLOOKUP(B1847,Results!$B$23:$B$119,Results!$D$23:$D$119)</f>
        <v/>
      </c>
      <c r="D1847" s="1" t="n">
        <v>24</v>
      </c>
      <c r="E1847" s="1" t="inlineStr">
        <is>
          <t>CHO</t>
        </is>
      </c>
      <c r="F1847" s="1" t="n">
        <v>2.4662</v>
      </c>
      <c r="G1847" s="1" t="n">
        <v>0.394837</v>
      </c>
    </row>
    <row r="1848">
      <c r="A1848" s="2" t="inlineStr">
        <is>
          <t>D10</t>
        </is>
      </c>
      <c r="B1848" s="2" t="n">
        <v>46</v>
      </c>
      <c r="C1848" s="2">
        <f>_xlfn.XLOOKUP(B1848,Results!$B$23:$B$119,Results!$D$23:$D$119)</f>
        <v/>
      </c>
      <c r="D1848" s="2" t="n">
        <v>25</v>
      </c>
      <c r="E1848" s="2" t="inlineStr">
        <is>
          <t>CHO</t>
        </is>
      </c>
      <c r="F1848" s="2" t="n">
        <v>2.7436</v>
      </c>
      <c r="G1848" s="2" t="n">
        <v>0.667537</v>
      </c>
    </row>
    <row r="1849">
      <c r="A1849" s="1" t="inlineStr">
        <is>
          <t>D10</t>
        </is>
      </c>
      <c r="B1849" s="1" t="n">
        <v>46</v>
      </c>
      <c r="C1849" s="2">
        <f>_xlfn.XLOOKUP(B1849,Results!$B$23:$B$119,Results!$D$23:$D$119)</f>
        <v/>
      </c>
      <c r="D1849" s="1" t="n">
        <v>26</v>
      </c>
      <c r="E1849" s="1" t="inlineStr">
        <is>
          <t>CHO</t>
        </is>
      </c>
      <c r="F1849" s="1" t="n">
        <v>3.1162</v>
      </c>
      <c r="G1849" s="1" t="n">
        <v>1.035504</v>
      </c>
    </row>
    <row r="1850">
      <c r="A1850" s="2" t="inlineStr">
        <is>
          <t>D10</t>
        </is>
      </c>
      <c r="B1850" s="2" t="n">
        <v>46</v>
      </c>
      <c r="C1850" s="2">
        <f>_xlfn.XLOOKUP(B1850,Results!$B$23:$B$119,Results!$D$23:$D$119)</f>
        <v/>
      </c>
      <c r="D1850" s="2" t="n">
        <v>27</v>
      </c>
      <c r="E1850" s="2" t="inlineStr">
        <is>
          <t>CHO</t>
        </is>
      </c>
      <c r="F1850" s="2" t="n">
        <v>3.5613</v>
      </c>
      <c r="G1850" s="2" t="n">
        <v>1.475889</v>
      </c>
    </row>
    <row r="1851">
      <c r="A1851" s="1" t="inlineStr">
        <is>
          <t>D10</t>
        </is>
      </c>
      <c r="B1851" s="1" t="n">
        <v>46</v>
      </c>
      <c r="C1851" s="2">
        <f>_xlfn.XLOOKUP(B1851,Results!$B$23:$B$119,Results!$D$23:$D$119)</f>
        <v/>
      </c>
      <c r="D1851" s="1" t="n">
        <v>28</v>
      </c>
      <c r="E1851" s="1" t="inlineStr">
        <is>
          <t>CHO</t>
        </is>
      </c>
      <c r="F1851" s="1" t="n">
        <v>4.0118</v>
      </c>
      <c r="G1851" s="1" t="n">
        <v>1.921723</v>
      </c>
    </row>
    <row r="1852">
      <c r="A1852" s="2" t="inlineStr">
        <is>
          <t>D10</t>
        </is>
      </c>
      <c r="B1852" s="2" t="n">
        <v>46</v>
      </c>
      <c r="C1852" s="2">
        <f>_xlfn.XLOOKUP(B1852,Results!$B$23:$B$119,Results!$D$23:$D$119)</f>
        <v/>
      </c>
      <c r="D1852" s="2" t="n">
        <v>29</v>
      </c>
      <c r="E1852" s="2" t="inlineStr">
        <is>
          <t>CHO</t>
        </is>
      </c>
      <c r="F1852" s="2" t="n">
        <v>4.4557</v>
      </c>
      <c r="G1852" s="2" t="n">
        <v>2.361017</v>
      </c>
    </row>
    <row r="1853">
      <c r="A1853" s="1" t="inlineStr">
        <is>
          <t>D10</t>
        </is>
      </c>
      <c r="B1853" s="1" t="n">
        <v>46</v>
      </c>
      <c r="C1853" s="2">
        <f>_xlfn.XLOOKUP(B1853,Results!$B$23:$B$119,Results!$D$23:$D$119)</f>
        <v/>
      </c>
      <c r="D1853" s="1" t="n">
        <v>30</v>
      </c>
      <c r="E1853" s="1" t="inlineStr">
        <is>
          <t>CHO</t>
        </is>
      </c>
      <c r="F1853" s="1" t="n">
        <v>4.8442</v>
      </c>
      <c r="G1853" s="1" t="n">
        <v>2.744838</v>
      </c>
    </row>
    <row r="1854">
      <c r="A1854" s="2" t="inlineStr">
        <is>
          <t>D10</t>
        </is>
      </c>
      <c r="B1854" s="2" t="n">
        <v>46</v>
      </c>
      <c r="C1854" s="2">
        <f>_xlfn.XLOOKUP(B1854,Results!$B$23:$B$119,Results!$D$23:$D$119)</f>
        <v/>
      </c>
      <c r="D1854" s="2" t="n">
        <v>31</v>
      </c>
      <c r="E1854" s="2" t="inlineStr">
        <is>
          <t>CHO</t>
        </is>
      </c>
      <c r="F1854" s="2" t="n">
        <v>5.192</v>
      </c>
      <c r="G1854" s="2" t="n">
        <v>3.087992</v>
      </c>
    </row>
    <row r="1855">
      <c r="A1855" s="1" t="inlineStr">
        <is>
          <t>D10</t>
        </is>
      </c>
      <c r="B1855" s="1" t="n">
        <v>46</v>
      </c>
      <c r="C1855" s="2">
        <f>_xlfn.XLOOKUP(B1855,Results!$B$23:$B$119,Results!$D$23:$D$119)</f>
        <v/>
      </c>
      <c r="D1855" s="1" t="n">
        <v>32</v>
      </c>
      <c r="E1855" s="1" t="inlineStr">
        <is>
          <t>CHO</t>
        </is>
      </c>
      <c r="F1855" s="1" t="n">
        <v>5.4986</v>
      </c>
      <c r="G1855" s="1" t="n">
        <v>3.389883</v>
      </c>
    </row>
    <row r="1856">
      <c r="A1856" s="2" t="inlineStr">
        <is>
          <t>D10</t>
        </is>
      </c>
      <c r="B1856" s="2" t="n">
        <v>46</v>
      </c>
      <c r="C1856" s="2">
        <f>_xlfn.XLOOKUP(B1856,Results!$B$23:$B$119,Results!$D$23:$D$119)</f>
        <v/>
      </c>
      <c r="D1856" s="2" t="n">
        <v>33</v>
      </c>
      <c r="E1856" s="2" t="inlineStr">
        <is>
          <t>CHO</t>
        </is>
      </c>
      <c r="F1856" s="2" t="n">
        <v>5.7738</v>
      </c>
      <c r="G1856" s="2" t="n">
        <v>3.660424</v>
      </c>
    </row>
    <row r="1857">
      <c r="A1857" s="1" t="inlineStr">
        <is>
          <t>D10</t>
        </is>
      </c>
      <c r="B1857" s="1" t="n">
        <v>46</v>
      </c>
      <c r="C1857" s="2">
        <f>_xlfn.XLOOKUP(B1857,Results!$B$23:$B$119,Results!$D$23:$D$119)</f>
        <v/>
      </c>
      <c r="D1857" s="1" t="n">
        <v>34</v>
      </c>
      <c r="E1857" s="1" t="inlineStr">
        <is>
          <t>CHO</t>
        </is>
      </c>
      <c r="F1857" s="1" t="n">
        <v>6.01</v>
      </c>
      <c r="G1857" s="1" t="n">
        <v>3.891975</v>
      </c>
    </row>
    <row r="1858">
      <c r="A1858" s="2" t="inlineStr">
        <is>
          <t>D10</t>
        </is>
      </c>
      <c r="B1858" s="2" t="n">
        <v>46</v>
      </c>
      <c r="C1858" s="2">
        <f>_xlfn.XLOOKUP(B1858,Results!$B$23:$B$119,Results!$D$23:$D$119)</f>
        <v/>
      </c>
      <c r="D1858" s="2" t="n">
        <v>35</v>
      </c>
      <c r="E1858" s="2" t="inlineStr">
        <is>
          <t>CHO</t>
        </is>
      </c>
      <c r="F1858" s="2" t="n">
        <v>6.2046</v>
      </c>
      <c r="G1858" s="2" t="n">
        <v>4.0819</v>
      </c>
    </row>
    <row r="1859">
      <c r="A1859" s="1" t="inlineStr">
        <is>
          <t>D10</t>
        </is>
      </c>
      <c r="B1859" s="1" t="n">
        <v>46</v>
      </c>
      <c r="C1859" s="2">
        <f>_xlfn.XLOOKUP(B1859,Results!$B$23:$B$119,Results!$D$23:$D$119)</f>
        <v/>
      </c>
      <c r="D1859" s="1" t="n">
        <v>36</v>
      </c>
      <c r="E1859" s="1" t="inlineStr">
        <is>
          <t>CHO</t>
        </is>
      </c>
      <c r="F1859" s="1" t="n">
        <v>6.3845</v>
      </c>
      <c r="G1859" s="1" t="n">
        <v>4.257111</v>
      </c>
    </row>
    <row r="1860">
      <c r="A1860" s="2" t="inlineStr">
        <is>
          <t>D10</t>
        </is>
      </c>
      <c r="B1860" s="2" t="n">
        <v>46</v>
      </c>
      <c r="C1860" s="2">
        <f>_xlfn.XLOOKUP(B1860,Results!$B$23:$B$119,Results!$D$23:$D$119)</f>
        <v/>
      </c>
      <c r="D1860" s="2" t="n">
        <v>37</v>
      </c>
      <c r="E1860" s="2" t="inlineStr">
        <is>
          <t>CHO</t>
        </is>
      </c>
      <c r="F1860" s="2" t="n">
        <v>6.5426</v>
      </c>
      <c r="G1860" s="2" t="n">
        <v>4.410619</v>
      </c>
    </row>
    <row r="1861">
      <c r="A1861" s="1" t="inlineStr">
        <is>
          <t>D10</t>
        </is>
      </c>
      <c r="B1861" s="1" t="n">
        <v>46</v>
      </c>
      <c r="C1861" s="2">
        <f>_xlfn.XLOOKUP(B1861,Results!$B$23:$B$119,Results!$D$23:$D$119)</f>
        <v/>
      </c>
      <c r="D1861" s="1" t="n">
        <v>38</v>
      </c>
      <c r="E1861" s="1" t="inlineStr">
        <is>
          <t>CHO</t>
        </is>
      </c>
      <c r="F1861" s="1" t="n">
        <v>6.6865</v>
      </c>
      <c r="G1861" s="1" t="n">
        <v>4.549807</v>
      </c>
    </row>
    <row r="1862">
      <c r="A1862" s="2" t="inlineStr">
        <is>
          <t>D10</t>
        </is>
      </c>
      <c r="B1862" s="2" t="n">
        <v>46</v>
      </c>
      <c r="C1862" s="2">
        <f>_xlfn.XLOOKUP(B1862,Results!$B$23:$B$119,Results!$D$23:$D$119)</f>
        <v/>
      </c>
      <c r="D1862" s="2" t="n">
        <v>39</v>
      </c>
      <c r="E1862" s="2" t="inlineStr">
        <is>
          <t>CHO</t>
        </is>
      </c>
      <c r="F1862" s="2" t="n">
        <v>6.775</v>
      </c>
      <c r="G1862" s="2" t="n">
        <v>4.633679</v>
      </c>
    </row>
    <row r="1863">
      <c r="A1863" s="1" t="inlineStr">
        <is>
          <t>D10</t>
        </is>
      </c>
      <c r="B1863" s="1" t="n">
        <v>46</v>
      </c>
      <c r="C1863" s="2">
        <f>_xlfn.XLOOKUP(B1863,Results!$B$23:$B$119,Results!$D$23:$D$119)</f>
        <v/>
      </c>
      <c r="D1863" s="1" t="n">
        <v>40</v>
      </c>
      <c r="E1863" s="1" t="inlineStr">
        <is>
          <t>CHO</t>
        </is>
      </c>
      <c r="F1863" s="1" t="n">
        <v>6.8495</v>
      </c>
      <c r="G1863" s="1" t="n">
        <v>4.703515</v>
      </c>
    </row>
    <row r="1864">
      <c r="A1864" s="2" t="inlineStr">
        <is>
          <t>D11</t>
        </is>
      </c>
      <c r="B1864" s="2" t="n">
        <v>47</v>
      </c>
      <c r="C1864" s="2">
        <f>_xlfn.XLOOKUP(B1864,Results!$B$23:$B$119,Results!$D$23:$D$119)</f>
        <v/>
      </c>
      <c r="D1864" s="2" t="n">
        <v>1</v>
      </c>
      <c r="E1864" s="2" t="inlineStr">
        <is>
          <t>CHO</t>
        </is>
      </c>
      <c r="F1864" s="2" t="n">
        <v>2.2293</v>
      </c>
      <c r="G1864" s="2" t="n">
        <v>0.006203</v>
      </c>
    </row>
    <row r="1865">
      <c r="A1865" s="1" t="inlineStr">
        <is>
          <t>D11</t>
        </is>
      </c>
      <c r="B1865" s="1" t="n">
        <v>47</v>
      </c>
      <c r="C1865" s="2">
        <f>_xlfn.XLOOKUP(B1865,Results!$B$23:$B$119,Results!$D$23:$D$119)</f>
        <v/>
      </c>
      <c r="D1865" s="1" t="n">
        <v>2</v>
      </c>
      <c r="E1865" s="1" t="inlineStr">
        <is>
          <t>CHO</t>
        </is>
      </c>
      <c r="F1865" s="1" t="n">
        <v>2.2287</v>
      </c>
      <c r="G1865" s="1" t="n">
        <v>0.0006310000000000001</v>
      </c>
    </row>
    <row r="1866">
      <c r="A1866" s="2" t="inlineStr">
        <is>
          <t>D11</t>
        </is>
      </c>
      <c r="B1866" s="2" t="n">
        <v>47</v>
      </c>
      <c r="C1866" s="2">
        <f>_xlfn.XLOOKUP(B1866,Results!$B$23:$B$119,Results!$D$23:$D$119)</f>
        <v/>
      </c>
      <c r="D1866" s="2" t="n">
        <v>3</v>
      </c>
      <c r="E1866" s="2" t="inlineStr">
        <is>
          <t>CHO</t>
        </is>
      </c>
      <c r="F1866" s="2" t="n">
        <v>2.2332</v>
      </c>
      <c r="G1866" s="2" t="n">
        <v>0.000296</v>
      </c>
    </row>
    <row r="1867">
      <c r="A1867" s="1" t="inlineStr">
        <is>
          <t>D11</t>
        </is>
      </c>
      <c r="B1867" s="1" t="n">
        <v>47</v>
      </c>
      <c r="C1867" s="2">
        <f>_xlfn.XLOOKUP(B1867,Results!$B$23:$B$119,Results!$D$23:$D$119)</f>
        <v/>
      </c>
      <c r="D1867" s="1" t="n">
        <v>4</v>
      </c>
      <c r="E1867" s="1" t="inlineStr">
        <is>
          <t>CHO</t>
        </is>
      </c>
      <c r="F1867" s="1" t="n">
        <v>2.2399</v>
      </c>
      <c r="G1867" s="1" t="n">
        <v>0.002135</v>
      </c>
    </row>
    <row r="1868">
      <c r="A1868" s="2" t="inlineStr">
        <is>
          <t>D11</t>
        </is>
      </c>
      <c r="B1868" s="2" t="n">
        <v>47</v>
      </c>
      <c r="C1868" s="2">
        <f>_xlfn.XLOOKUP(B1868,Results!$B$23:$B$119,Results!$D$23:$D$119)</f>
        <v/>
      </c>
      <c r="D1868" s="2" t="n">
        <v>5</v>
      </c>
      <c r="E1868" s="2" t="inlineStr">
        <is>
          <t>CHO</t>
        </is>
      </c>
      <c r="F1868" s="2" t="n">
        <v>2.2435</v>
      </c>
      <c r="G1868" s="2" t="n">
        <v>0.000808</v>
      </c>
    </row>
    <row r="1869">
      <c r="A1869" s="1" t="inlineStr">
        <is>
          <t>D11</t>
        </is>
      </c>
      <c r="B1869" s="1" t="n">
        <v>47</v>
      </c>
      <c r="C1869" s="2">
        <f>_xlfn.XLOOKUP(B1869,Results!$B$23:$B$119,Results!$D$23:$D$119)</f>
        <v/>
      </c>
      <c r="D1869" s="1" t="n">
        <v>6</v>
      </c>
      <c r="E1869" s="1" t="inlineStr">
        <is>
          <t>CHO</t>
        </is>
      </c>
      <c r="F1869" s="1" t="n">
        <v>2.2462</v>
      </c>
      <c r="G1869" s="1" t="n">
        <v>-0.001415</v>
      </c>
    </row>
    <row r="1870">
      <c r="A1870" s="2" t="inlineStr">
        <is>
          <t>D11</t>
        </is>
      </c>
      <c r="B1870" s="2" t="n">
        <v>47</v>
      </c>
      <c r="C1870" s="2">
        <f>_xlfn.XLOOKUP(B1870,Results!$B$23:$B$119,Results!$D$23:$D$119)</f>
        <v/>
      </c>
      <c r="D1870" s="2" t="n">
        <v>7</v>
      </c>
      <c r="E1870" s="2" t="inlineStr">
        <is>
          <t>CHO</t>
        </is>
      </c>
      <c r="F1870" s="2" t="n">
        <v>2.252</v>
      </c>
      <c r="G1870" s="2" t="n">
        <v>-0.000434</v>
      </c>
    </row>
    <row r="1871">
      <c r="A1871" s="1" t="inlineStr">
        <is>
          <t>D11</t>
        </is>
      </c>
      <c r="B1871" s="1" t="n">
        <v>47</v>
      </c>
      <c r="C1871" s="2">
        <f>_xlfn.XLOOKUP(B1871,Results!$B$23:$B$119,Results!$D$23:$D$119)</f>
        <v/>
      </c>
      <c r="D1871" s="1" t="n">
        <v>8</v>
      </c>
      <c r="E1871" s="1" t="inlineStr">
        <is>
          <t>CHO</t>
        </is>
      </c>
      <c r="F1871" s="1" t="n">
        <v>2.2567</v>
      </c>
      <c r="G1871" s="1" t="n">
        <v>-0.000603</v>
      </c>
    </row>
    <row r="1872">
      <c r="A1872" s="2" t="inlineStr">
        <is>
          <t>D11</t>
        </is>
      </c>
      <c r="B1872" s="2" t="n">
        <v>47</v>
      </c>
      <c r="C1872" s="2">
        <f>_xlfn.XLOOKUP(B1872,Results!$B$23:$B$119,Results!$D$23:$D$119)</f>
        <v/>
      </c>
      <c r="D1872" s="2" t="n">
        <v>9</v>
      </c>
      <c r="E1872" s="2" t="inlineStr">
        <is>
          <t>CHO</t>
        </is>
      </c>
      <c r="F1872" s="2" t="n">
        <v>2.2604</v>
      </c>
      <c r="G1872" s="2" t="n">
        <v>-0.001829</v>
      </c>
    </row>
    <row r="1873">
      <c r="A1873" s="1" t="inlineStr">
        <is>
          <t>D11</t>
        </is>
      </c>
      <c r="B1873" s="1" t="n">
        <v>47</v>
      </c>
      <c r="C1873" s="2">
        <f>_xlfn.XLOOKUP(B1873,Results!$B$23:$B$119,Results!$D$23:$D$119)</f>
        <v/>
      </c>
      <c r="D1873" s="1" t="n">
        <v>10</v>
      </c>
      <c r="E1873" s="1" t="inlineStr">
        <is>
          <t>CHO</t>
        </is>
      </c>
      <c r="F1873" s="1" t="n">
        <v>2.2664</v>
      </c>
      <c r="G1873" s="1" t="n">
        <v>-0.000759</v>
      </c>
    </row>
    <row r="1874">
      <c r="A1874" s="2" t="inlineStr">
        <is>
          <t>D11</t>
        </is>
      </c>
      <c r="B1874" s="2" t="n">
        <v>47</v>
      </c>
      <c r="C1874" s="2">
        <f>_xlfn.XLOOKUP(B1874,Results!$B$23:$B$119,Results!$D$23:$D$119)</f>
        <v/>
      </c>
      <c r="D1874" s="2" t="n">
        <v>11</v>
      </c>
      <c r="E1874" s="2" t="inlineStr">
        <is>
          <t>CHO</t>
        </is>
      </c>
      <c r="F1874" s="2" t="n">
        <v>2.2718</v>
      </c>
      <c r="G1874" s="2" t="n">
        <v>-0.000258</v>
      </c>
    </row>
    <row r="1875">
      <c r="A1875" s="1" t="inlineStr">
        <is>
          <t>D11</t>
        </is>
      </c>
      <c r="B1875" s="1" t="n">
        <v>47</v>
      </c>
      <c r="C1875" s="2">
        <f>_xlfn.XLOOKUP(B1875,Results!$B$23:$B$119,Results!$D$23:$D$119)</f>
        <v/>
      </c>
      <c r="D1875" s="1" t="n">
        <v>12</v>
      </c>
      <c r="E1875" s="1" t="inlineStr">
        <is>
          <t>CHO</t>
        </is>
      </c>
      <c r="F1875" s="1" t="n">
        <v>2.2764</v>
      </c>
      <c r="G1875" s="1" t="n">
        <v>-0.000455</v>
      </c>
    </row>
    <row r="1876">
      <c r="A1876" s="2" t="inlineStr">
        <is>
          <t>D11</t>
        </is>
      </c>
      <c r="B1876" s="2" t="n">
        <v>47</v>
      </c>
      <c r="C1876" s="2">
        <f>_xlfn.XLOOKUP(B1876,Results!$B$23:$B$119,Results!$D$23:$D$119)</f>
        <v/>
      </c>
      <c r="D1876" s="2" t="n">
        <v>13</v>
      </c>
      <c r="E1876" s="2" t="inlineStr">
        <is>
          <t>CHO</t>
        </is>
      </c>
      <c r="F1876" s="2" t="n">
        <v>2.2832</v>
      </c>
      <c r="G1876" s="2" t="n">
        <v>0.001397</v>
      </c>
    </row>
    <row r="1877">
      <c r="A1877" s="1" t="inlineStr">
        <is>
          <t>D11</t>
        </is>
      </c>
      <c r="B1877" s="1" t="n">
        <v>47</v>
      </c>
      <c r="C1877" s="2">
        <f>_xlfn.XLOOKUP(B1877,Results!$B$23:$B$119,Results!$D$23:$D$119)</f>
        <v/>
      </c>
      <c r="D1877" s="1" t="n">
        <v>14</v>
      </c>
      <c r="E1877" s="1" t="inlineStr">
        <is>
          <t>CHO</t>
        </is>
      </c>
      <c r="F1877" s="1" t="n">
        <v>2.2871</v>
      </c>
      <c r="G1877" s="1" t="n">
        <v>0.000396</v>
      </c>
    </row>
    <row r="1878">
      <c r="A1878" s="2" t="inlineStr">
        <is>
          <t>D11</t>
        </is>
      </c>
      <c r="B1878" s="2" t="n">
        <v>47</v>
      </c>
      <c r="C1878" s="2">
        <f>_xlfn.XLOOKUP(B1878,Results!$B$23:$B$119,Results!$D$23:$D$119)</f>
        <v/>
      </c>
      <c r="D1878" s="2" t="n">
        <v>15</v>
      </c>
      <c r="E1878" s="2" t="inlineStr">
        <is>
          <t>CHO</t>
        </is>
      </c>
      <c r="F1878" s="2" t="n">
        <v>2.2923</v>
      </c>
      <c r="G1878" s="2" t="n">
        <v>0.000687</v>
      </c>
    </row>
    <row r="1879">
      <c r="A1879" s="1" t="inlineStr">
        <is>
          <t>D11</t>
        </is>
      </c>
      <c r="B1879" s="1" t="n">
        <v>47</v>
      </c>
      <c r="C1879" s="2">
        <f>_xlfn.XLOOKUP(B1879,Results!$B$23:$B$119,Results!$D$23:$D$119)</f>
        <v/>
      </c>
      <c r="D1879" s="1" t="n">
        <v>16</v>
      </c>
      <c r="E1879" s="1" t="inlineStr">
        <is>
          <t>CHO</t>
        </is>
      </c>
      <c r="F1879" s="1" t="n">
        <v>2.2958</v>
      </c>
      <c r="G1879" s="1" t="n">
        <v>-0.000654</v>
      </c>
    </row>
    <row r="1880">
      <c r="A1880" s="2" t="inlineStr">
        <is>
          <t>D11</t>
        </is>
      </c>
      <c r="B1880" s="2" t="n">
        <v>47</v>
      </c>
      <c r="C1880" s="2">
        <f>_xlfn.XLOOKUP(B1880,Results!$B$23:$B$119,Results!$D$23:$D$119)</f>
        <v/>
      </c>
      <c r="D1880" s="2" t="n">
        <v>17</v>
      </c>
      <c r="E1880" s="2" t="inlineStr">
        <is>
          <t>CHO</t>
        </is>
      </c>
      <c r="F1880" s="2" t="n">
        <v>2.302</v>
      </c>
      <c r="G1880" s="2" t="n">
        <v>0.000687</v>
      </c>
    </row>
    <row r="1881">
      <c r="A1881" s="1" t="inlineStr">
        <is>
          <t>D11</t>
        </is>
      </c>
      <c r="B1881" s="1" t="n">
        <v>47</v>
      </c>
      <c r="C1881" s="2">
        <f>_xlfn.XLOOKUP(B1881,Results!$B$23:$B$119,Results!$D$23:$D$119)</f>
        <v/>
      </c>
      <c r="D1881" s="1" t="n">
        <v>18</v>
      </c>
      <c r="E1881" s="1" t="inlineStr">
        <is>
          <t>CHO</t>
        </is>
      </c>
      <c r="F1881" s="1" t="n">
        <v>2.3101</v>
      </c>
      <c r="G1881" s="1" t="n">
        <v>0.003905</v>
      </c>
    </row>
    <row r="1882">
      <c r="A1882" s="2" t="inlineStr">
        <is>
          <t>D11</t>
        </is>
      </c>
      <c r="B1882" s="2" t="n">
        <v>47</v>
      </c>
      <c r="C1882" s="2">
        <f>_xlfn.XLOOKUP(B1882,Results!$B$23:$B$119,Results!$D$23:$D$119)</f>
        <v/>
      </c>
      <c r="D1882" s="2" t="n">
        <v>19</v>
      </c>
      <c r="E1882" s="2" t="inlineStr">
        <is>
          <t>CHO</t>
        </is>
      </c>
      <c r="F1882" s="2" t="n">
        <v>2.3253</v>
      </c>
      <c r="G1882" s="2" t="n">
        <v>0.014139</v>
      </c>
    </row>
    <row r="1883">
      <c r="A1883" s="1" t="inlineStr">
        <is>
          <t>D11</t>
        </is>
      </c>
      <c r="B1883" s="1" t="n">
        <v>47</v>
      </c>
      <c r="C1883" s="2">
        <f>_xlfn.XLOOKUP(B1883,Results!$B$23:$B$119,Results!$D$23:$D$119)</f>
        <v/>
      </c>
      <c r="D1883" s="1" t="n">
        <v>20</v>
      </c>
      <c r="E1883" s="1" t="inlineStr">
        <is>
          <t>CHO</t>
        </is>
      </c>
      <c r="F1883" s="1" t="n">
        <v>2.3427</v>
      </c>
      <c r="G1883" s="1" t="n">
        <v>0.026732</v>
      </c>
    </row>
    <row r="1884">
      <c r="A1884" s="2" t="inlineStr">
        <is>
          <t>D11</t>
        </is>
      </c>
      <c r="B1884" s="2" t="n">
        <v>47</v>
      </c>
      <c r="C1884" s="2">
        <f>_xlfn.XLOOKUP(B1884,Results!$B$23:$B$119,Results!$D$23:$D$119)</f>
        <v/>
      </c>
      <c r="D1884" s="2" t="n">
        <v>21</v>
      </c>
      <c r="E1884" s="2" t="inlineStr">
        <is>
          <t>CHO</t>
        </is>
      </c>
      <c r="F1884" s="2" t="n">
        <v>2.3762</v>
      </c>
      <c r="G1884" s="2" t="n">
        <v>0.055353</v>
      </c>
    </row>
    <row r="1885">
      <c r="A1885" s="1" t="inlineStr">
        <is>
          <t>D11</t>
        </is>
      </c>
      <c r="B1885" s="1" t="n">
        <v>47</v>
      </c>
      <c r="C1885" s="2">
        <f>_xlfn.XLOOKUP(B1885,Results!$B$23:$B$119,Results!$D$23:$D$119)</f>
        <v/>
      </c>
      <c r="D1885" s="1" t="n">
        <v>22</v>
      </c>
      <c r="E1885" s="1" t="inlineStr">
        <is>
          <t>CHO</t>
        </is>
      </c>
      <c r="F1885" s="1" t="n">
        <v>2.4328</v>
      </c>
      <c r="G1885" s="1" t="n">
        <v>0.107055</v>
      </c>
    </row>
    <row r="1886">
      <c r="A1886" s="2" t="inlineStr">
        <is>
          <t>D11</t>
        </is>
      </c>
      <c r="B1886" s="2" t="n">
        <v>47</v>
      </c>
      <c r="C1886" s="2">
        <f>_xlfn.XLOOKUP(B1886,Results!$B$23:$B$119,Results!$D$23:$D$119)</f>
        <v/>
      </c>
      <c r="D1886" s="2" t="n">
        <v>23</v>
      </c>
      <c r="E1886" s="2" t="inlineStr">
        <is>
          <t>CHO</t>
        </is>
      </c>
      <c r="F1886" s="2" t="n">
        <v>2.5301</v>
      </c>
      <c r="G1886" s="2" t="n">
        <v>0.199466</v>
      </c>
    </row>
    <row r="1887">
      <c r="A1887" s="1" t="inlineStr">
        <is>
          <t>D11</t>
        </is>
      </c>
      <c r="B1887" s="1" t="n">
        <v>47</v>
      </c>
      <c r="C1887" s="2">
        <f>_xlfn.XLOOKUP(B1887,Results!$B$23:$B$119,Results!$D$23:$D$119)</f>
        <v/>
      </c>
      <c r="D1887" s="1" t="n">
        <v>24</v>
      </c>
      <c r="E1887" s="1" t="inlineStr">
        <is>
          <t>CHO</t>
        </is>
      </c>
      <c r="F1887" s="1" t="n">
        <v>2.7079</v>
      </c>
      <c r="G1887" s="1" t="n">
        <v>0.372374</v>
      </c>
    </row>
    <row r="1888">
      <c r="A1888" s="2" t="inlineStr">
        <is>
          <t>D11</t>
        </is>
      </c>
      <c r="B1888" s="2" t="n">
        <v>47</v>
      </c>
      <c r="C1888" s="2">
        <f>_xlfn.XLOOKUP(B1888,Results!$B$23:$B$119,Results!$D$23:$D$119)</f>
        <v/>
      </c>
      <c r="D1888" s="2" t="n">
        <v>25</v>
      </c>
      <c r="E1888" s="2" t="inlineStr">
        <is>
          <t>CHO</t>
        </is>
      </c>
      <c r="F1888" s="2" t="n">
        <v>2.9756</v>
      </c>
      <c r="G1888" s="2" t="n">
        <v>0.635186</v>
      </c>
    </row>
    <row r="1889">
      <c r="A1889" s="1" t="inlineStr">
        <is>
          <t>D11</t>
        </is>
      </c>
      <c r="B1889" s="1" t="n">
        <v>47</v>
      </c>
      <c r="C1889" s="2">
        <f>_xlfn.XLOOKUP(B1889,Results!$B$23:$B$119,Results!$D$23:$D$119)</f>
        <v/>
      </c>
      <c r="D1889" s="1" t="n">
        <v>26</v>
      </c>
      <c r="E1889" s="1" t="inlineStr">
        <is>
          <t>CHO</t>
        </is>
      </c>
      <c r="F1889" s="1" t="n">
        <v>3.338</v>
      </c>
      <c r="G1889" s="1" t="n">
        <v>0.99263</v>
      </c>
    </row>
    <row r="1890">
      <c r="A1890" s="2" t="inlineStr">
        <is>
          <t>D11</t>
        </is>
      </c>
      <c r="B1890" s="2" t="n">
        <v>47</v>
      </c>
      <c r="C1890" s="2">
        <f>_xlfn.XLOOKUP(B1890,Results!$B$23:$B$119,Results!$D$23:$D$119)</f>
        <v/>
      </c>
      <c r="D1890" s="2" t="n">
        <v>27</v>
      </c>
      <c r="E1890" s="2" t="inlineStr">
        <is>
          <t>CHO</t>
        </is>
      </c>
      <c r="F1890" s="2" t="n">
        <v>3.7584</v>
      </c>
      <c r="G1890" s="2" t="n">
        <v>1.408183</v>
      </c>
    </row>
    <row r="1891">
      <c r="A1891" s="1" t="inlineStr">
        <is>
          <t>D11</t>
        </is>
      </c>
      <c r="B1891" s="1" t="n">
        <v>47</v>
      </c>
      <c r="C1891" s="2">
        <f>_xlfn.XLOOKUP(B1891,Results!$B$23:$B$119,Results!$D$23:$D$119)</f>
        <v/>
      </c>
      <c r="D1891" s="1" t="n">
        <v>28</v>
      </c>
      <c r="E1891" s="1" t="inlineStr">
        <is>
          <t>CHO</t>
        </is>
      </c>
      <c r="F1891" s="1" t="n">
        <v>4.1933</v>
      </c>
      <c r="G1891" s="1" t="n">
        <v>1.838185</v>
      </c>
    </row>
    <row r="1892">
      <c r="A1892" s="2" t="inlineStr">
        <is>
          <t>D11</t>
        </is>
      </c>
      <c r="B1892" s="2" t="n">
        <v>47</v>
      </c>
      <c r="C1892" s="2">
        <f>_xlfn.XLOOKUP(B1892,Results!$B$23:$B$119,Results!$D$23:$D$119)</f>
        <v/>
      </c>
      <c r="D1892" s="2" t="n">
        <v>29</v>
      </c>
      <c r="E1892" s="2" t="inlineStr">
        <is>
          <t>CHO</t>
        </is>
      </c>
      <c r="F1892" s="2" t="n">
        <v>4.6102</v>
      </c>
      <c r="G1892" s="2" t="n">
        <v>2.250223</v>
      </c>
    </row>
    <row r="1893">
      <c r="A1893" s="1" t="inlineStr">
        <is>
          <t>D11</t>
        </is>
      </c>
      <c r="B1893" s="1" t="n">
        <v>47</v>
      </c>
      <c r="C1893" s="2">
        <f>_xlfn.XLOOKUP(B1893,Results!$B$23:$B$119,Results!$D$23:$D$119)</f>
        <v/>
      </c>
      <c r="D1893" s="1" t="n">
        <v>30</v>
      </c>
      <c r="E1893" s="1" t="inlineStr">
        <is>
          <t>CHO</t>
        </is>
      </c>
      <c r="F1893" s="1" t="n">
        <v>4.995</v>
      </c>
      <c r="G1893" s="1" t="n">
        <v>2.630075</v>
      </c>
    </row>
    <row r="1894">
      <c r="A1894" s="2" t="inlineStr">
        <is>
          <t>D11</t>
        </is>
      </c>
      <c r="B1894" s="2" t="n">
        <v>47</v>
      </c>
      <c r="C1894" s="2">
        <f>_xlfn.XLOOKUP(B1894,Results!$B$23:$B$119,Results!$D$23:$D$119)</f>
        <v/>
      </c>
      <c r="D1894" s="2" t="n">
        <v>31</v>
      </c>
      <c r="E1894" s="2" t="inlineStr">
        <is>
          <t>CHO</t>
        </is>
      </c>
      <c r="F1894" s="2" t="n">
        <v>5.3529</v>
      </c>
      <c r="G1894" s="2" t="n">
        <v>2.9831</v>
      </c>
    </row>
    <row r="1895">
      <c r="A1895" s="1" t="inlineStr">
        <is>
          <t>D11</t>
        </is>
      </c>
      <c r="B1895" s="1" t="n">
        <v>47</v>
      </c>
      <c r="C1895" s="2">
        <f>_xlfn.XLOOKUP(B1895,Results!$B$23:$B$119,Results!$D$23:$D$119)</f>
        <v/>
      </c>
      <c r="D1895" s="1" t="n">
        <v>32</v>
      </c>
      <c r="E1895" s="1" t="inlineStr">
        <is>
          <t>CHO</t>
        </is>
      </c>
      <c r="F1895" s="1" t="n">
        <v>5.652</v>
      </c>
      <c r="G1895" s="1" t="n">
        <v>3.277362</v>
      </c>
    </row>
    <row r="1896">
      <c r="A1896" s="2" t="inlineStr">
        <is>
          <t>D11</t>
        </is>
      </c>
      <c r="B1896" s="2" t="n">
        <v>47</v>
      </c>
      <c r="C1896" s="2">
        <f>_xlfn.XLOOKUP(B1896,Results!$B$23:$B$119,Results!$D$23:$D$119)</f>
        <v/>
      </c>
      <c r="D1896" s="2" t="n">
        <v>33</v>
      </c>
      <c r="E1896" s="2" t="inlineStr">
        <is>
          <t>CHO</t>
        </is>
      </c>
      <c r="F1896" s="2" t="n">
        <v>5.9266</v>
      </c>
      <c r="G1896" s="2" t="n">
        <v>3.54701</v>
      </c>
    </row>
    <row r="1897">
      <c r="A1897" s="1" t="inlineStr">
        <is>
          <t>D11</t>
        </is>
      </c>
      <c r="B1897" s="1" t="n">
        <v>47</v>
      </c>
      <c r="C1897" s="2">
        <f>_xlfn.XLOOKUP(B1897,Results!$B$23:$B$119,Results!$D$23:$D$119)</f>
        <v/>
      </c>
      <c r="D1897" s="1" t="n">
        <v>34</v>
      </c>
      <c r="E1897" s="1" t="inlineStr">
        <is>
          <t>CHO</t>
        </is>
      </c>
      <c r="F1897" s="1" t="n">
        <v>6.1488</v>
      </c>
      <c r="G1897" s="1" t="n">
        <v>3.76436</v>
      </c>
    </row>
    <row r="1898">
      <c r="A1898" s="2" t="inlineStr">
        <is>
          <t>D11</t>
        </is>
      </c>
      <c r="B1898" s="2" t="n">
        <v>47</v>
      </c>
      <c r="C1898" s="2">
        <f>_xlfn.XLOOKUP(B1898,Results!$B$23:$B$119,Results!$D$23:$D$119)</f>
        <v/>
      </c>
      <c r="D1898" s="2" t="n">
        <v>35</v>
      </c>
      <c r="E1898" s="2" t="inlineStr">
        <is>
          <t>CHO</t>
        </is>
      </c>
      <c r="F1898" s="2" t="n">
        <v>6.3585</v>
      </c>
      <c r="G1898" s="2" t="n">
        <v>3.969174</v>
      </c>
    </row>
    <row r="1899">
      <c r="A1899" s="1" t="inlineStr">
        <is>
          <t>D11</t>
        </is>
      </c>
      <c r="B1899" s="1" t="n">
        <v>47</v>
      </c>
      <c r="C1899" s="2">
        <f>_xlfn.XLOOKUP(B1899,Results!$B$23:$B$119,Results!$D$23:$D$119)</f>
        <v/>
      </c>
      <c r="D1899" s="1" t="n">
        <v>36</v>
      </c>
      <c r="E1899" s="1" t="inlineStr">
        <is>
          <t>CHO</t>
        </is>
      </c>
      <c r="F1899" s="1" t="n">
        <v>6.5394</v>
      </c>
      <c r="G1899" s="1" t="n">
        <v>4.145164</v>
      </c>
    </row>
    <row r="1900">
      <c r="A1900" s="2" t="inlineStr">
        <is>
          <t>D11</t>
        </is>
      </c>
      <c r="B1900" s="2" t="n">
        <v>47</v>
      </c>
      <c r="C1900" s="2">
        <f>_xlfn.XLOOKUP(B1900,Results!$B$23:$B$119,Results!$D$23:$D$119)</f>
        <v/>
      </c>
      <c r="D1900" s="2" t="n">
        <v>37</v>
      </c>
      <c r="E1900" s="2" t="inlineStr">
        <is>
          <t>CHO</t>
        </is>
      </c>
      <c r="F1900" s="2" t="n">
        <v>6.6713</v>
      </c>
      <c r="G1900" s="2" t="n">
        <v>4.272204</v>
      </c>
    </row>
    <row r="1901">
      <c r="A1901" s="1" t="inlineStr">
        <is>
          <t>D11</t>
        </is>
      </c>
      <c r="B1901" s="1" t="n">
        <v>47</v>
      </c>
      <c r="C1901" s="2">
        <f>_xlfn.XLOOKUP(B1901,Results!$B$23:$B$119,Results!$D$23:$D$119)</f>
        <v/>
      </c>
      <c r="D1901" s="1" t="n">
        <v>38</v>
      </c>
      <c r="E1901" s="1" t="inlineStr">
        <is>
          <t>CHO</t>
        </is>
      </c>
      <c r="F1901" s="1" t="n">
        <v>6.8008</v>
      </c>
      <c r="G1901" s="1" t="n">
        <v>4.396811</v>
      </c>
    </row>
    <row r="1902">
      <c r="A1902" s="2" t="inlineStr">
        <is>
          <t>D11</t>
        </is>
      </c>
      <c r="B1902" s="2" t="n">
        <v>47</v>
      </c>
      <c r="C1902" s="2">
        <f>_xlfn.XLOOKUP(B1902,Results!$B$23:$B$119,Results!$D$23:$D$119)</f>
        <v/>
      </c>
      <c r="D1902" s="2" t="n">
        <v>39</v>
      </c>
      <c r="E1902" s="2" t="inlineStr">
        <is>
          <t>CHO</t>
        </is>
      </c>
      <c r="F1902" s="2" t="n">
        <v>6.9329</v>
      </c>
      <c r="G1902" s="2" t="n">
        <v>4.524052</v>
      </c>
    </row>
    <row r="1903">
      <c r="A1903" s="1" t="inlineStr">
        <is>
          <t>D11</t>
        </is>
      </c>
      <c r="B1903" s="1" t="n">
        <v>47</v>
      </c>
      <c r="C1903" s="2">
        <f>_xlfn.XLOOKUP(B1903,Results!$B$23:$B$119,Results!$D$23:$D$119)</f>
        <v/>
      </c>
      <c r="D1903" s="1" t="n">
        <v>40</v>
      </c>
      <c r="E1903" s="1" t="inlineStr">
        <is>
          <t>CHO</t>
        </is>
      </c>
      <c r="F1903" s="1" t="n">
        <v>6.9931</v>
      </c>
      <c r="G1903" s="1" t="n">
        <v>4.579381</v>
      </c>
    </row>
    <row r="1904">
      <c r="A1904" s="2" t="inlineStr">
        <is>
          <t>D12</t>
        </is>
      </c>
      <c r="B1904" s="2" t="n">
        <v>48</v>
      </c>
      <c r="C1904" s="2">
        <f>_xlfn.XLOOKUP(B1904,Results!$B$23:$B$119,Results!$D$23:$D$119)</f>
        <v/>
      </c>
      <c r="D1904" s="2" t="n">
        <v>1</v>
      </c>
      <c r="E1904" s="2" t="inlineStr">
        <is>
          <t>CHO</t>
        </is>
      </c>
      <c r="F1904" s="2" t="n">
        <v>2.241</v>
      </c>
      <c r="G1904" s="2" t="n">
        <v>0.003499</v>
      </c>
    </row>
    <row r="1905">
      <c r="A1905" s="1" t="inlineStr">
        <is>
          <t>D12</t>
        </is>
      </c>
      <c r="B1905" s="1" t="n">
        <v>48</v>
      </c>
      <c r="C1905" s="2">
        <f>_xlfn.XLOOKUP(B1905,Results!$B$23:$B$119,Results!$D$23:$D$119)</f>
        <v/>
      </c>
      <c r="D1905" s="1" t="n">
        <v>2</v>
      </c>
      <c r="E1905" s="1" t="inlineStr">
        <is>
          <t>CHO</t>
        </is>
      </c>
      <c r="F1905" s="1" t="n">
        <v>2.2419</v>
      </c>
      <c r="G1905" s="1" t="n">
        <v>-3.7e-05</v>
      </c>
    </row>
    <row r="1906">
      <c r="A1906" s="2" t="inlineStr">
        <is>
          <t>D12</t>
        </is>
      </c>
      <c r="B1906" s="2" t="n">
        <v>48</v>
      </c>
      <c r="C1906" s="2">
        <f>_xlfn.XLOOKUP(B1906,Results!$B$23:$B$119,Results!$D$23:$D$119)</f>
        <v/>
      </c>
      <c r="D1906" s="2" t="n">
        <v>3</v>
      </c>
      <c r="E1906" s="2" t="inlineStr">
        <is>
          <t>CHO</t>
        </is>
      </c>
      <c r="F1906" s="2" t="n">
        <v>2.2444</v>
      </c>
      <c r="G1906" s="2" t="n">
        <v>-0.001921</v>
      </c>
    </row>
    <row r="1907">
      <c r="A1907" s="1" t="inlineStr">
        <is>
          <t>D12</t>
        </is>
      </c>
      <c r="B1907" s="1" t="n">
        <v>48</v>
      </c>
      <c r="C1907" s="2">
        <f>_xlfn.XLOOKUP(B1907,Results!$B$23:$B$119,Results!$D$23:$D$119)</f>
        <v/>
      </c>
      <c r="D1907" s="1" t="n">
        <v>4</v>
      </c>
      <c r="E1907" s="1" t="inlineStr">
        <is>
          <t>CHO</t>
        </is>
      </c>
      <c r="F1907" s="1" t="n">
        <v>2.2506</v>
      </c>
      <c r="G1907" s="1" t="n">
        <v>-0.000209</v>
      </c>
    </row>
    <row r="1908">
      <c r="A1908" s="2" t="inlineStr">
        <is>
          <t>D12</t>
        </is>
      </c>
      <c r="B1908" s="2" t="n">
        <v>48</v>
      </c>
      <c r="C1908" s="2">
        <f>_xlfn.XLOOKUP(B1908,Results!$B$23:$B$119,Results!$D$23:$D$119)</f>
        <v/>
      </c>
      <c r="D1908" s="2" t="n">
        <v>5</v>
      </c>
      <c r="E1908" s="2" t="inlineStr">
        <is>
          <t>CHO</t>
        </is>
      </c>
      <c r="F1908" s="2" t="n">
        <v>2.2562</v>
      </c>
      <c r="G1908" s="2" t="n">
        <v>0.000875</v>
      </c>
    </row>
    <row r="1909">
      <c r="A1909" s="1" t="inlineStr">
        <is>
          <t>D12</t>
        </is>
      </c>
      <c r="B1909" s="1" t="n">
        <v>48</v>
      </c>
      <c r="C1909" s="2">
        <f>_xlfn.XLOOKUP(B1909,Results!$B$23:$B$119,Results!$D$23:$D$119)</f>
        <v/>
      </c>
      <c r="D1909" s="1" t="n">
        <v>6</v>
      </c>
      <c r="E1909" s="1" t="inlineStr">
        <is>
          <t>CHO</t>
        </is>
      </c>
      <c r="F1909" s="1" t="n">
        <v>2.2614</v>
      </c>
      <c r="G1909" s="1" t="n">
        <v>0.001645</v>
      </c>
    </row>
    <row r="1910">
      <c r="A1910" s="2" t="inlineStr">
        <is>
          <t>D12</t>
        </is>
      </c>
      <c r="B1910" s="2" t="n">
        <v>48</v>
      </c>
      <c r="C1910" s="2">
        <f>_xlfn.XLOOKUP(B1910,Results!$B$23:$B$119,Results!$D$23:$D$119)</f>
        <v/>
      </c>
      <c r="D1910" s="2" t="n">
        <v>7</v>
      </c>
      <c r="E1910" s="2" t="inlineStr">
        <is>
          <t>CHO</t>
        </is>
      </c>
      <c r="F1910" s="2" t="n">
        <v>2.2657</v>
      </c>
      <c r="G1910" s="2" t="n">
        <v>0.001493</v>
      </c>
    </row>
    <row r="1911">
      <c r="A1911" s="1" t="inlineStr">
        <is>
          <t>D12</t>
        </is>
      </c>
      <c r="B1911" s="1" t="n">
        <v>48</v>
      </c>
      <c r="C1911" s="2">
        <f>_xlfn.XLOOKUP(B1911,Results!$B$23:$B$119,Results!$D$23:$D$119)</f>
        <v/>
      </c>
      <c r="D1911" s="1" t="n">
        <v>8</v>
      </c>
      <c r="E1911" s="1" t="inlineStr">
        <is>
          <t>CHO</t>
        </is>
      </c>
      <c r="F1911" s="1" t="n">
        <v>2.2695</v>
      </c>
      <c r="G1911" s="1" t="n">
        <v>0.000879</v>
      </c>
    </row>
    <row r="1912">
      <c r="A1912" s="2" t="inlineStr">
        <is>
          <t>D12</t>
        </is>
      </c>
      <c r="B1912" s="2" t="n">
        <v>48</v>
      </c>
      <c r="C1912" s="2">
        <f>_xlfn.XLOOKUP(B1912,Results!$B$23:$B$119,Results!$D$23:$D$119)</f>
        <v/>
      </c>
      <c r="D1912" s="2" t="n">
        <v>9</v>
      </c>
      <c r="E1912" s="2" t="inlineStr">
        <is>
          <t>CHO</t>
        </is>
      </c>
      <c r="F1912" s="2" t="n">
        <v>2.274</v>
      </c>
      <c r="G1912" s="2" t="n">
        <v>0.000914</v>
      </c>
    </row>
    <row r="1913">
      <c r="A1913" s="1" t="inlineStr">
        <is>
          <t>D12</t>
        </is>
      </c>
      <c r="B1913" s="1" t="n">
        <v>48</v>
      </c>
      <c r="C1913" s="2">
        <f>_xlfn.XLOOKUP(B1913,Results!$B$23:$B$119,Results!$D$23:$D$119)</f>
        <v/>
      </c>
      <c r="D1913" s="1" t="n">
        <v>10</v>
      </c>
      <c r="E1913" s="1" t="inlineStr">
        <is>
          <t>CHO</t>
        </is>
      </c>
      <c r="F1913" s="1" t="n">
        <v>2.2788</v>
      </c>
      <c r="G1913" s="1" t="n">
        <v>0.00122</v>
      </c>
    </row>
    <row r="1914">
      <c r="A1914" s="2" t="inlineStr">
        <is>
          <t>D12</t>
        </is>
      </c>
      <c r="B1914" s="2" t="n">
        <v>48</v>
      </c>
      <c r="C1914" s="2">
        <f>_xlfn.XLOOKUP(B1914,Results!$B$23:$B$119,Results!$D$23:$D$119)</f>
        <v/>
      </c>
      <c r="D1914" s="2" t="n">
        <v>11</v>
      </c>
      <c r="E1914" s="2" t="inlineStr">
        <is>
          <t>CHO</t>
        </is>
      </c>
      <c r="F1914" s="2" t="n">
        <v>2.2786</v>
      </c>
      <c r="G1914" s="2" t="n">
        <v>-0.003353</v>
      </c>
    </row>
    <row r="1915">
      <c r="A1915" s="1" t="inlineStr">
        <is>
          <t>D12</t>
        </is>
      </c>
      <c r="B1915" s="1" t="n">
        <v>48</v>
      </c>
      <c r="C1915" s="2">
        <f>_xlfn.XLOOKUP(B1915,Results!$B$23:$B$119,Results!$D$23:$D$119)</f>
        <v/>
      </c>
      <c r="D1915" s="1" t="n">
        <v>12</v>
      </c>
      <c r="E1915" s="1" t="inlineStr">
        <is>
          <t>CHO</t>
        </is>
      </c>
      <c r="F1915" s="1" t="n">
        <v>2.2846</v>
      </c>
      <c r="G1915" s="1" t="n">
        <v>-0.001821</v>
      </c>
    </row>
    <row r="1916">
      <c r="A1916" s="2" t="inlineStr">
        <is>
          <t>D12</t>
        </is>
      </c>
      <c r="B1916" s="2" t="n">
        <v>48</v>
      </c>
      <c r="C1916" s="2">
        <f>_xlfn.XLOOKUP(B1916,Results!$B$23:$B$119,Results!$D$23:$D$119)</f>
        <v/>
      </c>
      <c r="D1916" s="2" t="n">
        <v>13</v>
      </c>
      <c r="E1916" s="2" t="inlineStr">
        <is>
          <t>CHO</t>
        </is>
      </c>
      <c r="F1916" s="2" t="n">
        <v>2.2917</v>
      </c>
      <c r="G1916" s="2" t="n">
        <v>0.000801</v>
      </c>
    </row>
    <row r="1917">
      <c r="A1917" s="1" t="inlineStr">
        <is>
          <t>D12</t>
        </is>
      </c>
      <c r="B1917" s="1" t="n">
        <v>48</v>
      </c>
      <c r="C1917" s="2">
        <f>_xlfn.XLOOKUP(B1917,Results!$B$23:$B$119,Results!$D$23:$D$119)</f>
        <v/>
      </c>
      <c r="D1917" s="1" t="n">
        <v>14</v>
      </c>
      <c r="E1917" s="1" t="inlineStr">
        <is>
          <t>CHO</t>
        </is>
      </c>
      <c r="F1917" s="1" t="n">
        <v>2.2933</v>
      </c>
      <c r="G1917" s="1" t="n">
        <v>-0.00203</v>
      </c>
    </row>
    <row r="1918">
      <c r="A1918" s="2" t="inlineStr">
        <is>
          <t>D12</t>
        </is>
      </c>
      <c r="B1918" s="2" t="n">
        <v>48</v>
      </c>
      <c r="C1918" s="2">
        <f>_xlfn.XLOOKUP(B1918,Results!$B$23:$B$119,Results!$D$23:$D$119)</f>
        <v/>
      </c>
      <c r="D1918" s="2" t="n">
        <v>15</v>
      </c>
      <c r="E1918" s="2" t="inlineStr">
        <is>
          <t>CHO</t>
        </is>
      </c>
      <c r="F1918" s="2" t="n">
        <v>2.2983</v>
      </c>
      <c r="G1918" s="2" t="n">
        <v>-0.001529</v>
      </c>
    </row>
    <row r="1919">
      <c r="A1919" s="1" t="inlineStr">
        <is>
          <t>D12</t>
        </is>
      </c>
      <c r="B1919" s="1" t="n">
        <v>48</v>
      </c>
      <c r="C1919" s="2">
        <f>_xlfn.XLOOKUP(B1919,Results!$B$23:$B$119,Results!$D$23:$D$119)</f>
        <v/>
      </c>
      <c r="D1919" s="1" t="n">
        <v>16</v>
      </c>
      <c r="E1919" s="1" t="inlineStr">
        <is>
          <t>CHO</t>
        </is>
      </c>
      <c r="F1919" s="1" t="n">
        <v>2.3041</v>
      </c>
      <c r="G1919" s="1" t="n">
        <v>-0.000179</v>
      </c>
    </row>
    <row r="1920">
      <c r="A1920" s="2" t="inlineStr">
        <is>
          <t>D12</t>
        </is>
      </c>
      <c r="B1920" s="2" t="n">
        <v>48</v>
      </c>
      <c r="C1920" s="2">
        <f>_xlfn.XLOOKUP(B1920,Results!$B$23:$B$119,Results!$D$23:$D$119)</f>
        <v/>
      </c>
      <c r="D1920" s="2" t="n">
        <v>17</v>
      </c>
      <c r="E1920" s="2" t="inlineStr">
        <is>
          <t>CHO</t>
        </is>
      </c>
      <c r="F1920" s="2" t="n">
        <v>2.3096</v>
      </c>
      <c r="G1920" s="2" t="n">
        <v>0.000884</v>
      </c>
    </row>
    <row r="1921">
      <c r="A1921" s="1" t="inlineStr">
        <is>
          <t>D12</t>
        </is>
      </c>
      <c r="B1921" s="1" t="n">
        <v>48</v>
      </c>
      <c r="C1921" s="2">
        <f>_xlfn.XLOOKUP(B1921,Results!$B$23:$B$119,Results!$D$23:$D$119)</f>
        <v/>
      </c>
      <c r="D1921" s="1" t="n">
        <v>18</v>
      </c>
      <c r="E1921" s="1" t="inlineStr">
        <is>
          <t>CHO</t>
        </is>
      </c>
      <c r="F1921" s="1" t="n">
        <v>2.3155</v>
      </c>
      <c r="G1921" s="1" t="n">
        <v>0.002331</v>
      </c>
    </row>
    <row r="1922">
      <c r="A1922" s="2" t="inlineStr">
        <is>
          <t>D12</t>
        </is>
      </c>
      <c r="B1922" s="2" t="n">
        <v>48</v>
      </c>
      <c r="C1922" s="2">
        <f>_xlfn.XLOOKUP(B1922,Results!$B$23:$B$119,Results!$D$23:$D$119)</f>
        <v/>
      </c>
      <c r="D1922" s="2" t="n">
        <v>19</v>
      </c>
      <c r="E1922" s="2" t="inlineStr">
        <is>
          <t>CHO</t>
        </is>
      </c>
      <c r="F1922" s="2" t="n">
        <v>2.3236</v>
      </c>
      <c r="G1922" s="2" t="n">
        <v>0.005941</v>
      </c>
    </row>
    <row r="1923">
      <c r="A1923" s="1" t="inlineStr">
        <is>
          <t>D12</t>
        </is>
      </c>
      <c r="B1923" s="1" t="n">
        <v>48</v>
      </c>
      <c r="C1923" s="2">
        <f>_xlfn.XLOOKUP(B1923,Results!$B$23:$B$119,Results!$D$23:$D$119)</f>
        <v/>
      </c>
      <c r="D1923" s="1" t="n">
        <v>20</v>
      </c>
      <c r="E1923" s="1" t="inlineStr">
        <is>
          <t>CHO</t>
        </is>
      </c>
      <c r="F1923" s="1" t="n">
        <v>2.3422</v>
      </c>
      <c r="G1923" s="1" t="n">
        <v>0.020071</v>
      </c>
    </row>
    <row r="1924">
      <c r="A1924" s="2" t="inlineStr">
        <is>
          <t>D12</t>
        </is>
      </c>
      <c r="B1924" s="2" t="n">
        <v>48</v>
      </c>
      <c r="C1924" s="2">
        <f>_xlfn.XLOOKUP(B1924,Results!$B$23:$B$119,Results!$D$23:$D$119)</f>
        <v/>
      </c>
      <c r="D1924" s="2" t="n">
        <v>21</v>
      </c>
      <c r="E1924" s="2" t="inlineStr">
        <is>
          <t>CHO</t>
        </is>
      </c>
      <c r="F1924" s="2" t="n">
        <v>2.3768</v>
      </c>
      <c r="G1924" s="2" t="n">
        <v>0.050243</v>
      </c>
    </row>
    <row r="1925">
      <c r="A1925" s="1" t="inlineStr">
        <is>
          <t>D12</t>
        </is>
      </c>
      <c r="B1925" s="1" t="n">
        <v>48</v>
      </c>
      <c r="C1925" s="2">
        <f>_xlfn.XLOOKUP(B1925,Results!$B$23:$B$119,Results!$D$23:$D$119)</f>
        <v/>
      </c>
      <c r="D1925" s="1" t="n">
        <v>22</v>
      </c>
      <c r="E1925" s="1" t="inlineStr">
        <is>
          <t>CHO</t>
        </is>
      </c>
      <c r="F1925" s="1" t="n">
        <v>2.4306</v>
      </c>
      <c r="G1925" s="1" t="n">
        <v>0.09964199999999999</v>
      </c>
    </row>
    <row r="1926">
      <c r="A1926" s="2" t="inlineStr">
        <is>
          <t>D12</t>
        </is>
      </c>
      <c r="B1926" s="2" t="n">
        <v>48</v>
      </c>
      <c r="C1926" s="2">
        <f>_xlfn.XLOOKUP(B1926,Results!$B$23:$B$119,Results!$D$23:$D$119)</f>
        <v/>
      </c>
      <c r="D1926" s="2" t="n">
        <v>23</v>
      </c>
      <c r="E1926" s="2" t="inlineStr">
        <is>
          <t>CHO</t>
        </is>
      </c>
      <c r="F1926" s="2" t="n">
        <v>2.5272</v>
      </c>
      <c r="G1926" s="2" t="n">
        <v>0.191758</v>
      </c>
    </row>
    <row r="1927">
      <c r="A1927" s="1" t="inlineStr">
        <is>
          <t>D12</t>
        </is>
      </c>
      <c r="B1927" s="1" t="n">
        <v>48</v>
      </c>
      <c r="C1927" s="2">
        <f>_xlfn.XLOOKUP(B1927,Results!$B$23:$B$119,Results!$D$23:$D$119)</f>
        <v/>
      </c>
      <c r="D1927" s="1" t="n">
        <v>24</v>
      </c>
      <c r="E1927" s="1" t="inlineStr">
        <is>
          <t>CHO</t>
        </is>
      </c>
      <c r="F1927" s="1" t="n">
        <v>2.6974</v>
      </c>
      <c r="G1927" s="1" t="n">
        <v>0.357505</v>
      </c>
    </row>
    <row r="1928">
      <c r="A1928" s="2" t="inlineStr">
        <is>
          <t>D12</t>
        </is>
      </c>
      <c r="B1928" s="2" t="n">
        <v>48</v>
      </c>
      <c r="C1928" s="2">
        <f>_xlfn.XLOOKUP(B1928,Results!$B$23:$B$119,Results!$D$23:$D$119)</f>
        <v/>
      </c>
      <c r="D1928" s="2" t="n">
        <v>25</v>
      </c>
      <c r="E1928" s="2" t="inlineStr">
        <is>
          <t>CHO</t>
        </is>
      </c>
      <c r="F1928" s="2" t="n">
        <v>2.9586</v>
      </c>
      <c r="G1928" s="2" t="n">
        <v>0.614266</v>
      </c>
    </row>
    <row r="1929">
      <c r="A1929" s="1" t="inlineStr">
        <is>
          <t>D12</t>
        </is>
      </c>
      <c r="B1929" s="1" t="n">
        <v>48</v>
      </c>
      <c r="C1929" s="2">
        <f>_xlfn.XLOOKUP(B1929,Results!$B$23:$B$119,Results!$D$23:$D$119)</f>
        <v/>
      </c>
      <c r="D1929" s="1" t="n">
        <v>26</v>
      </c>
      <c r="E1929" s="1" t="inlineStr">
        <is>
          <t>CHO</t>
        </is>
      </c>
      <c r="F1929" s="1" t="n">
        <v>3.3081</v>
      </c>
      <c r="G1929" s="1" t="n">
        <v>0.959267</v>
      </c>
    </row>
    <row r="1930">
      <c r="A1930" s="2" t="inlineStr">
        <is>
          <t>D12</t>
        </is>
      </c>
      <c r="B1930" s="2" t="n">
        <v>48</v>
      </c>
      <c r="C1930" s="2">
        <f>_xlfn.XLOOKUP(B1930,Results!$B$23:$B$119,Results!$D$23:$D$119)</f>
        <v/>
      </c>
      <c r="D1930" s="2" t="n">
        <v>27</v>
      </c>
      <c r="E1930" s="2" t="inlineStr">
        <is>
          <t>CHO</t>
        </is>
      </c>
      <c r="F1930" s="2" t="n">
        <v>3.7126</v>
      </c>
      <c r="G1930" s="2" t="n">
        <v>1.359316</v>
      </c>
    </row>
    <row r="1931">
      <c r="A1931" s="1" t="inlineStr">
        <is>
          <t>D12</t>
        </is>
      </c>
      <c r="B1931" s="1" t="n">
        <v>48</v>
      </c>
      <c r="C1931" s="2">
        <f>_xlfn.XLOOKUP(B1931,Results!$B$23:$B$119,Results!$D$23:$D$119)</f>
        <v/>
      </c>
      <c r="D1931" s="1" t="n">
        <v>28</v>
      </c>
      <c r="E1931" s="1" t="inlineStr">
        <is>
          <t>CHO</t>
        </is>
      </c>
      <c r="F1931" s="1" t="n">
        <v>4.1393</v>
      </c>
      <c r="G1931" s="1" t="n">
        <v>1.78158</v>
      </c>
    </row>
    <row r="1932">
      <c r="A1932" s="2" t="inlineStr">
        <is>
          <t>D12</t>
        </is>
      </c>
      <c r="B1932" s="2" t="n">
        <v>48</v>
      </c>
      <c r="C1932" s="2">
        <f>_xlfn.XLOOKUP(B1932,Results!$B$23:$B$119,Results!$D$23:$D$119)</f>
        <v/>
      </c>
      <c r="D1932" s="2" t="n">
        <v>29</v>
      </c>
      <c r="E1932" s="2" t="inlineStr">
        <is>
          <t>CHO</t>
        </is>
      </c>
      <c r="F1932" s="2" t="n">
        <v>4.5459</v>
      </c>
      <c r="G1932" s="2" t="n">
        <v>2.183674</v>
      </c>
    </row>
    <row r="1933">
      <c r="A1933" s="1" t="inlineStr">
        <is>
          <t>D12</t>
        </is>
      </c>
      <c r="B1933" s="1" t="n">
        <v>48</v>
      </c>
      <c r="C1933" s="2">
        <f>_xlfn.XLOOKUP(B1933,Results!$B$23:$B$119,Results!$D$23:$D$119)</f>
        <v/>
      </c>
      <c r="D1933" s="1" t="n">
        <v>30</v>
      </c>
      <c r="E1933" s="1" t="inlineStr">
        <is>
          <t>CHO</t>
        </is>
      </c>
      <c r="F1933" s="1" t="n">
        <v>4.912</v>
      </c>
      <c r="G1933" s="1" t="n">
        <v>2.545365</v>
      </c>
    </row>
    <row r="1934">
      <c r="A1934" s="2" t="inlineStr">
        <is>
          <t>D12</t>
        </is>
      </c>
      <c r="B1934" s="2" t="n">
        <v>48</v>
      </c>
      <c r="C1934" s="2">
        <f>_xlfn.XLOOKUP(B1934,Results!$B$23:$B$119,Results!$D$23:$D$119)</f>
        <v/>
      </c>
      <c r="D1934" s="2" t="n">
        <v>31</v>
      </c>
      <c r="E1934" s="2" t="inlineStr">
        <is>
          <t>CHO</t>
        </is>
      </c>
      <c r="F1934" s="2" t="n">
        <v>5.2287</v>
      </c>
      <c r="G1934" s="2" t="n">
        <v>2.857642</v>
      </c>
    </row>
    <row r="1935">
      <c r="A1935" s="1" t="inlineStr">
        <is>
          <t>D12</t>
        </is>
      </c>
      <c r="B1935" s="1" t="n">
        <v>48</v>
      </c>
      <c r="C1935" s="2">
        <f>_xlfn.XLOOKUP(B1935,Results!$B$23:$B$119,Results!$D$23:$D$119)</f>
        <v/>
      </c>
      <c r="D1935" s="1" t="n">
        <v>32</v>
      </c>
      <c r="E1935" s="1" t="inlineStr">
        <is>
          <t>CHO</t>
        </is>
      </c>
      <c r="F1935" s="1" t="n">
        <v>5.5217</v>
      </c>
      <c r="G1935" s="1" t="n">
        <v>3.146169</v>
      </c>
    </row>
    <row r="1936">
      <c r="A1936" s="2" t="inlineStr">
        <is>
          <t>D12</t>
        </is>
      </c>
      <c r="B1936" s="2" t="n">
        <v>48</v>
      </c>
      <c r="C1936" s="2">
        <f>_xlfn.XLOOKUP(B1936,Results!$B$23:$B$119,Results!$D$23:$D$119)</f>
        <v/>
      </c>
      <c r="D1936" s="2" t="n">
        <v>33</v>
      </c>
      <c r="E1936" s="2" t="inlineStr">
        <is>
          <t>CHO</t>
        </is>
      </c>
      <c r="F1936" s="2" t="n">
        <v>5.7834</v>
      </c>
      <c r="G1936" s="2" t="n">
        <v>3.403383</v>
      </c>
    </row>
    <row r="1937">
      <c r="A1937" s="1" t="inlineStr">
        <is>
          <t>D12</t>
        </is>
      </c>
      <c r="B1937" s="1" t="n">
        <v>48</v>
      </c>
      <c r="C1937" s="2">
        <f>_xlfn.XLOOKUP(B1937,Results!$B$23:$B$119,Results!$D$23:$D$119)</f>
        <v/>
      </c>
      <c r="D1937" s="1" t="n">
        <v>34</v>
      </c>
      <c r="E1937" s="1" t="inlineStr">
        <is>
          <t>CHO</t>
        </is>
      </c>
      <c r="F1937" s="1" t="n">
        <v>6.0053</v>
      </c>
      <c r="G1937" s="1" t="n">
        <v>3.620896</v>
      </c>
    </row>
    <row r="1938">
      <c r="A1938" s="2" t="inlineStr">
        <is>
          <t>D12</t>
        </is>
      </c>
      <c r="B1938" s="2" t="n">
        <v>48</v>
      </c>
      <c r="C1938" s="2">
        <f>_xlfn.XLOOKUP(B1938,Results!$B$23:$B$119,Results!$D$23:$D$119)</f>
        <v/>
      </c>
      <c r="D1938" s="2" t="n">
        <v>35</v>
      </c>
      <c r="E1938" s="2" t="inlineStr">
        <is>
          <t>CHO</t>
        </is>
      </c>
      <c r="F1938" s="2" t="n">
        <v>6.2019</v>
      </c>
      <c r="G1938" s="2" t="n">
        <v>3.812983</v>
      </c>
    </row>
    <row r="1939">
      <c r="A1939" s="1" t="inlineStr">
        <is>
          <t>D12</t>
        </is>
      </c>
      <c r="B1939" s="1" t="n">
        <v>48</v>
      </c>
      <c r="C1939" s="2">
        <f>_xlfn.XLOOKUP(B1939,Results!$B$23:$B$119,Results!$D$23:$D$119)</f>
        <v/>
      </c>
      <c r="D1939" s="1" t="n">
        <v>36</v>
      </c>
      <c r="E1939" s="1" t="inlineStr">
        <is>
          <t>CHO</t>
        </is>
      </c>
      <c r="F1939" s="1" t="n">
        <v>6.3606</v>
      </c>
      <c r="G1939" s="1" t="n">
        <v>3.967242</v>
      </c>
    </row>
    <row r="1940">
      <c r="A1940" s="2" t="inlineStr">
        <is>
          <t>D12</t>
        </is>
      </c>
      <c r="B1940" s="2" t="n">
        <v>48</v>
      </c>
      <c r="C1940" s="2">
        <f>_xlfn.XLOOKUP(B1940,Results!$B$23:$B$119,Results!$D$23:$D$119)</f>
        <v/>
      </c>
      <c r="D1940" s="2" t="n">
        <v>37</v>
      </c>
      <c r="E1940" s="2" t="inlineStr">
        <is>
          <t>CHO</t>
        </is>
      </c>
      <c r="F1940" s="2" t="n">
        <v>6.5032</v>
      </c>
      <c r="G1940" s="2" t="n">
        <v>4.105434</v>
      </c>
    </row>
    <row r="1941">
      <c r="A1941" s="1" t="inlineStr">
        <is>
          <t>D12</t>
        </is>
      </c>
      <c r="B1941" s="1" t="n">
        <v>48</v>
      </c>
      <c r="C1941" s="2">
        <f>_xlfn.XLOOKUP(B1941,Results!$B$23:$B$119,Results!$D$23:$D$119)</f>
        <v/>
      </c>
      <c r="D1941" s="1" t="n">
        <v>38</v>
      </c>
      <c r="E1941" s="1" t="inlineStr">
        <is>
          <t>CHO</t>
        </is>
      </c>
      <c r="F1941" s="1" t="n">
        <v>6.6226</v>
      </c>
      <c r="G1941" s="1" t="n">
        <v>4.22038</v>
      </c>
    </row>
    <row r="1942">
      <c r="A1942" s="2" t="inlineStr">
        <is>
          <t>D12</t>
        </is>
      </c>
      <c r="B1942" s="2" t="n">
        <v>48</v>
      </c>
      <c r="C1942" s="2">
        <f>_xlfn.XLOOKUP(B1942,Results!$B$23:$B$119,Results!$D$23:$D$119)</f>
        <v/>
      </c>
      <c r="D1942" s="2" t="n">
        <v>39</v>
      </c>
      <c r="E1942" s="2" t="inlineStr">
        <is>
          <t>CHO</t>
        </is>
      </c>
      <c r="F1942" s="2" t="n">
        <v>6.7269</v>
      </c>
      <c r="G1942" s="2" t="n">
        <v>4.320185</v>
      </c>
    </row>
    <row r="1943">
      <c r="A1943" s="1" t="inlineStr">
        <is>
          <t>D12</t>
        </is>
      </c>
      <c r="B1943" s="1" t="n">
        <v>48</v>
      </c>
      <c r="C1943" s="2">
        <f>_xlfn.XLOOKUP(B1943,Results!$B$23:$B$119,Results!$D$23:$D$119)</f>
        <v/>
      </c>
      <c r="D1943" s="1" t="n">
        <v>40</v>
      </c>
      <c r="E1943" s="1" t="inlineStr">
        <is>
          <t>CHO</t>
        </is>
      </c>
      <c r="F1943" s="1" t="n">
        <v>6.8143</v>
      </c>
      <c r="G1943" s="1" t="n">
        <v>4.403156</v>
      </c>
    </row>
    <row r="1944">
      <c r="A1944" s="2" t="inlineStr">
        <is>
          <t>E1</t>
        </is>
      </c>
      <c r="B1944" s="2" t="n">
        <v>49</v>
      </c>
      <c r="C1944" s="2">
        <f>_xlfn.XLOOKUP(B1944,Results!$B$23:$B$119,Results!$D$23:$D$119)</f>
        <v/>
      </c>
      <c r="D1944" s="2" t="n">
        <v>1</v>
      </c>
      <c r="E1944" s="2" t="inlineStr">
        <is>
          <t>CHO</t>
        </is>
      </c>
      <c r="F1944" s="2" t="n">
        <v>2.2378</v>
      </c>
      <c r="G1944" s="2" t="n">
        <v>0.003702</v>
      </c>
    </row>
    <row r="1945">
      <c r="A1945" s="1" t="inlineStr">
        <is>
          <t>E1</t>
        </is>
      </c>
      <c r="B1945" s="1" t="n">
        <v>49</v>
      </c>
      <c r="C1945" s="2">
        <f>_xlfn.XLOOKUP(B1945,Results!$B$23:$B$119,Results!$D$23:$D$119)</f>
        <v/>
      </c>
      <c r="D1945" s="1" t="n">
        <v>2</v>
      </c>
      <c r="E1945" s="1" t="inlineStr">
        <is>
          <t>CHO</t>
        </is>
      </c>
      <c r="F1945" s="1" t="n">
        <v>2.2429</v>
      </c>
      <c r="G1945" s="1" t="n">
        <v>0.002986</v>
      </c>
    </row>
    <row r="1946">
      <c r="A1946" s="2" t="inlineStr">
        <is>
          <t>E1</t>
        </is>
      </c>
      <c r="B1946" s="2" t="n">
        <v>49</v>
      </c>
      <c r="C1946" s="2">
        <f>_xlfn.XLOOKUP(B1946,Results!$B$23:$B$119,Results!$D$23:$D$119)</f>
        <v/>
      </c>
      <c r="D1946" s="2" t="n">
        <v>3</v>
      </c>
      <c r="E1946" s="2" t="inlineStr">
        <is>
          <t>CHO</t>
        </is>
      </c>
      <c r="F1946" s="2" t="n">
        <v>2.2488</v>
      </c>
      <c r="G1946" s="2" t="n">
        <v>0.00314</v>
      </c>
    </row>
    <row r="1947">
      <c r="A1947" s="1" t="inlineStr">
        <is>
          <t>E1</t>
        </is>
      </c>
      <c r="B1947" s="1" t="n">
        <v>49</v>
      </c>
      <c r="C1947" s="2">
        <f>_xlfn.XLOOKUP(B1947,Results!$B$23:$B$119,Results!$D$23:$D$119)</f>
        <v/>
      </c>
      <c r="D1947" s="1" t="n">
        <v>4</v>
      </c>
      <c r="E1947" s="1" t="inlineStr">
        <is>
          <t>CHO</t>
        </is>
      </c>
      <c r="F1947" s="1" t="n">
        <v>2.2524</v>
      </c>
      <c r="G1947" s="1" t="n">
        <v>0.000961</v>
      </c>
    </row>
    <row r="1948">
      <c r="A1948" s="2" t="inlineStr">
        <is>
          <t>E1</t>
        </is>
      </c>
      <c r="B1948" s="2" t="n">
        <v>49</v>
      </c>
      <c r="C1948" s="2">
        <f>_xlfn.XLOOKUP(B1948,Results!$B$23:$B$119,Results!$D$23:$D$119)</f>
        <v/>
      </c>
      <c r="D1948" s="2" t="n">
        <v>5</v>
      </c>
      <c r="E1948" s="2" t="inlineStr">
        <is>
          <t>CHO</t>
        </is>
      </c>
      <c r="F1948" s="2" t="n">
        <v>2.2549</v>
      </c>
      <c r="G1948" s="2" t="n">
        <v>-0.002275</v>
      </c>
    </row>
    <row r="1949">
      <c r="A1949" s="1" t="inlineStr">
        <is>
          <t>E1</t>
        </is>
      </c>
      <c r="B1949" s="1" t="n">
        <v>49</v>
      </c>
      <c r="C1949" s="2">
        <f>_xlfn.XLOOKUP(B1949,Results!$B$23:$B$119,Results!$D$23:$D$119)</f>
        <v/>
      </c>
      <c r="D1949" s="1" t="n">
        <v>6</v>
      </c>
      <c r="E1949" s="1" t="inlineStr">
        <is>
          <t>CHO</t>
        </is>
      </c>
      <c r="F1949" s="1" t="n">
        <v>2.2589</v>
      </c>
      <c r="G1949" s="1" t="n">
        <v>-0.004089</v>
      </c>
    </row>
    <row r="1950">
      <c r="A1950" s="2" t="inlineStr">
        <is>
          <t>E1</t>
        </is>
      </c>
      <c r="B1950" s="2" t="n">
        <v>49</v>
      </c>
      <c r="C1950" s="2">
        <f>_xlfn.XLOOKUP(B1950,Results!$B$23:$B$119,Results!$D$23:$D$119)</f>
        <v/>
      </c>
      <c r="D1950" s="2" t="n">
        <v>7</v>
      </c>
      <c r="E1950" s="2" t="inlineStr">
        <is>
          <t>CHO</t>
        </is>
      </c>
      <c r="F1950" s="2" t="n">
        <v>2.2669</v>
      </c>
      <c r="G1950" s="2" t="n">
        <v>-0.001881</v>
      </c>
    </row>
    <row r="1951">
      <c r="A1951" s="1" t="inlineStr">
        <is>
          <t>E1</t>
        </is>
      </c>
      <c r="B1951" s="1" t="n">
        <v>49</v>
      </c>
      <c r="C1951" s="2">
        <f>_xlfn.XLOOKUP(B1951,Results!$B$23:$B$119,Results!$D$23:$D$119)</f>
        <v/>
      </c>
      <c r="D1951" s="1" t="n">
        <v>8</v>
      </c>
      <c r="E1951" s="1" t="inlineStr">
        <is>
          <t>CHO</t>
        </is>
      </c>
      <c r="F1951" s="1" t="n">
        <v>2.276</v>
      </c>
      <c r="G1951" s="1" t="n">
        <v>0.001481</v>
      </c>
    </row>
    <row r="1952">
      <c r="A1952" s="2" t="inlineStr">
        <is>
          <t>E1</t>
        </is>
      </c>
      <c r="B1952" s="2" t="n">
        <v>49</v>
      </c>
      <c r="C1952" s="2">
        <f>_xlfn.XLOOKUP(B1952,Results!$B$23:$B$119,Results!$D$23:$D$119)</f>
        <v/>
      </c>
      <c r="D1952" s="2" t="n">
        <v>9</v>
      </c>
      <c r="E1952" s="2" t="inlineStr">
        <is>
          <t>CHO</t>
        </is>
      </c>
      <c r="F1952" s="2" t="n">
        <v>2.283</v>
      </c>
      <c r="G1952" s="2" t="n">
        <v>0.002663</v>
      </c>
    </row>
    <row r="1953">
      <c r="A1953" s="1" t="inlineStr">
        <is>
          <t>E1</t>
        </is>
      </c>
      <c r="B1953" s="1" t="n">
        <v>49</v>
      </c>
      <c r="C1953" s="2">
        <f>_xlfn.XLOOKUP(B1953,Results!$B$23:$B$119,Results!$D$23:$D$119)</f>
        <v/>
      </c>
      <c r="D1953" s="1" t="n">
        <v>10</v>
      </c>
      <c r="E1953" s="1" t="inlineStr">
        <is>
          <t>CHO</t>
        </is>
      </c>
      <c r="F1953" s="1" t="n">
        <v>2.2957</v>
      </c>
      <c r="G1953" s="1" t="n">
        <v>0.009637</v>
      </c>
    </row>
    <row r="1954">
      <c r="A1954" s="2" t="inlineStr">
        <is>
          <t>E1</t>
        </is>
      </c>
      <c r="B1954" s="2" t="n">
        <v>49</v>
      </c>
      <c r="C1954" s="2">
        <f>_xlfn.XLOOKUP(B1954,Results!$B$23:$B$119,Results!$D$23:$D$119)</f>
        <v/>
      </c>
      <c r="D1954" s="2" t="n">
        <v>11</v>
      </c>
      <c r="E1954" s="2" t="inlineStr">
        <is>
          <t>CHO</t>
        </is>
      </c>
      <c r="F1954" s="2" t="n">
        <v>2.3188</v>
      </c>
      <c r="G1954" s="2" t="n">
        <v>0.026914</v>
      </c>
    </row>
    <row r="1955">
      <c r="A1955" s="1" t="inlineStr">
        <is>
          <t>E1</t>
        </is>
      </c>
      <c r="B1955" s="1" t="n">
        <v>49</v>
      </c>
      <c r="C1955" s="2">
        <f>_xlfn.XLOOKUP(B1955,Results!$B$23:$B$119,Results!$D$23:$D$119)</f>
        <v/>
      </c>
      <c r="D1955" s="1" t="n">
        <v>12</v>
      </c>
      <c r="E1955" s="1" t="inlineStr">
        <is>
          <t>CHO</t>
        </is>
      </c>
      <c r="F1955" s="1" t="n">
        <v>2.3604</v>
      </c>
      <c r="G1955" s="1" t="n">
        <v>0.062778</v>
      </c>
    </row>
    <row r="1956">
      <c r="A1956" s="2" t="inlineStr">
        <is>
          <t>E1</t>
        </is>
      </c>
      <c r="B1956" s="2" t="n">
        <v>49</v>
      </c>
      <c r="C1956" s="2">
        <f>_xlfn.XLOOKUP(B1956,Results!$B$23:$B$119,Results!$D$23:$D$119)</f>
        <v/>
      </c>
      <c r="D1956" s="2" t="n">
        <v>13</v>
      </c>
      <c r="E1956" s="2" t="inlineStr">
        <is>
          <t>CHO</t>
        </is>
      </c>
      <c r="F1956" s="2" t="n">
        <v>2.4296</v>
      </c>
      <c r="G1956" s="2" t="n">
        <v>0.1262</v>
      </c>
    </row>
    <row r="1957">
      <c r="A1957" s="1" t="inlineStr">
        <is>
          <t>E1</t>
        </is>
      </c>
      <c r="B1957" s="1" t="n">
        <v>49</v>
      </c>
      <c r="C1957" s="2">
        <f>_xlfn.XLOOKUP(B1957,Results!$B$23:$B$119,Results!$D$23:$D$119)</f>
        <v/>
      </c>
      <c r="D1957" s="1" t="n">
        <v>14</v>
      </c>
      <c r="E1957" s="1" t="inlineStr">
        <is>
          <t>CHO</t>
        </is>
      </c>
      <c r="F1957" s="1" t="n">
        <v>2.5561</v>
      </c>
      <c r="G1957" s="1" t="n">
        <v>0.246942</v>
      </c>
    </row>
    <row r="1958">
      <c r="A1958" s="2" t="inlineStr">
        <is>
          <t>E1</t>
        </is>
      </c>
      <c r="B1958" s="2" t="n">
        <v>49</v>
      </c>
      <c r="C1958" s="2">
        <f>_xlfn.XLOOKUP(B1958,Results!$B$23:$B$119,Results!$D$23:$D$119)</f>
        <v/>
      </c>
      <c r="D1958" s="2" t="n">
        <v>15</v>
      </c>
      <c r="E1958" s="2" t="inlineStr">
        <is>
          <t>CHO</t>
        </is>
      </c>
      <c r="F1958" s="2" t="n">
        <v>2.7694</v>
      </c>
      <c r="G1958" s="2" t="n">
        <v>0.45448</v>
      </c>
    </row>
    <row r="1959">
      <c r="A1959" s="1" t="inlineStr">
        <is>
          <t>E1</t>
        </is>
      </c>
      <c r="B1959" s="1" t="n">
        <v>49</v>
      </c>
      <c r="C1959" s="2">
        <f>_xlfn.XLOOKUP(B1959,Results!$B$23:$B$119,Results!$D$23:$D$119)</f>
        <v/>
      </c>
      <c r="D1959" s="1" t="n">
        <v>16</v>
      </c>
      <c r="E1959" s="1" t="inlineStr">
        <is>
          <t>CHO</t>
        </is>
      </c>
      <c r="F1959" s="1" t="n">
        <v>3.0805</v>
      </c>
      <c r="G1959" s="1" t="n">
        <v>0.7598240000000001</v>
      </c>
    </row>
    <row r="1960">
      <c r="A1960" s="2" t="inlineStr">
        <is>
          <t>E1</t>
        </is>
      </c>
      <c r="B1960" s="2" t="n">
        <v>49</v>
      </c>
      <c r="C1960" s="2">
        <f>_xlfn.XLOOKUP(B1960,Results!$B$23:$B$119,Results!$D$23:$D$119)</f>
        <v/>
      </c>
      <c r="D1960" s="2" t="n">
        <v>17</v>
      </c>
      <c r="E1960" s="2" t="inlineStr">
        <is>
          <t>CHO</t>
        </is>
      </c>
      <c r="F1960" s="2" t="n">
        <v>3.4779</v>
      </c>
      <c r="G1960" s="2" t="n">
        <v>1.151374</v>
      </c>
    </row>
    <row r="1961">
      <c r="A1961" s="1" t="inlineStr">
        <is>
          <t>E1</t>
        </is>
      </c>
      <c r="B1961" s="1" t="n">
        <v>49</v>
      </c>
      <c r="C1961" s="2">
        <f>_xlfn.XLOOKUP(B1961,Results!$B$23:$B$119,Results!$D$23:$D$119)</f>
        <v/>
      </c>
      <c r="D1961" s="1" t="n">
        <v>18</v>
      </c>
      <c r="E1961" s="1" t="inlineStr">
        <is>
          <t>CHO</t>
        </is>
      </c>
      <c r="F1961" s="1" t="n">
        <v>3.8997</v>
      </c>
      <c r="G1961" s="1" t="n">
        <v>1.567381</v>
      </c>
    </row>
    <row r="1962">
      <c r="A1962" s="2" t="inlineStr">
        <is>
          <t>E1</t>
        </is>
      </c>
      <c r="B1962" s="2" t="n">
        <v>49</v>
      </c>
      <c r="C1962" s="2">
        <f>_xlfn.XLOOKUP(B1962,Results!$B$23:$B$119,Results!$D$23:$D$119)</f>
        <v/>
      </c>
      <c r="D1962" s="2" t="n">
        <v>19</v>
      </c>
      <c r="E1962" s="2" t="inlineStr">
        <is>
          <t>CHO</t>
        </is>
      </c>
      <c r="F1962" s="2" t="n">
        <v>4.3576</v>
      </c>
      <c r="G1962" s="2" t="n">
        <v>2.019588</v>
      </c>
    </row>
    <row r="1963">
      <c r="A1963" s="1" t="inlineStr">
        <is>
          <t>E1</t>
        </is>
      </c>
      <c r="B1963" s="1" t="n">
        <v>49</v>
      </c>
      <c r="C1963" s="2">
        <f>_xlfn.XLOOKUP(B1963,Results!$B$23:$B$119,Results!$D$23:$D$119)</f>
        <v/>
      </c>
      <c r="D1963" s="1" t="n">
        <v>20</v>
      </c>
      <c r="E1963" s="1" t="inlineStr">
        <is>
          <t>CHO</t>
        </is>
      </c>
      <c r="F1963" s="1" t="n">
        <v>4.73</v>
      </c>
      <c r="G1963" s="1" t="n">
        <v>2.386177</v>
      </c>
    </row>
    <row r="1964">
      <c r="A1964" s="2" t="inlineStr">
        <is>
          <t>E1</t>
        </is>
      </c>
      <c r="B1964" s="2" t="n">
        <v>49</v>
      </c>
      <c r="C1964" s="2">
        <f>_xlfn.XLOOKUP(B1964,Results!$B$23:$B$119,Results!$D$23:$D$119)</f>
        <v/>
      </c>
      <c r="D1964" s="2" t="n">
        <v>21</v>
      </c>
      <c r="E1964" s="2" t="inlineStr">
        <is>
          <t>CHO</t>
        </is>
      </c>
      <c r="F1964" s="2" t="n">
        <v>5.0957</v>
      </c>
      <c r="G1964" s="2" t="n">
        <v>2.74608</v>
      </c>
    </row>
    <row r="1965">
      <c r="A1965" s="1" t="inlineStr">
        <is>
          <t>E1</t>
        </is>
      </c>
      <c r="B1965" s="1" t="n">
        <v>49</v>
      </c>
      <c r="C1965" s="2">
        <f>_xlfn.XLOOKUP(B1965,Results!$B$23:$B$119,Results!$D$23:$D$119)</f>
        <v/>
      </c>
      <c r="D1965" s="1" t="n">
        <v>22</v>
      </c>
      <c r="E1965" s="1" t="inlineStr">
        <is>
          <t>CHO</t>
        </is>
      </c>
      <c r="F1965" s="1" t="n">
        <v>5.439</v>
      </c>
      <c r="G1965" s="1" t="n">
        <v>3.083634</v>
      </c>
    </row>
    <row r="1966">
      <c r="A1966" s="2" t="inlineStr">
        <is>
          <t>E1</t>
        </is>
      </c>
      <c r="B1966" s="2" t="n">
        <v>49</v>
      </c>
      <c r="C1966" s="2">
        <f>_xlfn.XLOOKUP(B1966,Results!$B$23:$B$119,Results!$D$23:$D$119)</f>
        <v/>
      </c>
      <c r="D1966" s="2" t="n">
        <v>23</v>
      </c>
      <c r="E1966" s="2" t="inlineStr">
        <is>
          <t>CHO</t>
        </is>
      </c>
      <c r="F1966" s="2" t="n">
        <v>5.7455</v>
      </c>
      <c r="G1966" s="2" t="n">
        <v>3.384352</v>
      </c>
    </row>
    <row r="1967">
      <c r="A1967" s="1" t="inlineStr">
        <is>
          <t>E1</t>
        </is>
      </c>
      <c r="B1967" s="1" t="n">
        <v>49</v>
      </c>
      <c r="C1967" s="2">
        <f>_xlfn.XLOOKUP(B1967,Results!$B$23:$B$119,Results!$D$23:$D$119)</f>
        <v/>
      </c>
      <c r="D1967" s="1" t="n">
        <v>24</v>
      </c>
      <c r="E1967" s="1" t="inlineStr">
        <is>
          <t>CHO</t>
        </is>
      </c>
      <c r="F1967" s="1" t="n">
        <v>5.9969</v>
      </c>
      <c r="G1967" s="1" t="n">
        <v>3.630011</v>
      </c>
    </row>
    <row r="1968">
      <c r="A1968" s="2" t="inlineStr">
        <is>
          <t>E1</t>
        </is>
      </c>
      <c r="B1968" s="2" t="n">
        <v>49</v>
      </c>
      <c r="C1968" s="2">
        <f>_xlfn.XLOOKUP(B1968,Results!$B$23:$B$119,Results!$D$23:$D$119)</f>
        <v/>
      </c>
      <c r="D1968" s="2" t="n">
        <v>25</v>
      </c>
      <c r="E1968" s="2" t="inlineStr">
        <is>
          <t>CHO</t>
        </is>
      </c>
      <c r="F1968" s="2" t="n">
        <v>6.2176</v>
      </c>
      <c r="G1968" s="2" t="n">
        <v>3.84489</v>
      </c>
    </row>
    <row r="1969">
      <c r="A1969" s="1" t="inlineStr">
        <is>
          <t>E1</t>
        </is>
      </c>
      <c r="B1969" s="1" t="n">
        <v>49</v>
      </c>
      <c r="C1969" s="2">
        <f>_xlfn.XLOOKUP(B1969,Results!$B$23:$B$119,Results!$D$23:$D$119)</f>
        <v/>
      </c>
      <c r="D1969" s="1" t="n">
        <v>26</v>
      </c>
      <c r="E1969" s="1" t="inlineStr">
        <is>
          <t>CHO</t>
        </is>
      </c>
      <c r="F1969" s="1" t="n">
        <v>6.4124</v>
      </c>
      <c r="G1969" s="1" t="n">
        <v>4.033953</v>
      </c>
    </row>
    <row r="1970">
      <c r="A1970" s="2" t="inlineStr">
        <is>
          <t>E1</t>
        </is>
      </c>
      <c r="B1970" s="2" t="n">
        <v>49</v>
      </c>
      <c r="C1970" s="2">
        <f>_xlfn.XLOOKUP(B1970,Results!$B$23:$B$119,Results!$D$23:$D$119)</f>
        <v/>
      </c>
      <c r="D1970" s="2" t="n">
        <v>27</v>
      </c>
      <c r="E1970" s="2" t="inlineStr">
        <is>
          <t>CHO</t>
        </is>
      </c>
      <c r="F1970" s="2" t="n">
        <v>6.5831</v>
      </c>
      <c r="G1970" s="2" t="n">
        <v>4.198843</v>
      </c>
    </row>
    <row r="1971">
      <c r="A1971" s="1" t="inlineStr">
        <is>
          <t>E1</t>
        </is>
      </c>
      <c r="B1971" s="1" t="n">
        <v>49</v>
      </c>
      <c r="C1971" s="2">
        <f>_xlfn.XLOOKUP(B1971,Results!$B$23:$B$119,Results!$D$23:$D$119)</f>
        <v/>
      </c>
      <c r="D1971" s="1" t="n">
        <v>28</v>
      </c>
      <c r="E1971" s="1" t="inlineStr">
        <is>
          <t>CHO</t>
        </is>
      </c>
      <c r="F1971" s="1" t="n">
        <v>6.7244</v>
      </c>
      <c r="G1971" s="1" t="n">
        <v>4.334408</v>
      </c>
    </row>
    <row r="1972">
      <c r="A1972" s="2" t="inlineStr">
        <is>
          <t>E1</t>
        </is>
      </c>
      <c r="B1972" s="2" t="n">
        <v>49</v>
      </c>
      <c r="C1972" s="2">
        <f>_xlfn.XLOOKUP(B1972,Results!$B$23:$B$119,Results!$D$23:$D$119)</f>
        <v/>
      </c>
      <c r="D1972" s="2" t="n">
        <v>29</v>
      </c>
      <c r="E1972" s="2" t="inlineStr">
        <is>
          <t>CHO</t>
        </is>
      </c>
      <c r="F1972" s="2" t="n">
        <v>6.8469</v>
      </c>
      <c r="G1972" s="2" t="n">
        <v>4.451148</v>
      </c>
    </row>
    <row r="1973">
      <c r="A1973" s="1" t="inlineStr">
        <is>
          <t>E1</t>
        </is>
      </c>
      <c r="B1973" s="1" t="n">
        <v>49</v>
      </c>
      <c r="C1973" s="2">
        <f>_xlfn.XLOOKUP(B1973,Results!$B$23:$B$119,Results!$D$23:$D$119)</f>
        <v/>
      </c>
      <c r="D1973" s="1" t="n">
        <v>30</v>
      </c>
      <c r="E1973" s="1" t="inlineStr">
        <is>
          <t>CHO</t>
        </is>
      </c>
      <c r="F1973" s="1" t="n">
        <v>6.9525</v>
      </c>
      <c r="G1973" s="1" t="n">
        <v>4.550936</v>
      </c>
    </row>
    <row r="1974">
      <c r="A1974" s="2" t="inlineStr">
        <is>
          <t>E1</t>
        </is>
      </c>
      <c r="B1974" s="2" t="n">
        <v>49</v>
      </c>
      <c r="C1974" s="2">
        <f>_xlfn.XLOOKUP(B1974,Results!$B$23:$B$119,Results!$D$23:$D$119)</f>
        <v/>
      </c>
      <c r="D1974" s="2" t="n">
        <v>31</v>
      </c>
      <c r="E1974" s="2" t="inlineStr">
        <is>
          <t>CHO</t>
        </is>
      </c>
      <c r="F1974" s="2" t="n">
        <v>7.0606</v>
      </c>
      <c r="G1974" s="2" t="n">
        <v>4.653234</v>
      </c>
    </row>
    <row r="1975">
      <c r="A1975" s="1" t="inlineStr">
        <is>
          <t>E1</t>
        </is>
      </c>
      <c r="B1975" s="1" t="n">
        <v>49</v>
      </c>
      <c r="C1975" s="2">
        <f>_xlfn.XLOOKUP(B1975,Results!$B$23:$B$119,Results!$D$23:$D$119)</f>
        <v/>
      </c>
      <c r="D1975" s="1" t="n">
        <v>32</v>
      </c>
      <c r="E1975" s="1" t="inlineStr">
        <is>
          <t>CHO</t>
        </is>
      </c>
      <c r="F1975" s="1" t="n">
        <v>7.1344</v>
      </c>
      <c r="G1975" s="1" t="n">
        <v>4.721279</v>
      </c>
    </row>
    <row r="1976">
      <c r="A1976" s="2" t="inlineStr">
        <is>
          <t>E1</t>
        </is>
      </c>
      <c r="B1976" s="2" t="n">
        <v>49</v>
      </c>
      <c r="C1976" s="2">
        <f>_xlfn.XLOOKUP(B1976,Results!$B$23:$B$119,Results!$D$23:$D$119)</f>
        <v/>
      </c>
      <c r="D1976" s="2" t="n">
        <v>33</v>
      </c>
      <c r="E1976" s="2" t="inlineStr">
        <is>
          <t>CHO</t>
        </is>
      </c>
      <c r="F1976" s="2" t="n">
        <v>7.2085</v>
      </c>
      <c r="G1976" s="2" t="n">
        <v>4.789602</v>
      </c>
    </row>
    <row r="1977">
      <c r="A1977" s="1" t="inlineStr">
        <is>
          <t>E1</t>
        </is>
      </c>
      <c r="B1977" s="1" t="n">
        <v>49</v>
      </c>
      <c r="C1977" s="2">
        <f>_xlfn.XLOOKUP(B1977,Results!$B$23:$B$119,Results!$D$23:$D$119)</f>
        <v/>
      </c>
      <c r="D1977" s="1" t="n">
        <v>34</v>
      </c>
      <c r="E1977" s="1" t="inlineStr">
        <is>
          <t>CHO</t>
        </is>
      </c>
      <c r="F1977" s="1" t="n">
        <v>7.2827</v>
      </c>
      <c r="G1977" s="1" t="n">
        <v>4.858061</v>
      </c>
    </row>
    <row r="1978">
      <c r="A1978" s="2" t="inlineStr">
        <is>
          <t>E1</t>
        </is>
      </c>
      <c r="B1978" s="2" t="n">
        <v>49</v>
      </c>
      <c r="C1978" s="2">
        <f>_xlfn.XLOOKUP(B1978,Results!$B$23:$B$119,Results!$D$23:$D$119)</f>
        <v/>
      </c>
      <c r="D1978" s="2" t="n">
        <v>35</v>
      </c>
      <c r="E1978" s="2" t="inlineStr">
        <is>
          <t>CHO</t>
        </is>
      </c>
      <c r="F1978" s="2" t="n">
        <v>7.3576</v>
      </c>
      <c r="G1978" s="2" t="n">
        <v>4.927176</v>
      </c>
    </row>
    <row r="1979">
      <c r="A1979" s="1" t="inlineStr">
        <is>
          <t>E1</t>
        </is>
      </c>
      <c r="B1979" s="1" t="n">
        <v>49</v>
      </c>
      <c r="C1979" s="2">
        <f>_xlfn.XLOOKUP(B1979,Results!$B$23:$B$119,Results!$D$23:$D$119)</f>
        <v/>
      </c>
      <c r="D1979" s="1" t="n">
        <v>36</v>
      </c>
      <c r="E1979" s="1" t="inlineStr">
        <is>
          <t>CHO</t>
        </is>
      </c>
      <c r="F1979" s="1" t="n">
        <v>7.4244</v>
      </c>
      <c r="G1979" s="1" t="n">
        <v>4.988202</v>
      </c>
    </row>
    <row r="1980">
      <c r="A1980" s="2" t="inlineStr">
        <is>
          <t>E1</t>
        </is>
      </c>
      <c r="B1980" s="2" t="n">
        <v>49</v>
      </c>
      <c r="C1980" s="2">
        <f>_xlfn.XLOOKUP(B1980,Results!$B$23:$B$119,Results!$D$23:$D$119)</f>
        <v/>
      </c>
      <c r="D1980" s="2" t="n">
        <v>37</v>
      </c>
      <c r="E1980" s="2" t="inlineStr">
        <is>
          <t>CHO</t>
        </is>
      </c>
      <c r="F1980" s="2" t="n">
        <v>7.477</v>
      </c>
      <c r="G1980" s="2" t="n">
        <v>5.035013</v>
      </c>
    </row>
    <row r="1981">
      <c r="A1981" s="1" t="inlineStr">
        <is>
          <t>E1</t>
        </is>
      </c>
      <c r="B1981" s="1" t="n">
        <v>49</v>
      </c>
      <c r="C1981" s="2">
        <f>_xlfn.XLOOKUP(B1981,Results!$B$23:$B$119,Results!$D$23:$D$119)</f>
        <v/>
      </c>
      <c r="D1981" s="1" t="n">
        <v>38</v>
      </c>
      <c r="E1981" s="1" t="inlineStr">
        <is>
          <t>CHO</t>
        </is>
      </c>
      <c r="F1981" s="1" t="n">
        <v>7.5242</v>
      </c>
      <c r="G1981" s="1" t="n">
        <v>5.076396</v>
      </c>
    </row>
    <row r="1982">
      <c r="A1982" s="2" t="inlineStr">
        <is>
          <t>E1</t>
        </is>
      </c>
      <c r="B1982" s="2" t="n">
        <v>49</v>
      </c>
      <c r="C1982" s="2">
        <f>_xlfn.XLOOKUP(B1982,Results!$B$23:$B$119,Results!$D$23:$D$119)</f>
        <v/>
      </c>
      <c r="D1982" s="2" t="n">
        <v>39</v>
      </c>
      <c r="E1982" s="2" t="inlineStr">
        <is>
          <t>CHO</t>
        </is>
      </c>
      <c r="F1982" s="2" t="n">
        <v>7.5638</v>
      </c>
      <c r="G1982" s="2" t="n">
        <v>5.110276</v>
      </c>
    </row>
    <row r="1983">
      <c r="A1983" s="1" t="inlineStr">
        <is>
          <t>E1</t>
        </is>
      </c>
      <c r="B1983" s="1" t="n">
        <v>49</v>
      </c>
      <c r="C1983" s="2">
        <f>_xlfn.XLOOKUP(B1983,Results!$B$23:$B$119,Results!$D$23:$D$119)</f>
        <v/>
      </c>
      <c r="D1983" s="1" t="n">
        <v>40</v>
      </c>
      <c r="E1983" s="1" t="inlineStr">
        <is>
          <t>CHO</t>
        </is>
      </c>
      <c r="F1983" s="1" t="n">
        <v>7.6177</v>
      </c>
      <c r="G1983" s="1" t="n">
        <v>5.158371</v>
      </c>
    </row>
    <row r="1984">
      <c r="A1984" s="2" t="inlineStr">
        <is>
          <t>E2</t>
        </is>
      </c>
      <c r="B1984" s="2" t="n">
        <v>50</v>
      </c>
      <c r="C1984" s="2">
        <f>_xlfn.XLOOKUP(B1984,Results!$B$23:$B$119,Results!$D$23:$D$119)</f>
        <v/>
      </c>
      <c r="D1984" s="2" t="n">
        <v>1</v>
      </c>
      <c r="E1984" s="2" t="inlineStr">
        <is>
          <t>CHO</t>
        </is>
      </c>
      <c r="F1984" s="2" t="n">
        <v>2.2859</v>
      </c>
      <c r="G1984" s="2" t="n">
        <v>0.016692</v>
      </c>
    </row>
    <row r="1985">
      <c r="A1985" s="1" t="inlineStr">
        <is>
          <t>E2</t>
        </is>
      </c>
      <c r="B1985" s="1" t="n">
        <v>50</v>
      </c>
      <c r="C1985" s="2">
        <f>_xlfn.XLOOKUP(B1985,Results!$B$23:$B$119,Results!$D$23:$D$119)</f>
        <v/>
      </c>
      <c r="D1985" s="1" t="n">
        <v>2</v>
      </c>
      <c r="E1985" s="1" t="inlineStr">
        <is>
          <t>CHO</t>
        </is>
      </c>
      <c r="F1985" s="1" t="n">
        <v>2.2804</v>
      </c>
      <c r="G1985" s="1" t="n">
        <v>0.003883</v>
      </c>
    </row>
    <row r="1986">
      <c r="A1986" s="2" t="inlineStr">
        <is>
          <t>E2</t>
        </is>
      </c>
      <c r="B1986" s="2" t="n">
        <v>50</v>
      </c>
      <c r="C1986" s="2">
        <f>_xlfn.XLOOKUP(B1986,Results!$B$23:$B$119,Results!$D$23:$D$119)</f>
        <v/>
      </c>
      <c r="D1986" s="2" t="n">
        <v>3</v>
      </c>
      <c r="E1986" s="2" t="inlineStr">
        <is>
          <t>CHO</t>
        </is>
      </c>
      <c r="F1986" s="2" t="n">
        <v>2.2817</v>
      </c>
      <c r="G1986" s="2" t="n">
        <v>-0.002121</v>
      </c>
    </row>
    <row r="1987">
      <c r="A1987" s="1" t="inlineStr">
        <is>
          <t>E2</t>
        </is>
      </c>
      <c r="B1987" s="1" t="n">
        <v>50</v>
      </c>
      <c r="C1987" s="2">
        <f>_xlfn.XLOOKUP(B1987,Results!$B$23:$B$119,Results!$D$23:$D$119)</f>
        <v/>
      </c>
      <c r="D1987" s="1" t="n">
        <v>4</v>
      </c>
      <c r="E1987" s="1" t="inlineStr">
        <is>
          <t>CHO</t>
        </is>
      </c>
      <c r="F1987" s="1" t="n">
        <v>2.2949</v>
      </c>
      <c r="G1987" s="1" t="n">
        <v>0.003744</v>
      </c>
    </row>
    <row r="1988">
      <c r="A1988" s="2" t="inlineStr">
        <is>
          <t>E2</t>
        </is>
      </c>
      <c r="B1988" s="2" t="n">
        <v>50</v>
      </c>
      <c r="C1988" s="2">
        <f>_xlfn.XLOOKUP(B1988,Results!$B$23:$B$119,Results!$D$23:$D$119)</f>
        <v/>
      </c>
      <c r="D1988" s="2" t="n">
        <v>5</v>
      </c>
      <c r="E1988" s="2" t="inlineStr">
        <is>
          <t>CHO</t>
        </is>
      </c>
      <c r="F1988" s="2" t="n">
        <v>2.3006</v>
      </c>
      <c r="G1988" s="2" t="n">
        <v>0.002127</v>
      </c>
    </row>
    <row r="1989">
      <c r="A1989" s="1" t="inlineStr">
        <is>
          <t>E2</t>
        </is>
      </c>
      <c r="B1989" s="1" t="n">
        <v>50</v>
      </c>
      <c r="C1989" s="2">
        <f>_xlfn.XLOOKUP(B1989,Results!$B$23:$B$119,Results!$D$23:$D$119)</f>
        <v/>
      </c>
      <c r="D1989" s="1" t="n">
        <v>6</v>
      </c>
      <c r="E1989" s="1" t="inlineStr">
        <is>
          <t>CHO</t>
        </is>
      </c>
      <c r="F1989" s="1" t="n">
        <v>2.3032</v>
      </c>
      <c r="G1989" s="1" t="n">
        <v>-0.002613</v>
      </c>
    </row>
    <row r="1990">
      <c r="A1990" s="2" t="inlineStr">
        <is>
          <t>E2</t>
        </is>
      </c>
      <c r="B1990" s="2" t="n">
        <v>50</v>
      </c>
      <c r="C1990" s="2">
        <f>_xlfn.XLOOKUP(B1990,Results!$B$23:$B$119,Results!$D$23:$D$119)</f>
        <v/>
      </c>
      <c r="D1990" s="2" t="n">
        <v>7</v>
      </c>
      <c r="E1990" s="2" t="inlineStr">
        <is>
          <t>CHO</t>
        </is>
      </c>
      <c r="F1990" s="2" t="n">
        <v>2.3108</v>
      </c>
      <c r="G1990" s="2" t="n">
        <v>-0.002439</v>
      </c>
    </row>
    <row r="1991">
      <c r="A1991" s="1" t="inlineStr">
        <is>
          <t>E2</t>
        </is>
      </c>
      <c r="B1991" s="1" t="n">
        <v>50</v>
      </c>
      <c r="C1991" s="2">
        <f>_xlfn.XLOOKUP(B1991,Results!$B$23:$B$119,Results!$D$23:$D$119)</f>
        <v/>
      </c>
      <c r="D1991" s="1" t="n">
        <v>8</v>
      </c>
      <c r="E1991" s="1" t="inlineStr">
        <is>
          <t>CHO</t>
        </is>
      </c>
      <c r="F1991" s="1" t="n">
        <v>2.3187</v>
      </c>
      <c r="G1991" s="1" t="n">
        <v>-0.001784</v>
      </c>
    </row>
    <row r="1992">
      <c r="A1992" s="2" t="inlineStr">
        <is>
          <t>E2</t>
        </is>
      </c>
      <c r="B1992" s="2" t="n">
        <v>50</v>
      </c>
      <c r="C1992" s="2">
        <f>_xlfn.XLOOKUP(B1992,Results!$B$23:$B$119,Results!$D$23:$D$119)</f>
        <v/>
      </c>
      <c r="D1992" s="2" t="n">
        <v>9</v>
      </c>
      <c r="E1992" s="2" t="inlineStr">
        <is>
          <t>CHO</t>
        </is>
      </c>
      <c r="F1992" s="2" t="n">
        <v>2.331</v>
      </c>
      <c r="G1992" s="2" t="n">
        <v>0.003086</v>
      </c>
    </row>
    <row r="1993">
      <c r="A1993" s="1" t="inlineStr">
        <is>
          <t>E2</t>
        </is>
      </c>
      <c r="B1993" s="1" t="n">
        <v>50</v>
      </c>
      <c r="C1993" s="2">
        <f>_xlfn.XLOOKUP(B1993,Results!$B$23:$B$119,Results!$D$23:$D$119)</f>
        <v/>
      </c>
      <c r="D1993" s="1" t="n">
        <v>10</v>
      </c>
      <c r="E1993" s="1" t="inlineStr">
        <is>
          <t>CHO</t>
        </is>
      </c>
      <c r="F1993" s="1" t="n">
        <v>2.3439</v>
      </c>
      <c r="G1993" s="1" t="n">
        <v>0.008659</v>
      </c>
    </row>
    <row r="1994">
      <c r="A1994" s="2" t="inlineStr">
        <is>
          <t>E2</t>
        </is>
      </c>
      <c r="B1994" s="2" t="n">
        <v>50</v>
      </c>
      <c r="C1994" s="2">
        <f>_xlfn.XLOOKUP(B1994,Results!$B$23:$B$119,Results!$D$23:$D$119)</f>
        <v/>
      </c>
      <c r="D1994" s="2" t="n">
        <v>11</v>
      </c>
      <c r="E1994" s="2" t="inlineStr">
        <is>
          <t>CHO</t>
        </is>
      </c>
      <c r="F1994" s="2" t="n">
        <v>2.3689</v>
      </c>
      <c r="G1994" s="2" t="n">
        <v>0.026387</v>
      </c>
    </row>
    <row r="1995">
      <c r="A1995" s="1" t="inlineStr">
        <is>
          <t>E2</t>
        </is>
      </c>
      <c r="B1995" s="1" t="n">
        <v>50</v>
      </c>
      <c r="C1995" s="2">
        <f>_xlfn.XLOOKUP(B1995,Results!$B$23:$B$119,Results!$D$23:$D$119)</f>
        <v/>
      </c>
      <c r="D1995" s="1" t="n">
        <v>12</v>
      </c>
      <c r="E1995" s="1" t="inlineStr">
        <is>
          <t>CHO</t>
        </is>
      </c>
      <c r="F1995" s="1" t="n">
        <v>2.4115</v>
      </c>
      <c r="G1995" s="1" t="n">
        <v>0.061569</v>
      </c>
    </row>
    <row r="1996">
      <c r="A1996" s="2" t="inlineStr">
        <is>
          <t>E2</t>
        </is>
      </c>
      <c r="B1996" s="2" t="n">
        <v>50</v>
      </c>
      <c r="C1996" s="2">
        <f>_xlfn.XLOOKUP(B1996,Results!$B$23:$B$119,Results!$D$23:$D$119)</f>
        <v/>
      </c>
      <c r="D1996" s="2" t="n">
        <v>13</v>
      </c>
      <c r="E1996" s="2" t="inlineStr">
        <is>
          <t>CHO</t>
        </is>
      </c>
      <c r="F1996" s="2" t="n">
        <v>2.4927</v>
      </c>
      <c r="G1996" s="2" t="n">
        <v>0.135481</v>
      </c>
    </row>
    <row r="1997">
      <c r="A1997" s="1" t="inlineStr">
        <is>
          <t>E2</t>
        </is>
      </c>
      <c r="B1997" s="1" t="n">
        <v>50</v>
      </c>
      <c r="C1997" s="2">
        <f>_xlfn.XLOOKUP(B1997,Results!$B$23:$B$119,Results!$D$23:$D$119)</f>
        <v/>
      </c>
      <c r="D1997" s="1" t="n">
        <v>14</v>
      </c>
      <c r="E1997" s="1" t="inlineStr">
        <is>
          <t>CHO</t>
        </is>
      </c>
      <c r="F1997" s="1" t="n">
        <v>2.6114</v>
      </c>
      <c r="G1997" s="1" t="n">
        <v>0.246866</v>
      </c>
    </row>
    <row r="1998">
      <c r="A1998" s="2" t="inlineStr">
        <is>
          <t>E2</t>
        </is>
      </c>
      <c r="B1998" s="2" t="n">
        <v>50</v>
      </c>
      <c r="C1998" s="2">
        <f>_xlfn.XLOOKUP(B1998,Results!$B$23:$B$119,Results!$D$23:$D$119)</f>
        <v/>
      </c>
      <c r="D1998" s="2" t="n">
        <v>15</v>
      </c>
      <c r="E1998" s="2" t="inlineStr">
        <is>
          <t>CHO</t>
        </is>
      </c>
      <c r="F1998" s="2" t="n">
        <v>2.8355</v>
      </c>
      <c r="G1998" s="2" t="n">
        <v>0.463559</v>
      </c>
    </row>
    <row r="1999">
      <c r="A1999" s="1" t="inlineStr">
        <is>
          <t>E2</t>
        </is>
      </c>
      <c r="B1999" s="1" t="n">
        <v>50</v>
      </c>
      <c r="C1999" s="2">
        <f>_xlfn.XLOOKUP(B1999,Results!$B$23:$B$119,Results!$D$23:$D$119)</f>
        <v/>
      </c>
      <c r="D1999" s="1" t="n">
        <v>16</v>
      </c>
      <c r="E1999" s="1" t="inlineStr">
        <is>
          <t>CHO</t>
        </is>
      </c>
      <c r="F1999" s="1" t="n">
        <v>3.1634</v>
      </c>
      <c r="G1999" s="1" t="n">
        <v>0.7841939999999999</v>
      </c>
    </row>
    <row r="2000">
      <c r="A2000" s="2" t="inlineStr">
        <is>
          <t>E2</t>
        </is>
      </c>
      <c r="B2000" s="2" t="n">
        <v>50</v>
      </c>
      <c r="C2000" s="2">
        <f>_xlfn.XLOOKUP(B2000,Results!$B$23:$B$119,Results!$D$23:$D$119)</f>
        <v/>
      </c>
      <c r="D2000" s="2" t="n">
        <v>17</v>
      </c>
      <c r="E2000" s="2" t="inlineStr">
        <is>
          <t>CHO</t>
        </is>
      </c>
      <c r="F2000" s="2" t="n">
        <v>3.5628</v>
      </c>
      <c r="G2000" s="2" t="n">
        <v>1.176258</v>
      </c>
    </row>
    <row r="2001">
      <c r="A2001" s="1" t="inlineStr">
        <is>
          <t>E2</t>
        </is>
      </c>
      <c r="B2001" s="1" t="n">
        <v>50</v>
      </c>
      <c r="C2001" s="2">
        <f>_xlfn.XLOOKUP(B2001,Results!$B$23:$B$119,Results!$D$23:$D$119)</f>
        <v/>
      </c>
      <c r="D2001" s="1" t="n">
        <v>18</v>
      </c>
      <c r="E2001" s="1" t="inlineStr">
        <is>
          <t>CHO</t>
        </is>
      </c>
      <c r="F2001" s="1" t="n">
        <v>4.0005</v>
      </c>
      <c r="G2001" s="1" t="n">
        <v>1.606568</v>
      </c>
    </row>
    <row r="2002">
      <c r="A2002" s="2" t="inlineStr">
        <is>
          <t>E2</t>
        </is>
      </c>
      <c r="B2002" s="2" t="n">
        <v>50</v>
      </c>
      <c r="C2002" s="2">
        <f>_xlfn.XLOOKUP(B2002,Results!$B$23:$B$119,Results!$D$23:$D$119)</f>
        <v/>
      </c>
      <c r="D2002" s="2" t="n">
        <v>19</v>
      </c>
      <c r="E2002" s="2" t="inlineStr">
        <is>
          <t>CHO</t>
        </is>
      </c>
      <c r="F2002" s="2" t="n">
        <v>4.4351</v>
      </c>
      <c r="G2002" s="2" t="n">
        <v>2.033879</v>
      </c>
    </row>
    <row r="2003">
      <c r="A2003" s="1" t="inlineStr">
        <is>
          <t>E2</t>
        </is>
      </c>
      <c r="B2003" s="1" t="n">
        <v>50</v>
      </c>
      <c r="C2003" s="2">
        <f>_xlfn.XLOOKUP(B2003,Results!$B$23:$B$119,Results!$D$23:$D$119)</f>
        <v/>
      </c>
      <c r="D2003" s="1" t="n">
        <v>20</v>
      </c>
      <c r="E2003" s="1" t="inlineStr">
        <is>
          <t>CHO</t>
        </is>
      </c>
      <c r="F2003" s="1" t="n">
        <v>4.8476</v>
      </c>
      <c r="G2003" s="1" t="n">
        <v>2.43903</v>
      </c>
    </row>
    <row r="2004">
      <c r="A2004" s="2" t="inlineStr">
        <is>
          <t>E2</t>
        </is>
      </c>
      <c r="B2004" s="2" t="n">
        <v>50</v>
      </c>
      <c r="C2004" s="2">
        <f>_xlfn.XLOOKUP(B2004,Results!$B$23:$B$119,Results!$D$23:$D$119)</f>
        <v/>
      </c>
      <c r="D2004" s="2" t="n">
        <v>21</v>
      </c>
      <c r="E2004" s="2" t="inlineStr">
        <is>
          <t>CHO</t>
        </is>
      </c>
      <c r="F2004" s="2" t="n">
        <v>5.226</v>
      </c>
      <c r="G2004" s="2" t="n">
        <v>2.810113</v>
      </c>
    </row>
    <row r="2005">
      <c r="A2005" s="1" t="inlineStr">
        <is>
          <t>E2</t>
        </is>
      </c>
      <c r="B2005" s="1" t="n">
        <v>50</v>
      </c>
      <c r="C2005" s="2">
        <f>_xlfn.XLOOKUP(B2005,Results!$B$23:$B$119,Results!$D$23:$D$119)</f>
        <v/>
      </c>
      <c r="D2005" s="1" t="n">
        <v>22</v>
      </c>
      <c r="E2005" s="1" t="inlineStr">
        <is>
          <t>CHO</t>
        </is>
      </c>
      <c r="F2005" s="1" t="n">
        <v>5.5681</v>
      </c>
      <c r="G2005" s="1" t="n">
        <v>3.144862</v>
      </c>
    </row>
    <row r="2006">
      <c r="A2006" s="2" t="inlineStr">
        <is>
          <t>E2</t>
        </is>
      </c>
      <c r="B2006" s="2" t="n">
        <v>50</v>
      </c>
      <c r="C2006" s="2">
        <f>_xlfn.XLOOKUP(B2006,Results!$B$23:$B$119,Results!$D$23:$D$119)</f>
        <v/>
      </c>
      <c r="D2006" s="2" t="n">
        <v>23</v>
      </c>
      <c r="E2006" s="2" t="inlineStr">
        <is>
          <t>CHO</t>
        </is>
      </c>
      <c r="F2006" s="2" t="n">
        <v>5.8855</v>
      </c>
      <c r="G2006" s="2" t="n">
        <v>3.454884</v>
      </c>
    </row>
    <row r="2007">
      <c r="A2007" s="1" t="inlineStr">
        <is>
          <t>E2</t>
        </is>
      </c>
      <c r="B2007" s="1" t="n">
        <v>50</v>
      </c>
      <c r="C2007" s="2">
        <f>_xlfn.XLOOKUP(B2007,Results!$B$23:$B$119,Results!$D$23:$D$119)</f>
        <v/>
      </c>
      <c r="D2007" s="1" t="n">
        <v>24</v>
      </c>
      <c r="E2007" s="1" t="inlineStr">
        <is>
          <t>CHO</t>
        </is>
      </c>
      <c r="F2007" s="1" t="n">
        <v>6.1241</v>
      </c>
      <c r="G2007" s="1" t="n">
        <v>3.686175</v>
      </c>
    </row>
    <row r="2008">
      <c r="A2008" s="2" t="inlineStr">
        <is>
          <t>E2</t>
        </is>
      </c>
      <c r="B2008" s="2" t="n">
        <v>50</v>
      </c>
      <c r="C2008" s="2">
        <f>_xlfn.XLOOKUP(B2008,Results!$B$23:$B$119,Results!$D$23:$D$119)</f>
        <v/>
      </c>
      <c r="D2008" s="2" t="n">
        <v>25</v>
      </c>
      <c r="E2008" s="2" t="inlineStr">
        <is>
          <t>CHO</t>
        </is>
      </c>
      <c r="F2008" s="2" t="n">
        <v>6.3791</v>
      </c>
      <c r="G2008" s="2" t="n">
        <v>3.933855</v>
      </c>
    </row>
    <row r="2009">
      <c r="A2009" s="1" t="inlineStr">
        <is>
          <t>E2</t>
        </is>
      </c>
      <c r="B2009" s="1" t="n">
        <v>50</v>
      </c>
      <c r="C2009" s="2">
        <f>_xlfn.XLOOKUP(B2009,Results!$B$23:$B$119,Results!$D$23:$D$119)</f>
        <v/>
      </c>
      <c r="D2009" s="1" t="n">
        <v>26</v>
      </c>
      <c r="E2009" s="1" t="inlineStr">
        <is>
          <t>CHO</t>
        </is>
      </c>
      <c r="F2009" s="1" t="n">
        <v>6.6172</v>
      </c>
      <c r="G2009" s="1" t="n">
        <v>4.164544</v>
      </c>
    </row>
    <row r="2010">
      <c r="A2010" s="2" t="inlineStr">
        <is>
          <t>E2</t>
        </is>
      </c>
      <c r="B2010" s="2" t="n">
        <v>50</v>
      </c>
      <c r="C2010" s="2">
        <f>_xlfn.XLOOKUP(B2010,Results!$B$23:$B$119,Results!$D$23:$D$119)</f>
        <v/>
      </c>
      <c r="D2010" s="2" t="n">
        <v>27</v>
      </c>
      <c r="E2010" s="2" t="inlineStr">
        <is>
          <t>CHO</t>
        </is>
      </c>
      <c r="F2010" s="2" t="n">
        <v>6.7364</v>
      </c>
      <c r="G2010" s="2" t="n">
        <v>4.276425</v>
      </c>
    </row>
    <row r="2011">
      <c r="A2011" s="1" t="inlineStr">
        <is>
          <t>E2</t>
        </is>
      </c>
      <c r="B2011" s="1" t="n">
        <v>50</v>
      </c>
      <c r="C2011" s="2">
        <f>_xlfn.XLOOKUP(B2011,Results!$B$23:$B$119,Results!$D$23:$D$119)</f>
        <v/>
      </c>
      <c r="D2011" s="1" t="n">
        <v>28</v>
      </c>
      <c r="E2011" s="1" t="inlineStr">
        <is>
          <t>CHO</t>
        </is>
      </c>
      <c r="F2011" s="1" t="n">
        <v>6.8857</v>
      </c>
      <c r="G2011" s="1" t="n">
        <v>4.418389</v>
      </c>
    </row>
    <row r="2012">
      <c r="A2012" s="2" t="inlineStr">
        <is>
          <t>E2</t>
        </is>
      </c>
      <c r="B2012" s="2" t="n">
        <v>50</v>
      </c>
      <c r="C2012" s="2">
        <f>_xlfn.XLOOKUP(B2012,Results!$B$23:$B$119,Results!$D$23:$D$119)</f>
        <v/>
      </c>
      <c r="D2012" s="2" t="n">
        <v>29</v>
      </c>
      <c r="E2012" s="2" t="inlineStr">
        <is>
          <t>CHO</t>
        </is>
      </c>
      <c r="F2012" s="2" t="n">
        <v>7.0163</v>
      </c>
      <c r="G2012" s="2" t="n">
        <v>4.541631</v>
      </c>
    </row>
    <row r="2013">
      <c r="A2013" s="1" t="inlineStr">
        <is>
          <t>E2</t>
        </is>
      </c>
      <c r="B2013" s="1" t="n">
        <v>50</v>
      </c>
      <c r="C2013" s="2">
        <f>_xlfn.XLOOKUP(B2013,Results!$B$23:$B$119,Results!$D$23:$D$119)</f>
        <v/>
      </c>
      <c r="D2013" s="1" t="n">
        <v>30</v>
      </c>
      <c r="E2013" s="1" t="inlineStr">
        <is>
          <t>CHO</t>
        </is>
      </c>
      <c r="F2013" s="1" t="n">
        <v>7.1133</v>
      </c>
      <c r="G2013" s="1" t="n">
        <v>4.631277</v>
      </c>
    </row>
    <row r="2014">
      <c r="A2014" s="2" t="inlineStr">
        <is>
          <t>E2</t>
        </is>
      </c>
      <c r="B2014" s="2" t="n">
        <v>50</v>
      </c>
      <c r="C2014" s="2">
        <f>_xlfn.XLOOKUP(B2014,Results!$B$23:$B$119,Results!$D$23:$D$119)</f>
        <v/>
      </c>
      <c r="D2014" s="2" t="n">
        <v>31</v>
      </c>
      <c r="E2014" s="2" t="inlineStr">
        <is>
          <t>CHO</t>
        </is>
      </c>
      <c r="F2014" s="2" t="n">
        <v>7.2377</v>
      </c>
      <c r="G2014" s="2" t="n">
        <v>4.748356</v>
      </c>
    </row>
    <row r="2015">
      <c r="A2015" s="1" t="inlineStr">
        <is>
          <t>E2</t>
        </is>
      </c>
      <c r="B2015" s="1" t="n">
        <v>50</v>
      </c>
      <c r="C2015" s="2">
        <f>_xlfn.XLOOKUP(B2015,Results!$B$23:$B$119,Results!$D$23:$D$119)</f>
        <v/>
      </c>
      <c r="D2015" s="1" t="n">
        <v>32</v>
      </c>
      <c r="E2015" s="1" t="inlineStr">
        <is>
          <t>CHO</t>
        </is>
      </c>
      <c r="F2015" s="1" t="n">
        <v>7.3264</v>
      </c>
      <c r="G2015" s="1" t="n">
        <v>4.829746</v>
      </c>
    </row>
    <row r="2016">
      <c r="A2016" s="2" t="inlineStr">
        <is>
          <t>E2</t>
        </is>
      </c>
      <c r="B2016" s="2" t="n">
        <v>50</v>
      </c>
      <c r="C2016" s="2">
        <f>_xlfn.XLOOKUP(B2016,Results!$B$23:$B$119,Results!$D$23:$D$119)</f>
        <v/>
      </c>
      <c r="D2016" s="2" t="n">
        <v>33</v>
      </c>
      <c r="E2016" s="2" t="inlineStr">
        <is>
          <t>CHO</t>
        </is>
      </c>
      <c r="F2016" s="2" t="n">
        <v>7.4013</v>
      </c>
      <c r="G2016" s="2" t="n">
        <v>4.897296</v>
      </c>
    </row>
    <row r="2017">
      <c r="A2017" s="1" t="inlineStr">
        <is>
          <t>E2</t>
        </is>
      </c>
      <c r="B2017" s="1" t="n">
        <v>50</v>
      </c>
      <c r="C2017" s="2">
        <f>_xlfn.XLOOKUP(B2017,Results!$B$23:$B$119,Results!$D$23:$D$119)</f>
        <v/>
      </c>
      <c r="D2017" s="1" t="n">
        <v>34</v>
      </c>
      <c r="E2017" s="1" t="inlineStr">
        <is>
          <t>CHO</t>
        </is>
      </c>
      <c r="F2017" s="1" t="n">
        <v>7.4903</v>
      </c>
      <c r="G2017" s="1" t="n">
        <v>4.978972</v>
      </c>
    </row>
    <row r="2018">
      <c r="A2018" s="2" t="inlineStr">
        <is>
          <t>E2</t>
        </is>
      </c>
      <c r="B2018" s="2" t="n">
        <v>50</v>
      </c>
      <c r="C2018" s="2">
        <f>_xlfn.XLOOKUP(B2018,Results!$B$23:$B$119,Results!$D$23:$D$119)</f>
        <v/>
      </c>
      <c r="D2018" s="2" t="n">
        <v>35</v>
      </c>
      <c r="E2018" s="2" t="inlineStr">
        <is>
          <t>CHO</t>
        </is>
      </c>
      <c r="F2018" s="2" t="n">
        <v>7.5635</v>
      </c>
      <c r="G2018" s="2" t="n">
        <v>5.044829</v>
      </c>
    </row>
    <row r="2019">
      <c r="A2019" s="1" t="inlineStr">
        <is>
          <t>E2</t>
        </is>
      </c>
      <c r="B2019" s="1" t="n">
        <v>50</v>
      </c>
      <c r="C2019" s="2">
        <f>_xlfn.XLOOKUP(B2019,Results!$B$23:$B$119,Results!$D$23:$D$119)</f>
        <v/>
      </c>
      <c r="D2019" s="1" t="n">
        <v>36</v>
      </c>
      <c r="E2019" s="1" t="inlineStr">
        <is>
          <t>CHO</t>
        </is>
      </c>
      <c r="F2019" s="1" t="n">
        <v>7.6203</v>
      </c>
      <c r="G2019" s="1" t="n">
        <v>5.094242</v>
      </c>
    </row>
    <row r="2020">
      <c r="A2020" s="2" t="inlineStr">
        <is>
          <t>E2</t>
        </is>
      </c>
      <c r="B2020" s="2" t="n">
        <v>50</v>
      </c>
      <c r="C2020" s="2">
        <f>_xlfn.XLOOKUP(B2020,Results!$B$23:$B$119,Results!$D$23:$D$119)</f>
        <v/>
      </c>
      <c r="D2020" s="2" t="n">
        <v>37</v>
      </c>
      <c r="E2020" s="2" t="inlineStr">
        <is>
          <t>CHO</t>
        </is>
      </c>
      <c r="F2020" s="2" t="n">
        <v>7.6856</v>
      </c>
      <c r="G2020" s="2" t="n">
        <v>5.152277</v>
      </c>
    </row>
    <row r="2021">
      <c r="A2021" s="1" t="inlineStr">
        <is>
          <t>E2</t>
        </is>
      </c>
      <c r="B2021" s="1" t="n">
        <v>50</v>
      </c>
      <c r="C2021" s="2">
        <f>_xlfn.XLOOKUP(B2021,Results!$B$23:$B$119,Results!$D$23:$D$119)</f>
        <v/>
      </c>
      <c r="D2021" s="1" t="n">
        <v>38</v>
      </c>
      <c r="E2021" s="1" t="inlineStr">
        <is>
          <t>CHO</t>
        </is>
      </c>
      <c r="F2021" s="1" t="n">
        <v>7.7453</v>
      </c>
      <c r="G2021" s="1" t="n">
        <v>5.204608</v>
      </c>
    </row>
    <row r="2022">
      <c r="A2022" s="2" t="inlineStr">
        <is>
          <t>E2</t>
        </is>
      </c>
      <c r="B2022" s="2" t="n">
        <v>50</v>
      </c>
      <c r="C2022" s="2">
        <f>_xlfn.XLOOKUP(B2022,Results!$B$23:$B$119,Results!$D$23:$D$119)</f>
        <v/>
      </c>
      <c r="D2022" s="2" t="n">
        <v>39</v>
      </c>
      <c r="E2022" s="2" t="inlineStr">
        <is>
          <t>CHO</t>
        </is>
      </c>
      <c r="F2022" s="2" t="n">
        <v>7.7859</v>
      </c>
      <c r="G2022" s="2" t="n">
        <v>5.237874</v>
      </c>
    </row>
    <row r="2023">
      <c r="A2023" s="1" t="inlineStr">
        <is>
          <t>E2</t>
        </is>
      </c>
      <c r="B2023" s="1" t="n">
        <v>50</v>
      </c>
      <c r="C2023" s="2">
        <f>_xlfn.XLOOKUP(B2023,Results!$B$23:$B$119,Results!$D$23:$D$119)</f>
        <v/>
      </c>
      <c r="D2023" s="1" t="n">
        <v>40</v>
      </c>
      <c r="E2023" s="1" t="inlineStr">
        <is>
          <t>CHO</t>
        </is>
      </c>
      <c r="F2023" s="1" t="n">
        <v>7.8403</v>
      </c>
      <c r="G2023" s="1" t="n">
        <v>5.284974</v>
      </c>
    </row>
    <row r="2024">
      <c r="A2024" s="2" t="inlineStr">
        <is>
          <t>E3</t>
        </is>
      </c>
      <c r="B2024" s="2" t="n">
        <v>51</v>
      </c>
      <c r="C2024" s="2">
        <f>_xlfn.XLOOKUP(B2024,Results!$B$23:$B$119,Results!$D$23:$D$119)</f>
        <v/>
      </c>
      <c r="D2024" s="2" t="n">
        <v>1</v>
      </c>
      <c r="E2024" s="2" t="inlineStr">
        <is>
          <t>CHO</t>
        </is>
      </c>
      <c r="F2024" s="2" t="n">
        <v>2.3537</v>
      </c>
      <c r="G2024" s="2" t="n">
        <v>0.015791</v>
      </c>
    </row>
    <row r="2025">
      <c r="A2025" s="1" t="inlineStr">
        <is>
          <t>E3</t>
        </is>
      </c>
      <c r="B2025" s="1" t="n">
        <v>51</v>
      </c>
      <c r="C2025" s="2">
        <f>_xlfn.XLOOKUP(B2025,Results!$B$23:$B$119,Results!$D$23:$D$119)</f>
        <v/>
      </c>
      <c r="D2025" s="1" t="n">
        <v>2</v>
      </c>
      <c r="E2025" s="1" t="inlineStr">
        <is>
          <t>CHO</t>
        </is>
      </c>
      <c r="F2025" s="1" t="n">
        <v>2.3511</v>
      </c>
      <c r="G2025" s="1" t="n">
        <v>0.009962</v>
      </c>
    </row>
    <row r="2026">
      <c r="A2026" s="2" t="inlineStr">
        <is>
          <t>E3</t>
        </is>
      </c>
      <c r="B2026" s="2" t="n">
        <v>51</v>
      </c>
      <c r="C2026" s="2">
        <f>_xlfn.XLOOKUP(B2026,Results!$B$23:$B$119,Results!$D$23:$D$119)</f>
        <v/>
      </c>
      <c r="D2026" s="2" t="n">
        <v>3</v>
      </c>
      <c r="E2026" s="2" t="inlineStr">
        <is>
          <t>CHO</t>
        </is>
      </c>
      <c r="F2026" s="2" t="n">
        <v>2.3461</v>
      </c>
      <c r="G2026" s="2" t="n">
        <v>0.001868</v>
      </c>
    </row>
    <row r="2027">
      <c r="A2027" s="1" t="inlineStr">
        <is>
          <t>E3</t>
        </is>
      </c>
      <c r="B2027" s="1" t="n">
        <v>51</v>
      </c>
      <c r="C2027" s="2">
        <f>_xlfn.XLOOKUP(B2027,Results!$B$23:$B$119,Results!$D$23:$D$119)</f>
        <v/>
      </c>
      <c r="D2027" s="1" t="n">
        <v>4</v>
      </c>
      <c r="E2027" s="1" t="inlineStr">
        <is>
          <t>CHO</t>
        </is>
      </c>
      <c r="F2027" s="1" t="n">
        <v>2.3457</v>
      </c>
      <c r="G2027" s="1" t="n">
        <v>-0.001666</v>
      </c>
    </row>
    <row r="2028">
      <c r="A2028" s="2" t="inlineStr">
        <is>
          <t>E3</t>
        </is>
      </c>
      <c r="B2028" s="2" t="n">
        <v>51</v>
      </c>
      <c r="C2028" s="2">
        <f>_xlfn.XLOOKUP(B2028,Results!$B$23:$B$119,Results!$D$23:$D$119)</f>
        <v/>
      </c>
      <c r="D2028" s="2" t="n">
        <v>5</v>
      </c>
      <c r="E2028" s="2" t="inlineStr">
        <is>
          <t>CHO</t>
        </is>
      </c>
      <c r="F2028" s="2" t="n">
        <v>2.3492</v>
      </c>
      <c r="G2028" s="2" t="n">
        <v>-0.00127</v>
      </c>
    </row>
    <row r="2029">
      <c r="A2029" s="1" t="inlineStr">
        <is>
          <t>E3</t>
        </is>
      </c>
      <c r="B2029" s="1" t="n">
        <v>51</v>
      </c>
      <c r="C2029" s="2">
        <f>_xlfn.XLOOKUP(B2029,Results!$B$23:$B$119,Results!$D$23:$D$119)</f>
        <v/>
      </c>
      <c r="D2029" s="1" t="n">
        <v>6</v>
      </c>
      <c r="E2029" s="1" t="inlineStr">
        <is>
          <t>CHO</t>
        </is>
      </c>
      <c r="F2029" s="1" t="n">
        <v>2.3537</v>
      </c>
      <c r="G2029" s="1" t="n">
        <v>6.4e-05</v>
      </c>
    </row>
    <row r="2030">
      <c r="A2030" s="2" t="inlineStr">
        <is>
          <t>E3</t>
        </is>
      </c>
      <c r="B2030" s="2" t="n">
        <v>51</v>
      </c>
      <c r="C2030" s="2">
        <f>_xlfn.XLOOKUP(B2030,Results!$B$23:$B$119,Results!$D$23:$D$119)</f>
        <v/>
      </c>
      <c r="D2030" s="2" t="n">
        <v>7</v>
      </c>
      <c r="E2030" s="2" t="inlineStr">
        <is>
          <t>CHO</t>
        </is>
      </c>
      <c r="F2030" s="2" t="n">
        <v>2.3578</v>
      </c>
      <c r="G2030" s="2" t="n">
        <v>0.001003</v>
      </c>
    </row>
    <row r="2031">
      <c r="A2031" s="1" t="inlineStr">
        <is>
          <t>E3</t>
        </is>
      </c>
      <c r="B2031" s="1" t="n">
        <v>51</v>
      </c>
      <c r="C2031" s="2">
        <f>_xlfn.XLOOKUP(B2031,Results!$B$23:$B$119,Results!$D$23:$D$119)</f>
        <v/>
      </c>
      <c r="D2031" s="1" t="n">
        <v>8</v>
      </c>
      <c r="E2031" s="1" t="inlineStr">
        <is>
          <t>CHO</t>
        </is>
      </c>
      <c r="F2031" s="1" t="n">
        <v>2.3662</v>
      </c>
      <c r="G2031" s="1" t="n">
        <v>0.006233</v>
      </c>
    </row>
    <row r="2032">
      <c r="A2032" s="2" t="inlineStr">
        <is>
          <t>E3</t>
        </is>
      </c>
      <c r="B2032" s="2" t="n">
        <v>51</v>
      </c>
      <c r="C2032" s="2">
        <f>_xlfn.XLOOKUP(B2032,Results!$B$23:$B$119,Results!$D$23:$D$119)</f>
        <v/>
      </c>
      <c r="D2032" s="2" t="n">
        <v>9</v>
      </c>
      <c r="E2032" s="2" t="inlineStr">
        <is>
          <t>CHO</t>
        </is>
      </c>
      <c r="F2032" s="2" t="n">
        <v>2.3805</v>
      </c>
      <c r="G2032" s="2" t="n">
        <v>0.01742</v>
      </c>
    </row>
    <row r="2033">
      <c r="A2033" s="1" t="inlineStr">
        <is>
          <t>E3</t>
        </is>
      </c>
      <c r="B2033" s="1" t="n">
        <v>51</v>
      </c>
      <c r="C2033" s="2">
        <f>_xlfn.XLOOKUP(B2033,Results!$B$23:$B$119,Results!$D$23:$D$119)</f>
        <v/>
      </c>
      <c r="D2033" s="1" t="n">
        <v>10</v>
      </c>
      <c r="E2033" s="1" t="inlineStr">
        <is>
          <t>CHO</t>
        </is>
      </c>
      <c r="F2033" s="1" t="n">
        <v>2.3916</v>
      </c>
      <c r="G2033" s="1" t="n">
        <v>0.025321</v>
      </c>
    </row>
    <row r="2034">
      <c r="A2034" s="2" t="inlineStr">
        <is>
          <t>E3</t>
        </is>
      </c>
      <c r="B2034" s="2" t="n">
        <v>51</v>
      </c>
      <c r="C2034" s="2">
        <f>_xlfn.XLOOKUP(B2034,Results!$B$23:$B$119,Results!$D$23:$D$119)</f>
        <v/>
      </c>
      <c r="D2034" s="2" t="n">
        <v>11</v>
      </c>
      <c r="E2034" s="2" t="inlineStr">
        <is>
          <t>CHO</t>
        </is>
      </c>
      <c r="F2034" s="2" t="n">
        <v>2.422</v>
      </c>
      <c r="G2034" s="2" t="n">
        <v>0.052659</v>
      </c>
    </row>
    <row r="2035">
      <c r="A2035" s="1" t="inlineStr">
        <is>
          <t>E3</t>
        </is>
      </c>
      <c r="B2035" s="1" t="n">
        <v>51</v>
      </c>
      <c r="C2035" s="2">
        <f>_xlfn.XLOOKUP(B2035,Results!$B$23:$B$119,Results!$D$23:$D$119)</f>
        <v/>
      </c>
      <c r="D2035" s="1" t="n">
        <v>12</v>
      </c>
      <c r="E2035" s="1" t="inlineStr">
        <is>
          <t>CHO</t>
        </is>
      </c>
      <c r="F2035" s="1" t="n">
        <v>2.4563</v>
      </c>
      <c r="G2035" s="1" t="n">
        <v>0.08379300000000001</v>
      </c>
    </row>
    <row r="2036">
      <c r="A2036" s="2" t="inlineStr">
        <is>
          <t>E3</t>
        </is>
      </c>
      <c r="B2036" s="2" t="n">
        <v>51</v>
      </c>
      <c r="C2036" s="2">
        <f>_xlfn.XLOOKUP(B2036,Results!$B$23:$B$119,Results!$D$23:$D$119)</f>
        <v/>
      </c>
      <c r="D2036" s="2" t="n">
        <v>13</v>
      </c>
      <c r="E2036" s="2" t="inlineStr">
        <is>
          <t>CHO</t>
        </is>
      </c>
      <c r="F2036" s="2" t="n">
        <v>2.5298</v>
      </c>
      <c r="G2036" s="2" t="n">
        <v>0.154186</v>
      </c>
    </row>
    <row r="2037">
      <c r="A2037" s="1" t="inlineStr">
        <is>
          <t>E3</t>
        </is>
      </c>
      <c r="B2037" s="1" t="n">
        <v>51</v>
      </c>
      <c r="C2037" s="2">
        <f>_xlfn.XLOOKUP(B2037,Results!$B$23:$B$119,Results!$D$23:$D$119)</f>
        <v/>
      </c>
      <c r="D2037" s="1" t="n">
        <v>14</v>
      </c>
      <c r="E2037" s="1" t="inlineStr">
        <is>
          <t>CHO</t>
        </is>
      </c>
      <c r="F2037" s="1" t="n">
        <v>2.6709</v>
      </c>
      <c r="G2037" s="1" t="n">
        <v>0.292109</v>
      </c>
    </row>
    <row r="2038">
      <c r="A2038" s="2" t="inlineStr">
        <is>
          <t>E3</t>
        </is>
      </c>
      <c r="B2038" s="2" t="n">
        <v>51</v>
      </c>
      <c r="C2038" s="2">
        <f>_xlfn.XLOOKUP(B2038,Results!$B$23:$B$119,Results!$D$23:$D$119)</f>
        <v/>
      </c>
      <c r="D2038" s="2" t="n">
        <v>15</v>
      </c>
      <c r="E2038" s="2" t="inlineStr">
        <is>
          <t>CHO</t>
        </is>
      </c>
      <c r="F2038" s="2" t="n">
        <v>2.8849</v>
      </c>
      <c r="G2038" s="2" t="n">
        <v>0.50295</v>
      </c>
    </row>
    <row r="2039">
      <c r="A2039" s="1" t="inlineStr">
        <is>
          <t>E3</t>
        </is>
      </c>
      <c r="B2039" s="1" t="n">
        <v>51</v>
      </c>
      <c r="C2039" s="2">
        <f>_xlfn.XLOOKUP(B2039,Results!$B$23:$B$119,Results!$D$23:$D$119)</f>
        <v/>
      </c>
      <c r="D2039" s="1" t="n">
        <v>16</v>
      </c>
      <c r="E2039" s="1" t="inlineStr">
        <is>
          <t>CHO</t>
        </is>
      </c>
      <c r="F2039" s="1" t="n">
        <v>3.2238</v>
      </c>
      <c r="G2039" s="1" t="n">
        <v>0.838701</v>
      </c>
    </row>
    <row r="2040">
      <c r="A2040" s="2" t="inlineStr">
        <is>
          <t>E3</t>
        </is>
      </c>
      <c r="B2040" s="2" t="n">
        <v>51</v>
      </c>
      <c r="C2040" s="2">
        <f>_xlfn.XLOOKUP(B2040,Results!$B$23:$B$119,Results!$D$23:$D$119)</f>
        <v/>
      </c>
      <c r="D2040" s="2" t="n">
        <v>17</v>
      </c>
      <c r="E2040" s="2" t="inlineStr">
        <is>
          <t>CHO</t>
        </is>
      </c>
      <c r="F2040" s="2" t="n">
        <v>3.6401</v>
      </c>
      <c r="G2040" s="2" t="n">
        <v>1.251827</v>
      </c>
    </row>
    <row r="2041">
      <c r="A2041" s="1" t="inlineStr">
        <is>
          <t>E3</t>
        </is>
      </c>
      <c r="B2041" s="1" t="n">
        <v>51</v>
      </c>
      <c r="C2041" s="2">
        <f>_xlfn.XLOOKUP(B2041,Results!$B$23:$B$119,Results!$D$23:$D$119)</f>
        <v/>
      </c>
      <c r="D2041" s="1" t="n">
        <v>18</v>
      </c>
      <c r="E2041" s="1" t="inlineStr">
        <is>
          <t>CHO</t>
        </is>
      </c>
      <c r="F2041" s="1" t="n">
        <v>4.0577</v>
      </c>
      <c r="G2041" s="1" t="n">
        <v>1.666373</v>
      </c>
    </row>
    <row r="2042">
      <c r="A2042" s="2" t="inlineStr">
        <is>
          <t>E3</t>
        </is>
      </c>
      <c r="B2042" s="2" t="n">
        <v>51</v>
      </c>
      <c r="C2042" s="2">
        <f>_xlfn.XLOOKUP(B2042,Results!$B$23:$B$119,Results!$D$23:$D$119)</f>
        <v/>
      </c>
      <c r="D2042" s="2" t="n">
        <v>19</v>
      </c>
      <c r="E2042" s="2" t="inlineStr">
        <is>
          <t>CHO</t>
        </is>
      </c>
      <c r="F2042" s="2" t="n">
        <v>4.5128</v>
      </c>
      <c r="G2042" s="2" t="n">
        <v>2.118253</v>
      </c>
    </row>
    <row r="2043">
      <c r="A2043" s="1" t="inlineStr">
        <is>
          <t>E3</t>
        </is>
      </c>
      <c r="B2043" s="1" t="n">
        <v>51</v>
      </c>
      <c r="C2043" s="2">
        <f>_xlfn.XLOOKUP(B2043,Results!$B$23:$B$119,Results!$D$23:$D$119)</f>
        <v/>
      </c>
      <c r="D2043" s="1" t="n">
        <v>20</v>
      </c>
      <c r="E2043" s="1" t="inlineStr">
        <is>
          <t>CHO</t>
        </is>
      </c>
      <c r="F2043" s="1" t="n">
        <v>4.9515</v>
      </c>
      <c r="G2043" s="1" t="n">
        <v>2.553841</v>
      </c>
    </row>
    <row r="2044">
      <c r="A2044" s="2" t="inlineStr">
        <is>
          <t>E3</t>
        </is>
      </c>
      <c r="B2044" s="2" t="n">
        <v>51</v>
      </c>
      <c r="C2044" s="2">
        <f>_xlfn.XLOOKUP(B2044,Results!$B$23:$B$119,Results!$D$23:$D$119)</f>
        <v/>
      </c>
      <c r="D2044" s="2" t="n">
        <v>21</v>
      </c>
      <c r="E2044" s="2" t="inlineStr">
        <is>
          <t>CHO</t>
        </is>
      </c>
      <c r="F2044" s="2" t="n">
        <v>5.3384</v>
      </c>
      <c r="G2044" s="2" t="n">
        <v>2.937623</v>
      </c>
    </row>
    <row r="2045">
      <c r="A2045" s="1" t="inlineStr">
        <is>
          <t>E3</t>
        </is>
      </c>
      <c r="B2045" s="1" t="n">
        <v>51</v>
      </c>
      <c r="C2045" s="2">
        <f>_xlfn.XLOOKUP(B2045,Results!$B$23:$B$119,Results!$D$23:$D$119)</f>
        <v/>
      </c>
      <c r="D2045" s="1" t="n">
        <v>22</v>
      </c>
      <c r="E2045" s="1" t="inlineStr">
        <is>
          <t>CHO</t>
        </is>
      </c>
      <c r="F2045" s="1" t="n">
        <v>5.6915</v>
      </c>
      <c r="G2045" s="1" t="n">
        <v>3.28755</v>
      </c>
    </row>
    <row r="2046">
      <c r="A2046" s="2" t="inlineStr">
        <is>
          <t>E3</t>
        </is>
      </c>
      <c r="B2046" s="2" t="n">
        <v>51</v>
      </c>
      <c r="C2046" s="2">
        <f>_xlfn.XLOOKUP(B2046,Results!$B$23:$B$119,Results!$D$23:$D$119)</f>
        <v/>
      </c>
      <c r="D2046" s="2" t="n">
        <v>23</v>
      </c>
      <c r="E2046" s="2" t="inlineStr">
        <is>
          <t>CHO</t>
        </is>
      </c>
      <c r="F2046" s="2" t="n">
        <v>5.9717</v>
      </c>
      <c r="G2046" s="2" t="n">
        <v>3.56464</v>
      </c>
    </row>
    <row r="2047">
      <c r="A2047" s="1" t="inlineStr">
        <is>
          <t>E3</t>
        </is>
      </c>
      <c r="B2047" s="1" t="n">
        <v>51</v>
      </c>
      <c r="C2047" s="2">
        <f>_xlfn.XLOOKUP(B2047,Results!$B$23:$B$119,Results!$D$23:$D$119)</f>
        <v/>
      </c>
      <c r="D2047" s="1" t="n">
        <v>24</v>
      </c>
      <c r="E2047" s="1" t="inlineStr">
        <is>
          <t>CHO</t>
        </is>
      </c>
      <c r="F2047" s="1" t="n">
        <v>6.2547</v>
      </c>
      <c r="G2047" s="1" t="n">
        <v>3.844439</v>
      </c>
    </row>
    <row r="2048">
      <c r="A2048" s="2" t="inlineStr">
        <is>
          <t>E3</t>
        </is>
      </c>
      <c r="B2048" s="2" t="n">
        <v>51</v>
      </c>
      <c r="C2048" s="2">
        <f>_xlfn.XLOOKUP(B2048,Results!$B$23:$B$119,Results!$D$23:$D$119)</f>
        <v/>
      </c>
      <c r="D2048" s="2" t="n">
        <v>25</v>
      </c>
      <c r="E2048" s="2" t="inlineStr">
        <is>
          <t>CHO</t>
        </is>
      </c>
      <c r="F2048" s="2" t="n">
        <v>6.4482</v>
      </c>
      <c r="G2048" s="2" t="n">
        <v>4.034843</v>
      </c>
    </row>
    <row r="2049">
      <c r="A2049" s="1" t="inlineStr">
        <is>
          <t>E3</t>
        </is>
      </c>
      <c r="B2049" s="1" t="n">
        <v>51</v>
      </c>
      <c r="C2049" s="2">
        <f>_xlfn.XLOOKUP(B2049,Results!$B$23:$B$119,Results!$D$23:$D$119)</f>
        <v/>
      </c>
      <c r="D2049" s="1" t="n">
        <v>26</v>
      </c>
      <c r="E2049" s="1" t="inlineStr">
        <is>
          <t>CHO</t>
        </is>
      </c>
      <c r="F2049" s="1" t="n">
        <v>6.6529</v>
      </c>
      <c r="G2049" s="1" t="n">
        <v>4.236335</v>
      </c>
    </row>
    <row r="2050">
      <c r="A2050" s="2" t="inlineStr">
        <is>
          <t>E3</t>
        </is>
      </c>
      <c r="B2050" s="2" t="n">
        <v>51</v>
      </c>
      <c r="C2050" s="2">
        <f>_xlfn.XLOOKUP(B2050,Results!$B$23:$B$119,Results!$D$23:$D$119)</f>
        <v/>
      </c>
      <c r="D2050" s="2" t="n">
        <v>27</v>
      </c>
      <c r="E2050" s="2" t="inlineStr">
        <is>
          <t>CHO</t>
        </is>
      </c>
      <c r="F2050" s="2" t="n">
        <v>6.8394</v>
      </c>
      <c r="G2050" s="2" t="n">
        <v>4.419726</v>
      </c>
    </row>
    <row r="2051">
      <c r="A2051" s="1" t="inlineStr">
        <is>
          <t>E3</t>
        </is>
      </c>
      <c r="B2051" s="1" t="n">
        <v>51</v>
      </c>
      <c r="C2051" s="2">
        <f>_xlfn.XLOOKUP(B2051,Results!$B$23:$B$119,Results!$D$23:$D$119)</f>
        <v/>
      </c>
      <c r="D2051" s="1" t="n">
        <v>28</v>
      </c>
      <c r="E2051" s="1" t="inlineStr">
        <is>
          <t>CHO</t>
        </is>
      </c>
      <c r="F2051" s="1" t="n">
        <v>6.9943</v>
      </c>
      <c r="G2051" s="1" t="n">
        <v>4.571485</v>
      </c>
    </row>
    <row r="2052">
      <c r="A2052" s="2" t="inlineStr">
        <is>
          <t>E3</t>
        </is>
      </c>
      <c r="B2052" s="2" t="n">
        <v>51</v>
      </c>
      <c r="C2052" s="2">
        <f>_xlfn.XLOOKUP(B2052,Results!$B$23:$B$119,Results!$D$23:$D$119)</f>
        <v/>
      </c>
      <c r="D2052" s="2" t="n">
        <v>29</v>
      </c>
      <c r="E2052" s="2" t="inlineStr">
        <is>
          <t>CHO</t>
        </is>
      </c>
      <c r="F2052" s="2" t="n">
        <v>7.1097</v>
      </c>
      <c r="G2052" s="2" t="n">
        <v>4.683764</v>
      </c>
    </row>
    <row r="2053">
      <c r="A2053" s="1" t="inlineStr">
        <is>
          <t>E3</t>
        </is>
      </c>
      <c r="B2053" s="1" t="n">
        <v>51</v>
      </c>
      <c r="C2053" s="2">
        <f>_xlfn.XLOOKUP(B2053,Results!$B$23:$B$119,Results!$D$23:$D$119)</f>
        <v/>
      </c>
      <c r="D2053" s="1" t="n">
        <v>30</v>
      </c>
      <c r="E2053" s="1" t="inlineStr">
        <is>
          <t>CHO</t>
        </is>
      </c>
      <c r="F2053" s="1" t="n">
        <v>7.2313</v>
      </c>
      <c r="G2053" s="1" t="n">
        <v>4.802258</v>
      </c>
    </row>
    <row r="2054">
      <c r="A2054" s="2" t="inlineStr">
        <is>
          <t>E3</t>
        </is>
      </c>
      <c r="B2054" s="2" t="n">
        <v>51</v>
      </c>
      <c r="C2054" s="2">
        <f>_xlfn.XLOOKUP(B2054,Results!$B$23:$B$119,Results!$D$23:$D$119)</f>
        <v/>
      </c>
      <c r="D2054" s="2" t="n">
        <v>31</v>
      </c>
      <c r="E2054" s="2" t="inlineStr">
        <is>
          <t>CHO</t>
        </is>
      </c>
      <c r="F2054" s="2" t="n">
        <v>7.3298</v>
      </c>
      <c r="G2054" s="2" t="n">
        <v>4.897522</v>
      </c>
    </row>
    <row r="2055">
      <c r="A2055" s="1" t="inlineStr">
        <is>
          <t>E3</t>
        </is>
      </c>
      <c r="B2055" s="1" t="n">
        <v>51</v>
      </c>
      <c r="C2055" s="2">
        <f>_xlfn.XLOOKUP(B2055,Results!$B$23:$B$119,Results!$D$23:$D$119)</f>
        <v/>
      </c>
      <c r="D2055" s="1" t="n">
        <v>32</v>
      </c>
      <c r="E2055" s="1" t="inlineStr">
        <is>
          <t>CHO</t>
        </is>
      </c>
      <c r="F2055" s="1" t="n">
        <v>7.4285</v>
      </c>
      <c r="G2055" s="1" t="n">
        <v>4.993103</v>
      </c>
    </row>
    <row r="2056">
      <c r="A2056" s="2" t="inlineStr">
        <is>
          <t>E3</t>
        </is>
      </c>
      <c r="B2056" s="2" t="n">
        <v>51</v>
      </c>
      <c r="C2056" s="2">
        <f>_xlfn.XLOOKUP(B2056,Results!$B$23:$B$119,Results!$D$23:$D$119)</f>
        <v/>
      </c>
      <c r="D2056" s="2" t="n">
        <v>33</v>
      </c>
      <c r="E2056" s="2" t="inlineStr">
        <is>
          <t>CHO</t>
        </is>
      </c>
      <c r="F2056" s="2" t="n">
        <v>7.4715</v>
      </c>
      <c r="G2056" s="2" t="n">
        <v>5.032942</v>
      </c>
    </row>
    <row r="2057">
      <c r="A2057" s="1" t="inlineStr">
        <is>
          <t>E3</t>
        </is>
      </c>
      <c r="B2057" s="1" t="n">
        <v>51</v>
      </c>
      <c r="C2057" s="2">
        <f>_xlfn.XLOOKUP(B2057,Results!$B$23:$B$119,Results!$D$23:$D$119)</f>
        <v/>
      </c>
      <c r="D2057" s="1" t="n">
        <v>34</v>
      </c>
      <c r="E2057" s="1" t="inlineStr">
        <is>
          <t>CHO</t>
        </is>
      </c>
      <c r="F2057" s="1" t="n">
        <v>7.5688</v>
      </c>
      <c r="G2057" s="1" t="n">
        <v>5.127174</v>
      </c>
    </row>
    <row r="2058">
      <c r="A2058" s="2" t="inlineStr">
        <is>
          <t>E3</t>
        </is>
      </c>
      <c r="B2058" s="2" t="n">
        <v>51</v>
      </c>
      <c r="C2058" s="2">
        <f>_xlfn.XLOOKUP(B2058,Results!$B$23:$B$119,Results!$D$23:$D$119)</f>
        <v/>
      </c>
      <c r="D2058" s="2" t="n">
        <v>35</v>
      </c>
      <c r="E2058" s="2" t="inlineStr">
        <is>
          <t>CHO</t>
        </is>
      </c>
      <c r="F2058" s="2" t="n">
        <v>7.6355</v>
      </c>
      <c r="G2058" s="2" t="n">
        <v>5.190668</v>
      </c>
    </row>
    <row r="2059">
      <c r="A2059" s="1" t="inlineStr">
        <is>
          <t>E3</t>
        </is>
      </c>
      <c r="B2059" s="1" t="n">
        <v>51</v>
      </c>
      <c r="C2059" s="2">
        <f>_xlfn.XLOOKUP(B2059,Results!$B$23:$B$119,Results!$D$23:$D$119)</f>
        <v/>
      </c>
      <c r="D2059" s="1" t="n">
        <v>36</v>
      </c>
      <c r="E2059" s="1" t="inlineStr">
        <is>
          <t>CHO</t>
        </is>
      </c>
      <c r="F2059" s="1" t="n">
        <v>7.698</v>
      </c>
      <c r="G2059" s="1" t="n">
        <v>5.250048</v>
      </c>
    </row>
    <row r="2060">
      <c r="A2060" s="2" t="inlineStr">
        <is>
          <t>E3</t>
        </is>
      </c>
      <c r="B2060" s="2" t="n">
        <v>51</v>
      </c>
      <c r="C2060" s="2">
        <f>_xlfn.XLOOKUP(B2060,Results!$B$23:$B$119,Results!$D$23:$D$119)</f>
        <v/>
      </c>
      <c r="D2060" s="2" t="n">
        <v>37</v>
      </c>
      <c r="E2060" s="2" t="inlineStr">
        <is>
          <t>CHO</t>
        </is>
      </c>
      <c r="F2060" s="2" t="n">
        <v>7.7621</v>
      </c>
      <c r="G2060" s="2" t="n">
        <v>5.311058</v>
      </c>
    </row>
    <row r="2061">
      <c r="A2061" s="1" t="inlineStr">
        <is>
          <t>E3</t>
        </is>
      </c>
      <c r="B2061" s="1" t="n">
        <v>51</v>
      </c>
      <c r="C2061" s="2">
        <f>_xlfn.XLOOKUP(B2061,Results!$B$23:$B$119,Results!$D$23:$D$119)</f>
        <v/>
      </c>
      <c r="D2061" s="1" t="n">
        <v>38</v>
      </c>
      <c r="E2061" s="1" t="inlineStr">
        <is>
          <t>CHO</t>
        </is>
      </c>
      <c r="F2061" s="1" t="n">
        <v>7.8173</v>
      </c>
      <c r="G2061" s="1" t="n">
        <v>5.363087</v>
      </c>
    </row>
    <row r="2062">
      <c r="A2062" s="2" t="inlineStr">
        <is>
          <t>E3</t>
        </is>
      </c>
      <c r="B2062" s="2" t="n">
        <v>51</v>
      </c>
      <c r="C2062" s="2">
        <f>_xlfn.XLOOKUP(B2062,Results!$B$23:$B$119,Results!$D$23:$D$119)</f>
        <v/>
      </c>
      <c r="D2062" s="2" t="n">
        <v>39</v>
      </c>
      <c r="E2062" s="2" t="inlineStr">
        <is>
          <t>CHO</t>
        </is>
      </c>
      <c r="F2062" s="2" t="n">
        <v>7.8675</v>
      </c>
      <c r="G2062" s="2" t="n">
        <v>5.410087</v>
      </c>
    </row>
    <row r="2063">
      <c r="A2063" s="1" t="inlineStr">
        <is>
          <t>E3</t>
        </is>
      </c>
      <c r="B2063" s="1" t="n">
        <v>51</v>
      </c>
      <c r="C2063" s="2">
        <f>_xlfn.XLOOKUP(B2063,Results!$B$23:$B$119,Results!$D$23:$D$119)</f>
        <v/>
      </c>
      <c r="D2063" s="1" t="n">
        <v>40</v>
      </c>
      <c r="E2063" s="1" t="inlineStr">
        <is>
          <t>CHO</t>
        </is>
      </c>
      <c r="F2063" s="1" t="n">
        <v>7.9088</v>
      </c>
      <c r="G2063" s="1" t="n">
        <v>5.448287</v>
      </c>
    </row>
    <row r="2064">
      <c r="A2064" s="2" t="inlineStr">
        <is>
          <t>E4</t>
        </is>
      </c>
      <c r="B2064" s="2" t="n">
        <v>52</v>
      </c>
      <c r="C2064" s="2">
        <f>_xlfn.XLOOKUP(B2064,Results!$B$23:$B$119,Results!$D$23:$D$119)</f>
        <v/>
      </c>
      <c r="D2064" s="2" t="n">
        <v>1</v>
      </c>
      <c r="E2064" s="2" t="inlineStr">
        <is>
          <t>CHO</t>
        </is>
      </c>
      <c r="F2064" s="2" t="n">
        <v>2.4454</v>
      </c>
      <c r="G2064" s="2" t="n">
        <v>0.005425</v>
      </c>
    </row>
    <row r="2065">
      <c r="A2065" s="1" t="inlineStr">
        <is>
          <t>E4</t>
        </is>
      </c>
      <c r="B2065" s="1" t="n">
        <v>52</v>
      </c>
      <c r="C2065" s="2">
        <f>_xlfn.XLOOKUP(B2065,Results!$B$23:$B$119,Results!$D$23:$D$119)</f>
        <v/>
      </c>
      <c r="D2065" s="1" t="n">
        <v>2</v>
      </c>
      <c r="E2065" s="1" t="inlineStr">
        <is>
          <t>CHO</t>
        </is>
      </c>
      <c r="F2065" s="1" t="n">
        <v>2.4502</v>
      </c>
      <c r="G2065" s="1" t="n">
        <v>0.000788</v>
      </c>
    </row>
    <row r="2066">
      <c r="A2066" s="2" t="inlineStr">
        <is>
          <t>E4</t>
        </is>
      </c>
      <c r="B2066" s="2" t="n">
        <v>52</v>
      </c>
      <c r="C2066" s="2">
        <f>_xlfn.XLOOKUP(B2066,Results!$B$23:$B$119,Results!$D$23:$D$119)</f>
        <v/>
      </c>
      <c r="D2066" s="2" t="n">
        <v>3</v>
      </c>
      <c r="E2066" s="2" t="inlineStr">
        <is>
          <t>CHO</t>
        </is>
      </c>
      <c r="F2066" s="2" t="n">
        <v>2.4612</v>
      </c>
      <c r="G2066" s="2" t="n">
        <v>0.002276</v>
      </c>
    </row>
    <row r="2067">
      <c r="A2067" s="1" t="inlineStr">
        <is>
          <t>E4</t>
        </is>
      </c>
      <c r="B2067" s="1" t="n">
        <v>52</v>
      </c>
      <c r="C2067" s="2">
        <f>_xlfn.XLOOKUP(B2067,Results!$B$23:$B$119,Results!$D$23:$D$119)</f>
        <v/>
      </c>
      <c r="D2067" s="1" t="n">
        <v>4</v>
      </c>
      <c r="E2067" s="1" t="inlineStr">
        <is>
          <t>CHO</t>
        </is>
      </c>
      <c r="F2067" s="1" t="n">
        <v>2.4716</v>
      </c>
      <c r="G2067" s="1" t="n">
        <v>0.003189</v>
      </c>
    </row>
    <row r="2068">
      <c r="A2068" s="2" t="inlineStr">
        <is>
          <t>E4</t>
        </is>
      </c>
      <c r="B2068" s="2" t="n">
        <v>52</v>
      </c>
      <c r="C2068" s="2">
        <f>_xlfn.XLOOKUP(B2068,Results!$B$23:$B$119,Results!$D$23:$D$119)</f>
        <v/>
      </c>
      <c r="D2068" s="2" t="n">
        <v>5</v>
      </c>
      <c r="E2068" s="2" t="inlineStr">
        <is>
          <t>CHO</t>
        </is>
      </c>
      <c r="F2068" s="2" t="n">
        <v>2.4771</v>
      </c>
      <c r="G2068" s="2" t="n">
        <v>-0.000796</v>
      </c>
    </row>
    <row r="2069">
      <c r="A2069" s="1" t="inlineStr">
        <is>
          <t>E4</t>
        </is>
      </c>
      <c r="B2069" s="1" t="n">
        <v>52</v>
      </c>
      <c r="C2069" s="2">
        <f>_xlfn.XLOOKUP(B2069,Results!$B$23:$B$119,Results!$D$23:$D$119)</f>
        <v/>
      </c>
      <c r="D2069" s="1" t="n">
        <v>6</v>
      </c>
      <c r="E2069" s="1" t="inlineStr">
        <is>
          <t>CHO</t>
        </is>
      </c>
      <c r="F2069" s="1" t="n">
        <v>2.4858</v>
      </c>
      <c r="G2069" s="1" t="n">
        <v>-0.001665</v>
      </c>
    </row>
    <row r="2070">
      <c r="A2070" s="2" t="inlineStr">
        <is>
          <t>E4</t>
        </is>
      </c>
      <c r="B2070" s="2" t="n">
        <v>52</v>
      </c>
      <c r="C2070" s="2">
        <f>_xlfn.XLOOKUP(B2070,Results!$B$23:$B$119,Results!$D$23:$D$119)</f>
        <v/>
      </c>
      <c r="D2070" s="2" t="n">
        <v>7</v>
      </c>
      <c r="E2070" s="2" t="inlineStr">
        <is>
          <t>CHO</t>
        </is>
      </c>
      <c r="F2070" s="2" t="n">
        <v>2.4952</v>
      </c>
      <c r="G2070" s="2" t="n">
        <v>-0.001702</v>
      </c>
    </row>
    <row r="2071">
      <c r="A2071" s="1" t="inlineStr">
        <is>
          <t>E4</t>
        </is>
      </c>
      <c r="B2071" s="1" t="n">
        <v>52</v>
      </c>
      <c r="C2071" s="2">
        <f>_xlfn.XLOOKUP(B2071,Results!$B$23:$B$119,Results!$D$23:$D$119)</f>
        <v/>
      </c>
      <c r="D2071" s="1" t="n">
        <v>8</v>
      </c>
      <c r="E2071" s="1" t="inlineStr">
        <is>
          <t>CHO</t>
        </is>
      </c>
      <c r="F2071" s="1" t="n">
        <v>2.5057</v>
      </c>
      <c r="G2071" s="1" t="n">
        <v>-0.000715</v>
      </c>
    </row>
    <row r="2072">
      <c r="A2072" s="2" t="inlineStr">
        <is>
          <t>E4</t>
        </is>
      </c>
      <c r="B2072" s="2" t="n">
        <v>52</v>
      </c>
      <c r="C2072" s="2">
        <f>_xlfn.XLOOKUP(B2072,Results!$B$23:$B$119,Results!$D$23:$D$119)</f>
        <v/>
      </c>
      <c r="D2072" s="2" t="n">
        <v>9</v>
      </c>
      <c r="E2072" s="2" t="inlineStr">
        <is>
          <t>CHO</t>
        </is>
      </c>
      <c r="F2072" s="2" t="n">
        <v>2.5143</v>
      </c>
      <c r="G2072" s="2" t="n">
        <v>-0.001597</v>
      </c>
    </row>
    <row r="2073">
      <c r="A2073" s="1" t="inlineStr">
        <is>
          <t>E4</t>
        </is>
      </c>
      <c r="B2073" s="1" t="n">
        <v>52</v>
      </c>
      <c r="C2073" s="2">
        <f>_xlfn.XLOOKUP(B2073,Results!$B$23:$B$119,Results!$D$23:$D$119)</f>
        <v/>
      </c>
      <c r="D2073" s="1" t="n">
        <v>10</v>
      </c>
      <c r="E2073" s="1" t="inlineStr">
        <is>
          <t>CHO</t>
        </is>
      </c>
      <c r="F2073" s="1" t="n">
        <v>2.5223</v>
      </c>
      <c r="G2073" s="1" t="n">
        <v>-0.003114</v>
      </c>
    </row>
    <row r="2074">
      <c r="A2074" s="2" t="inlineStr">
        <is>
          <t>E4</t>
        </is>
      </c>
      <c r="B2074" s="2" t="n">
        <v>52</v>
      </c>
      <c r="C2074" s="2">
        <f>_xlfn.XLOOKUP(B2074,Results!$B$23:$B$119,Results!$D$23:$D$119)</f>
        <v/>
      </c>
      <c r="D2074" s="2" t="n">
        <v>11</v>
      </c>
      <c r="E2074" s="2" t="inlineStr">
        <is>
          <t>CHO</t>
        </is>
      </c>
      <c r="F2074" s="2" t="n">
        <v>2.533</v>
      </c>
      <c r="G2074" s="2" t="n">
        <v>-0.001896</v>
      </c>
    </row>
    <row r="2075">
      <c r="A2075" s="1" t="inlineStr">
        <is>
          <t>E4</t>
        </is>
      </c>
      <c r="B2075" s="1" t="n">
        <v>52</v>
      </c>
      <c r="C2075" s="2">
        <f>_xlfn.XLOOKUP(B2075,Results!$B$23:$B$119,Results!$D$23:$D$119)</f>
        <v/>
      </c>
      <c r="D2075" s="1" t="n">
        <v>12</v>
      </c>
      <c r="E2075" s="1" t="inlineStr">
        <is>
          <t>CHO</t>
        </is>
      </c>
      <c r="F2075" s="1" t="n">
        <v>2.5467</v>
      </c>
      <c r="G2075" s="1" t="n">
        <v>0.002256</v>
      </c>
    </row>
    <row r="2076">
      <c r="A2076" s="2" t="inlineStr">
        <is>
          <t>E4</t>
        </is>
      </c>
      <c r="B2076" s="2" t="n">
        <v>52</v>
      </c>
      <c r="C2076" s="2">
        <f>_xlfn.XLOOKUP(B2076,Results!$B$23:$B$119,Results!$D$23:$D$119)</f>
        <v/>
      </c>
      <c r="D2076" s="2" t="n">
        <v>13</v>
      </c>
      <c r="E2076" s="2" t="inlineStr">
        <is>
          <t>CHO</t>
        </is>
      </c>
      <c r="F2076" s="2" t="n">
        <v>2.5553</v>
      </c>
      <c r="G2076" s="2" t="n">
        <v>0.001378</v>
      </c>
    </row>
    <row r="2077">
      <c r="A2077" s="1" t="inlineStr">
        <is>
          <t>E4</t>
        </is>
      </c>
      <c r="B2077" s="1" t="n">
        <v>52</v>
      </c>
      <c r="C2077" s="2">
        <f>_xlfn.XLOOKUP(B2077,Results!$B$23:$B$119,Results!$D$23:$D$119)</f>
        <v/>
      </c>
      <c r="D2077" s="1" t="n">
        <v>14</v>
      </c>
      <c r="E2077" s="1" t="inlineStr">
        <is>
          <t>CHO</t>
        </is>
      </c>
      <c r="F2077" s="1" t="n">
        <v>2.5658</v>
      </c>
      <c r="G2077" s="1" t="n">
        <v>0.002386</v>
      </c>
    </row>
    <row r="2078">
      <c r="A2078" s="2" t="inlineStr">
        <is>
          <t>E4</t>
        </is>
      </c>
      <c r="B2078" s="2" t="n">
        <v>52</v>
      </c>
      <c r="C2078" s="2">
        <f>_xlfn.XLOOKUP(B2078,Results!$B$23:$B$119,Results!$D$23:$D$119)</f>
        <v/>
      </c>
      <c r="D2078" s="2" t="n">
        <v>15</v>
      </c>
      <c r="E2078" s="2" t="inlineStr">
        <is>
          <t>CHO</t>
        </is>
      </c>
      <c r="F2078" s="2" t="n">
        <v>2.5786</v>
      </c>
      <c r="G2078" s="2" t="n">
        <v>0.005642</v>
      </c>
    </row>
    <row r="2079">
      <c r="A2079" s="1" t="inlineStr">
        <is>
          <t>E4</t>
        </is>
      </c>
      <c r="B2079" s="1" t="n">
        <v>52</v>
      </c>
      <c r="C2079" s="2">
        <f>_xlfn.XLOOKUP(B2079,Results!$B$23:$B$119,Results!$D$23:$D$119)</f>
        <v/>
      </c>
      <c r="D2079" s="1" t="n">
        <v>16</v>
      </c>
      <c r="E2079" s="1" t="inlineStr">
        <is>
          <t>CHO</t>
        </is>
      </c>
      <c r="F2079" s="1" t="n">
        <v>2.5963</v>
      </c>
      <c r="G2079" s="1" t="n">
        <v>0.013855</v>
      </c>
    </row>
    <row r="2080">
      <c r="A2080" s="2" t="inlineStr">
        <is>
          <t>E4</t>
        </is>
      </c>
      <c r="B2080" s="2" t="n">
        <v>52</v>
      </c>
      <c r="C2080" s="2">
        <f>_xlfn.XLOOKUP(B2080,Results!$B$23:$B$119,Results!$D$23:$D$119)</f>
        <v/>
      </c>
      <c r="D2080" s="2" t="n">
        <v>17</v>
      </c>
      <c r="E2080" s="2" t="inlineStr">
        <is>
          <t>CHO</t>
        </is>
      </c>
      <c r="F2080" s="2" t="n">
        <v>2.6233</v>
      </c>
      <c r="G2080" s="2" t="n">
        <v>0.031387</v>
      </c>
    </row>
    <row r="2081">
      <c r="A2081" s="1" t="inlineStr">
        <is>
          <t>E4</t>
        </is>
      </c>
      <c r="B2081" s="1" t="n">
        <v>52</v>
      </c>
      <c r="C2081" s="2">
        <f>_xlfn.XLOOKUP(B2081,Results!$B$23:$B$119,Results!$D$23:$D$119)</f>
        <v/>
      </c>
      <c r="D2081" s="1" t="n">
        <v>18</v>
      </c>
      <c r="E2081" s="1" t="inlineStr">
        <is>
          <t>CHO</t>
        </is>
      </c>
      <c r="F2081" s="1" t="n">
        <v>2.6694</v>
      </c>
      <c r="G2081" s="1" t="n">
        <v>0.068</v>
      </c>
    </row>
    <row r="2082">
      <c r="A2082" s="2" t="inlineStr">
        <is>
          <t>E4</t>
        </is>
      </c>
      <c r="B2082" s="2" t="n">
        <v>52</v>
      </c>
      <c r="C2082" s="2">
        <f>_xlfn.XLOOKUP(B2082,Results!$B$23:$B$119,Results!$D$23:$D$119)</f>
        <v/>
      </c>
      <c r="D2082" s="2" t="n">
        <v>19</v>
      </c>
      <c r="E2082" s="2" t="inlineStr">
        <is>
          <t>CHO</t>
        </is>
      </c>
      <c r="F2082" s="2" t="n">
        <v>2.7446</v>
      </c>
      <c r="G2082" s="2" t="n">
        <v>0.133687</v>
      </c>
    </row>
    <row r="2083">
      <c r="A2083" s="1" t="inlineStr">
        <is>
          <t>E4</t>
        </is>
      </c>
      <c r="B2083" s="1" t="n">
        <v>52</v>
      </c>
      <c r="C2083" s="2">
        <f>_xlfn.XLOOKUP(B2083,Results!$B$23:$B$119,Results!$D$23:$D$119)</f>
        <v/>
      </c>
      <c r="D2083" s="1" t="n">
        <v>20</v>
      </c>
      <c r="E2083" s="1" t="inlineStr">
        <is>
          <t>CHO</t>
        </is>
      </c>
      <c r="F2083" s="1" t="n">
        <v>2.8784</v>
      </c>
      <c r="G2083" s="1" t="n">
        <v>0.257962</v>
      </c>
    </row>
    <row r="2084">
      <c r="A2084" s="2" t="inlineStr">
        <is>
          <t>E4</t>
        </is>
      </c>
      <c r="B2084" s="2" t="n">
        <v>52</v>
      </c>
      <c r="C2084" s="2">
        <f>_xlfn.XLOOKUP(B2084,Results!$B$23:$B$119,Results!$D$23:$D$119)</f>
        <v/>
      </c>
      <c r="D2084" s="2" t="n">
        <v>21</v>
      </c>
      <c r="E2084" s="2" t="inlineStr">
        <is>
          <t>CHO</t>
        </is>
      </c>
      <c r="F2084" s="2" t="n">
        <v>3.1005</v>
      </c>
      <c r="G2084" s="2" t="n">
        <v>0.47058</v>
      </c>
    </row>
    <row r="2085">
      <c r="A2085" s="1" t="inlineStr">
        <is>
          <t>E4</t>
        </is>
      </c>
      <c r="B2085" s="1" t="n">
        <v>52</v>
      </c>
      <c r="C2085" s="2">
        <f>_xlfn.XLOOKUP(B2085,Results!$B$23:$B$119,Results!$D$23:$D$119)</f>
        <v/>
      </c>
      <c r="D2085" s="1" t="n">
        <v>22</v>
      </c>
      <c r="E2085" s="1" t="inlineStr">
        <is>
          <t>CHO</t>
        </is>
      </c>
      <c r="F2085" s="1" t="n">
        <v>3.419</v>
      </c>
      <c r="G2085" s="1" t="n">
        <v>0.779624</v>
      </c>
    </row>
    <row r="2086">
      <c r="A2086" s="2" t="inlineStr">
        <is>
          <t>E4</t>
        </is>
      </c>
      <c r="B2086" s="2" t="n">
        <v>52</v>
      </c>
      <c r="C2086" s="2">
        <f>_xlfn.XLOOKUP(B2086,Results!$B$23:$B$119,Results!$D$23:$D$119)</f>
        <v/>
      </c>
      <c r="D2086" s="2" t="n">
        <v>23</v>
      </c>
      <c r="E2086" s="2" t="inlineStr">
        <is>
          <t>CHO</t>
        </is>
      </c>
      <c r="F2086" s="2" t="n">
        <v>3.8263</v>
      </c>
      <c r="G2086" s="2" t="n">
        <v>1.177388</v>
      </c>
    </row>
    <row r="2087">
      <c r="A2087" s="1" t="inlineStr">
        <is>
          <t>E4</t>
        </is>
      </c>
      <c r="B2087" s="1" t="n">
        <v>52</v>
      </c>
      <c r="C2087" s="2">
        <f>_xlfn.XLOOKUP(B2087,Results!$B$23:$B$119,Results!$D$23:$D$119)</f>
        <v/>
      </c>
      <c r="D2087" s="1" t="n">
        <v>24</v>
      </c>
      <c r="E2087" s="1" t="inlineStr">
        <is>
          <t>CHO</t>
        </is>
      </c>
      <c r="F2087" s="1" t="n">
        <v>4.286</v>
      </c>
      <c r="G2087" s="1" t="n">
        <v>1.627587</v>
      </c>
    </row>
    <row r="2088">
      <c r="A2088" s="2" t="inlineStr">
        <is>
          <t>E4</t>
        </is>
      </c>
      <c r="B2088" s="2" t="n">
        <v>52</v>
      </c>
      <c r="C2088" s="2">
        <f>_xlfn.XLOOKUP(B2088,Results!$B$23:$B$119,Results!$D$23:$D$119)</f>
        <v/>
      </c>
      <c r="D2088" s="2" t="n">
        <v>25</v>
      </c>
      <c r="E2088" s="2" t="inlineStr">
        <is>
          <t>CHO</t>
        </is>
      </c>
      <c r="F2088" s="2" t="n">
        <v>4.7296</v>
      </c>
      <c r="G2088" s="2" t="n">
        <v>2.061654</v>
      </c>
    </row>
    <row r="2089">
      <c r="A2089" s="1" t="inlineStr">
        <is>
          <t>E4</t>
        </is>
      </c>
      <c r="B2089" s="1" t="n">
        <v>52</v>
      </c>
      <c r="C2089" s="2">
        <f>_xlfn.XLOOKUP(B2089,Results!$B$23:$B$119,Results!$D$23:$D$119)</f>
        <v/>
      </c>
      <c r="D2089" s="1" t="n">
        <v>26</v>
      </c>
      <c r="E2089" s="1" t="inlineStr">
        <is>
          <t>CHO</t>
        </is>
      </c>
      <c r="F2089" s="1" t="n">
        <v>5.15</v>
      </c>
      <c r="G2089" s="1" t="n">
        <v>2.472562</v>
      </c>
    </row>
    <row r="2090">
      <c r="A2090" s="2" t="inlineStr">
        <is>
          <t>E4</t>
        </is>
      </c>
      <c r="B2090" s="2" t="n">
        <v>52</v>
      </c>
      <c r="C2090" s="2">
        <f>_xlfn.XLOOKUP(B2090,Results!$B$23:$B$119,Results!$D$23:$D$119)</f>
        <v/>
      </c>
      <c r="D2090" s="2" t="n">
        <v>27</v>
      </c>
      <c r="E2090" s="2" t="inlineStr">
        <is>
          <t>CHO</t>
        </is>
      </c>
      <c r="F2090" s="2" t="n">
        <v>5.5554</v>
      </c>
      <c r="G2090" s="2" t="n">
        <v>2.86846</v>
      </c>
    </row>
    <row r="2091">
      <c r="A2091" s="1" t="inlineStr">
        <is>
          <t>E4</t>
        </is>
      </c>
      <c r="B2091" s="1" t="n">
        <v>52</v>
      </c>
      <c r="C2091" s="2">
        <f>_xlfn.XLOOKUP(B2091,Results!$B$23:$B$119,Results!$D$23:$D$119)</f>
        <v/>
      </c>
      <c r="D2091" s="1" t="n">
        <v>28</v>
      </c>
      <c r="E2091" s="1" t="inlineStr">
        <is>
          <t>CHO</t>
        </is>
      </c>
      <c r="F2091" s="1" t="n">
        <v>5.8766</v>
      </c>
      <c r="G2091" s="1" t="n">
        <v>3.180224</v>
      </c>
    </row>
    <row r="2092">
      <c r="A2092" s="2" t="inlineStr">
        <is>
          <t>E4</t>
        </is>
      </c>
      <c r="B2092" s="2" t="n">
        <v>52</v>
      </c>
      <c r="C2092" s="2">
        <f>_xlfn.XLOOKUP(B2092,Results!$B$23:$B$119,Results!$D$23:$D$119)</f>
        <v/>
      </c>
      <c r="D2092" s="2" t="n">
        <v>29</v>
      </c>
      <c r="E2092" s="2" t="inlineStr">
        <is>
          <t>CHO</t>
        </is>
      </c>
      <c r="F2092" s="2" t="n">
        <v>6.198</v>
      </c>
      <c r="G2092" s="2" t="n">
        <v>3.492088</v>
      </c>
    </row>
    <row r="2093">
      <c r="A2093" s="1" t="inlineStr">
        <is>
          <t>E4</t>
        </is>
      </c>
      <c r="B2093" s="1" t="n">
        <v>52</v>
      </c>
      <c r="C2093" s="2">
        <f>_xlfn.XLOOKUP(B2093,Results!$B$23:$B$119,Results!$D$23:$D$119)</f>
        <v/>
      </c>
      <c r="D2093" s="1" t="n">
        <v>30</v>
      </c>
      <c r="E2093" s="1" t="inlineStr">
        <is>
          <t>CHO</t>
        </is>
      </c>
      <c r="F2093" s="1" t="n">
        <v>6.4859</v>
      </c>
      <c r="G2093" s="1" t="n">
        <v>3.770447</v>
      </c>
    </row>
    <row r="2094">
      <c r="A2094" s="2" t="inlineStr">
        <is>
          <t>E4</t>
        </is>
      </c>
      <c r="B2094" s="2" t="n">
        <v>52</v>
      </c>
      <c r="C2094" s="2">
        <f>_xlfn.XLOOKUP(B2094,Results!$B$23:$B$119,Results!$D$23:$D$119)</f>
        <v/>
      </c>
      <c r="D2094" s="2" t="n">
        <v>31</v>
      </c>
      <c r="E2094" s="2" t="inlineStr">
        <is>
          <t>CHO</t>
        </is>
      </c>
      <c r="F2094" s="2" t="n">
        <v>6.7151</v>
      </c>
      <c r="G2094" s="2" t="n">
        <v>3.990169</v>
      </c>
    </row>
    <row r="2095">
      <c r="A2095" s="1" t="inlineStr">
        <is>
          <t>E4</t>
        </is>
      </c>
      <c r="B2095" s="1" t="n">
        <v>52</v>
      </c>
      <c r="C2095" s="2">
        <f>_xlfn.XLOOKUP(B2095,Results!$B$23:$B$119,Results!$D$23:$D$119)</f>
        <v/>
      </c>
      <c r="D2095" s="1" t="n">
        <v>32</v>
      </c>
      <c r="E2095" s="1" t="inlineStr">
        <is>
          <t>CHO</t>
        </is>
      </c>
      <c r="F2095" s="1" t="n">
        <v>6.9282</v>
      </c>
      <c r="G2095" s="1" t="n">
        <v>4.193773</v>
      </c>
    </row>
    <row r="2096">
      <c r="A2096" s="2" t="inlineStr">
        <is>
          <t>E4</t>
        </is>
      </c>
      <c r="B2096" s="2" t="n">
        <v>52</v>
      </c>
      <c r="C2096" s="2">
        <f>_xlfn.XLOOKUP(B2096,Results!$B$23:$B$119,Results!$D$23:$D$119)</f>
        <v/>
      </c>
      <c r="D2096" s="2" t="n">
        <v>33</v>
      </c>
      <c r="E2096" s="2" t="inlineStr">
        <is>
          <t>CHO</t>
        </is>
      </c>
      <c r="F2096" s="2" t="n">
        <v>7.1371</v>
      </c>
      <c r="G2096" s="2" t="n">
        <v>4.393184</v>
      </c>
    </row>
    <row r="2097">
      <c r="A2097" s="1" t="inlineStr">
        <is>
          <t>E4</t>
        </is>
      </c>
      <c r="B2097" s="1" t="n">
        <v>52</v>
      </c>
      <c r="C2097" s="2">
        <f>_xlfn.XLOOKUP(B2097,Results!$B$23:$B$119,Results!$D$23:$D$119)</f>
        <v/>
      </c>
      <c r="D2097" s="1" t="n">
        <v>34</v>
      </c>
      <c r="E2097" s="1" t="inlineStr">
        <is>
          <t>CHO</t>
        </is>
      </c>
      <c r="F2097" s="1" t="n">
        <v>7.3002</v>
      </c>
      <c r="G2097" s="1" t="n">
        <v>4.546809</v>
      </c>
    </row>
    <row r="2098">
      <c r="A2098" s="2" t="inlineStr">
        <is>
          <t>E4</t>
        </is>
      </c>
      <c r="B2098" s="2" t="n">
        <v>52</v>
      </c>
      <c r="C2098" s="2">
        <f>_xlfn.XLOOKUP(B2098,Results!$B$23:$B$119,Results!$D$23:$D$119)</f>
        <v/>
      </c>
      <c r="D2098" s="2" t="n">
        <v>35</v>
      </c>
      <c r="E2098" s="2" t="inlineStr">
        <is>
          <t>CHO</t>
        </is>
      </c>
      <c r="F2098" s="2" t="n">
        <v>7.4402</v>
      </c>
      <c r="G2098" s="2" t="n">
        <v>4.677244</v>
      </c>
    </row>
    <row r="2099">
      <c r="A2099" s="1" t="inlineStr">
        <is>
          <t>E4</t>
        </is>
      </c>
      <c r="B2099" s="1" t="n">
        <v>52</v>
      </c>
      <c r="C2099" s="2">
        <f>_xlfn.XLOOKUP(B2099,Results!$B$23:$B$119,Results!$D$23:$D$119)</f>
        <v/>
      </c>
      <c r="D2099" s="1" t="n">
        <v>36</v>
      </c>
      <c r="E2099" s="1" t="inlineStr">
        <is>
          <t>CHO</t>
        </is>
      </c>
      <c r="F2099" s="1" t="n">
        <v>7.6</v>
      </c>
      <c r="G2099" s="1" t="n">
        <v>4.827595</v>
      </c>
    </row>
    <row r="2100">
      <c r="A2100" s="2" t="inlineStr">
        <is>
          <t>E4</t>
        </is>
      </c>
      <c r="B2100" s="2" t="n">
        <v>52</v>
      </c>
      <c r="C2100" s="2">
        <f>_xlfn.XLOOKUP(B2100,Results!$B$23:$B$119,Results!$D$23:$D$119)</f>
        <v/>
      </c>
      <c r="D2100" s="2" t="n">
        <v>37</v>
      </c>
      <c r="E2100" s="2" t="inlineStr">
        <is>
          <t>CHO</t>
        </is>
      </c>
      <c r="F2100" s="2" t="n">
        <v>7.7247</v>
      </c>
      <c r="G2100" s="2" t="n">
        <v>4.942799</v>
      </c>
    </row>
    <row r="2101">
      <c r="A2101" s="1" t="inlineStr">
        <is>
          <t>E4</t>
        </is>
      </c>
      <c r="B2101" s="1" t="n">
        <v>52</v>
      </c>
      <c r="C2101" s="2">
        <f>_xlfn.XLOOKUP(B2101,Results!$B$23:$B$119,Results!$D$23:$D$119)</f>
        <v/>
      </c>
      <c r="D2101" s="1" t="n">
        <v>38</v>
      </c>
      <c r="E2101" s="1" t="inlineStr">
        <is>
          <t>CHO</t>
        </is>
      </c>
      <c r="F2101" s="1" t="n">
        <v>7.8118</v>
      </c>
      <c r="G2101" s="1" t="n">
        <v>5.020334</v>
      </c>
    </row>
    <row r="2102">
      <c r="A2102" s="2" t="inlineStr">
        <is>
          <t>E4</t>
        </is>
      </c>
      <c r="B2102" s="2" t="n">
        <v>52</v>
      </c>
      <c r="C2102" s="2">
        <f>_xlfn.XLOOKUP(B2102,Results!$B$23:$B$119,Results!$D$23:$D$119)</f>
        <v/>
      </c>
      <c r="D2102" s="2" t="n">
        <v>39</v>
      </c>
      <c r="E2102" s="2" t="inlineStr">
        <is>
          <t>CHO</t>
        </is>
      </c>
      <c r="F2102" s="2" t="n">
        <v>7.9095</v>
      </c>
      <c r="G2102" s="2" t="n">
        <v>5.108536</v>
      </c>
    </row>
    <row r="2103">
      <c r="A2103" s="1" t="inlineStr">
        <is>
          <t>E4</t>
        </is>
      </c>
      <c r="B2103" s="1" t="n">
        <v>52</v>
      </c>
      <c r="C2103" s="2">
        <f>_xlfn.XLOOKUP(B2103,Results!$B$23:$B$119,Results!$D$23:$D$119)</f>
        <v/>
      </c>
      <c r="D2103" s="1" t="n">
        <v>40</v>
      </c>
      <c r="E2103" s="1" t="inlineStr">
        <is>
          <t>CHO</t>
        </is>
      </c>
      <c r="F2103" s="1" t="n">
        <v>7.9751</v>
      </c>
      <c r="G2103" s="1" t="n">
        <v>5.16469</v>
      </c>
    </row>
    <row r="2104">
      <c r="A2104" s="2" t="inlineStr">
        <is>
          <t>E5</t>
        </is>
      </c>
      <c r="B2104" s="2" t="n">
        <v>53</v>
      </c>
      <c r="C2104" s="2">
        <f>_xlfn.XLOOKUP(B2104,Results!$B$23:$B$119,Results!$D$23:$D$119)</f>
        <v/>
      </c>
      <c r="D2104" s="2" t="n">
        <v>1</v>
      </c>
      <c r="E2104" s="2" t="inlineStr">
        <is>
          <t>CHO</t>
        </is>
      </c>
      <c r="F2104" s="2" t="n">
        <v>2.4492</v>
      </c>
      <c r="G2104" s="2" t="n">
        <v>0.003149</v>
      </c>
    </row>
    <row r="2105">
      <c r="A2105" s="1" t="inlineStr">
        <is>
          <t>E5</t>
        </is>
      </c>
      <c r="B2105" s="1" t="n">
        <v>53</v>
      </c>
      <c r="C2105" s="2">
        <f>_xlfn.XLOOKUP(B2105,Results!$B$23:$B$119,Results!$D$23:$D$119)</f>
        <v/>
      </c>
      <c r="D2105" s="1" t="n">
        <v>2</v>
      </c>
      <c r="E2105" s="1" t="inlineStr">
        <is>
          <t>CHO</t>
        </is>
      </c>
      <c r="F2105" s="1" t="n">
        <v>2.4503</v>
      </c>
      <c r="G2105" s="1" t="n">
        <v>-0.004727</v>
      </c>
    </row>
    <row r="2106">
      <c r="A2106" s="2" t="inlineStr">
        <is>
          <t>E5</t>
        </is>
      </c>
      <c r="B2106" s="2" t="n">
        <v>53</v>
      </c>
      <c r="C2106" s="2">
        <f>_xlfn.XLOOKUP(B2106,Results!$B$23:$B$119,Results!$D$23:$D$119)</f>
        <v/>
      </c>
      <c r="D2106" s="2" t="n">
        <v>3</v>
      </c>
      <c r="E2106" s="2" t="inlineStr">
        <is>
          <t>CHO</t>
        </is>
      </c>
      <c r="F2106" s="2" t="n">
        <v>2.4634</v>
      </c>
      <c r="G2106" s="2" t="n">
        <v>-0.000599</v>
      </c>
    </row>
    <row r="2107">
      <c r="A2107" s="1" t="inlineStr">
        <is>
          <t>E5</t>
        </is>
      </c>
      <c r="B2107" s="1" t="n">
        <v>53</v>
      </c>
      <c r="C2107" s="2">
        <f>_xlfn.XLOOKUP(B2107,Results!$B$23:$B$119,Results!$D$23:$D$119)</f>
        <v/>
      </c>
      <c r="D2107" s="1" t="n">
        <v>4</v>
      </c>
      <c r="E2107" s="1" t="inlineStr">
        <is>
          <t>CHO</t>
        </is>
      </c>
      <c r="F2107" s="1" t="n">
        <v>2.474</v>
      </c>
      <c r="G2107" s="1" t="n">
        <v>0.001021</v>
      </c>
    </row>
    <row r="2108">
      <c r="A2108" s="2" t="inlineStr">
        <is>
          <t>E5</t>
        </is>
      </c>
      <c r="B2108" s="2" t="n">
        <v>53</v>
      </c>
      <c r="C2108" s="2">
        <f>_xlfn.XLOOKUP(B2108,Results!$B$23:$B$119,Results!$D$23:$D$119)</f>
        <v/>
      </c>
      <c r="D2108" s="2" t="n">
        <v>5</v>
      </c>
      <c r="E2108" s="2" t="inlineStr">
        <is>
          <t>CHO</t>
        </is>
      </c>
      <c r="F2108" s="2" t="n">
        <v>2.4816</v>
      </c>
      <c r="G2108" s="2" t="n">
        <v>-0.000404</v>
      </c>
    </row>
    <row r="2109">
      <c r="A2109" s="1" t="inlineStr">
        <is>
          <t>E5</t>
        </is>
      </c>
      <c r="B2109" s="1" t="n">
        <v>53</v>
      </c>
      <c r="C2109" s="2">
        <f>_xlfn.XLOOKUP(B2109,Results!$B$23:$B$119,Results!$D$23:$D$119)</f>
        <v/>
      </c>
      <c r="D2109" s="1" t="n">
        <v>6</v>
      </c>
      <c r="E2109" s="1" t="inlineStr">
        <is>
          <t>CHO</t>
        </is>
      </c>
      <c r="F2109" s="1" t="n">
        <v>2.4921</v>
      </c>
      <c r="G2109" s="1" t="n">
        <v>0.001174</v>
      </c>
    </row>
    <row r="2110">
      <c r="A2110" s="2" t="inlineStr">
        <is>
          <t>E5</t>
        </is>
      </c>
      <c r="B2110" s="2" t="n">
        <v>53</v>
      </c>
      <c r="C2110" s="2">
        <f>_xlfn.XLOOKUP(B2110,Results!$B$23:$B$119,Results!$D$23:$D$119)</f>
        <v/>
      </c>
      <c r="D2110" s="2" t="n">
        <v>7</v>
      </c>
      <c r="E2110" s="2" t="inlineStr">
        <is>
          <t>CHO</t>
        </is>
      </c>
      <c r="F2110" s="2" t="n">
        <v>2.502</v>
      </c>
      <c r="G2110" s="2" t="n">
        <v>0.002028</v>
      </c>
    </row>
    <row r="2111">
      <c r="A2111" s="1" t="inlineStr">
        <is>
          <t>E5</t>
        </is>
      </c>
      <c r="B2111" s="1" t="n">
        <v>53</v>
      </c>
      <c r="C2111" s="2">
        <f>_xlfn.XLOOKUP(B2111,Results!$B$23:$B$119,Results!$D$23:$D$119)</f>
        <v/>
      </c>
      <c r="D2111" s="1" t="n">
        <v>8</v>
      </c>
      <c r="E2111" s="1" t="inlineStr">
        <is>
          <t>CHO</t>
        </is>
      </c>
      <c r="F2111" s="1" t="n">
        <v>2.5106</v>
      </c>
      <c r="G2111" s="1" t="n">
        <v>0.001666</v>
      </c>
    </row>
    <row r="2112">
      <c r="A2112" s="2" t="inlineStr">
        <is>
          <t>E5</t>
        </is>
      </c>
      <c r="B2112" s="2" t="n">
        <v>53</v>
      </c>
      <c r="C2112" s="2">
        <f>_xlfn.XLOOKUP(B2112,Results!$B$23:$B$119,Results!$D$23:$D$119)</f>
        <v/>
      </c>
      <c r="D2112" s="2" t="n">
        <v>9</v>
      </c>
      <c r="E2112" s="2" t="inlineStr">
        <is>
          <t>CHO</t>
        </is>
      </c>
      <c r="F2112" s="2" t="n">
        <v>2.5167</v>
      </c>
      <c r="G2112" s="2" t="n">
        <v>-0.00117</v>
      </c>
    </row>
    <row r="2113">
      <c r="A2113" s="1" t="inlineStr">
        <is>
          <t>E5</t>
        </is>
      </c>
      <c r="B2113" s="1" t="n">
        <v>53</v>
      </c>
      <c r="C2113" s="2">
        <f>_xlfn.XLOOKUP(B2113,Results!$B$23:$B$119,Results!$D$23:$D$119)</f>
        <v/>
      </c>
      <c r="D2113" s="1" t="n">
        <v>10</v>
      </c>
      <c r="E2113" s="1" t="inlineStr">
        <is>
          <t>CHO</t>
        </is>
      </c>
      <c r="F2113" s="1" t="n">
        <v>2.5243</v>
      </c>
      <c r="G2113" s="1" t="n">
        <v>-0.0026</v>
      </c>
    </row>
    <row r="2114">
      <c r="A2114" s="2" t="inlineStr">
        <is>
          <t>E5</t>
        </is>
      </c>
      <c r="B2114" s="2" t="n">
        <v>53</v>
      </c>
      <c r="C2114" s="2">
        <f>_xlfn.XLOOKUP(B2114,Results!$B$23:$B$119,Results!$D$23:$D$119)</f>
        <v/>
      </c>
      <c r="D2114" s="2" t="n">
        <v>11</v>
      </c>
      <c r="E2114" s="2" t="inlineStr">
        <is>
          <t>CHO</t>
        </is>
      </c>
      <c r="F2114" s="2" t="n">
        <v>2.5318</v>
      </c>
      <c r="G2114" s="2" t="n">
        <v>-0.004062</v>
      </c>
    </row>
    <row r="2115">
      <c r="A2115" s="1" t="inlineStr">
        <is>
          <t>E5</t>
        </is>
      </c>
      <c r="B2115" s="1" t="n">
        <v>53</v>
      </c>
      <c r="C2115" s="2">
        <f>_xlfn.XLOOKUP(B2115,Results!$B$23:$B$119,Results!$D$23:$D$119)</f>
        <v/>
      </c>
      <c r="D2115" s="1" t="n">
        <v>12</v>
      </c>
      <c r="E2115" s="1" t="inlineStr">
        <is>
          <t>CHO</t>
        </is>
      </c>
      <c r="F2115" s="1" t="n">
        <v>2.5418</v>
      </c>
      <c r="G2115" s="1" t="n">
        <v>-0.002974</v>
      </c>
    </row>
    <row r="2116">
      <c r="A2116" s="2" t="inlineStr">
        <is>
          <t>E5</t>
        </is>
      </c>
      <c r="B2116" s="2" t="n">
        <v>53</v>
      </c>
      <c r="C2116" s="2">
        <f>_xlfn.XLOOKUP(B2116,Results!$B$23:$B$119,Results!$D$23:$D$119)</f>
        <v/>
      </c>
      <c r="D2116" s="2" t="n">
        <v>13</v>
      </c>
      <c r="E2116" s="2" t="inlineStr">
        <is>
          <t>CHO</t>
        </is>
      </c>
      <c r="F2116" s="2" t="n">
        <v>2.5546</v>
      </c>
      <c r="G2116" s="2" t="n">
        <v>0.0008229999999999999</v>
      </c>
    </row>
    <row r="2117">
      <c r="A2117" s="1" t="inlineStr">
        <is>
          <t>E5</t>
        </is>
      </c>
      <c r="B2117" s="1" t="n">
        <v>53</v>
      </c>
      <c r="C2117" s="2">
        <f>_xlfn.XLOOKUP(B2117,Results!$B$23:$B$119,Results!$D$23:$D$119)</f>
        <v/>
      </c>
      <c r="D2117" s="1" t="n">
        <v>14</v>
      </c>
      <c r="E2117" s="1" t="inlineStr">
        <is>
          <t>CHO</t>
        </is>
      </c>
      <c r="F2117" s="1" t="n">
        <v>2.5679</v>
      </c>
      <c r="G2117" s="1" t="n">
        <v>0.005099</v>
      </c>
    </row>
    <row r="2118">
      <c r="A2118" s="2" t="inlineStr">
        <is>
          <t>E5</t>
        </is>
      </c>
      <c r="B2118" s="2" t="n">
        <v>53</v>
      </c>
      <c r="C2118" s="2">
        <f>_xlfn.XLOOKUP(B2118,Results!$B$23:$B$119,Results!$D$23:$D$119)</f>
        <v/>
      </c>
      <c r="D2118" s="2" t="n">
        <v>15</v>
      </c>
      <c r="E2118" s="2" t="inlineStr">
        <is>
          <t>CHO</t>
        </is>
      </c>
      <c r="F2118" s="2" t="n">
        <v>2.5794</v>
      </c>
      <c r="G2118" s="2" t="n">
        <v>0.007642</v>
      </c>
    </row>
    <row r="2119">
      <c r="A2119" s="1" t="inlineStr">
        <is>
          <t>E5</t>
        </is>
      </c>
      <c r="B2119" s="1" t="n">
        <v>53</v>
      </c>
      <c r="C2119" s="2">
        <f>_xlfn.XLOOKUP(B2119,Results!$B$23:$B$119,Results!$D$23:$D$119)</f>
        <v/>
      </c>
      <c r="D2119" s="1" t="n">
        <v>16</v>
      </c>
      <c r="E2119" s="1" t="inlineStr">
        <is>
          <t>CHO</t>
        </is>
      </c>
      <c r="F2119" s="1" t="n">
        <v>2.5994</v>
      </c>
      <c r="G2119" s="1" t="n">
        <v>0.018644</v>
      </c>
    </row>
    <row r="2120">
      <c r="A2120" s="2" t="inlineStr">
        <is>
          <t>E5</t>
        </is>
      </c>
      <c r="B2120" s="2" t="n">
        <v>53</v>
      </c>
      <c r="C2120" s="2">
        <f>_xlfn.XLOOKUP(B2120,Results!$B$23:$B$119,Results!$D$23:$D$119)</f>
        <v/>
      </c>
      <c r="D2120" s="2" t="n">
        <v>17</v>
      </c>
      <c r="E2120" s="2" t="inlineStr">
        <is>
          <t>CHO</t>
        </is>
      </c>
      <c r="F2120" s="2" t="n">
        <v>2.6305</v>
      </c>
      <c r="G2120" s="2" t="n">
        <v>0.040799</v>
      </c>
    </row>
    <row r="2121">
      <c r="A2121" s="1" t="inlineStr">
        <is>
          <t>E5</t>
        </is>
      </c>
      <c r="B2121" s="1" t="n">
        <v>53</v>
      </c>
      <c r="C2121" s="2">
        <f>_xlfn.XLOOKUP(B2121,Results!$B$23:$B$119,Results!$D$23:$D$119)</f>
        <v/>
      </c>
      <c r="D2121" s="1" t="n">
        <v>18</v>
      </c>
      <c r="E2121" s="1" t="inlineStr">
        <is>
          <t>CHO</t>
        </is>
      </c>
      <c r="F2121" s="1" t="n">
        <v>2.67</v>
      </c>
      <c r="G2121" s="1" t="n">
        <v>0.071363</v>
      </c>
    </row>
    <row r="2122">
      <c r="A2122" s="2" t="inlineStr">
        <is>
          <t>E5</t>
        </is>
      </c>
      <c r="B2122" s="2" t="n">
        <v>53</v>
      </c>
      <c r="C2122" s="2">
        <f>_xlfn.XLOOKUP(B2122,Results!$B$23:$B$119,Results!$D$23:$D$119)</f>
        <v/>
      </c>
      <c r="D2122" s="2" t="n">
        <v>19</v>
      </c>
      <c r="E2122" s="2" t="inlineStr">
        <is>
          <t>CHO</t>
        </is>
      </c>
      <c r="F2122" s="2" t="n">
        <v>2.752</v>
      </c>
      <c r="G2122" s="2" t="n">
        <v>0.144358</v>
      </c>
    </row>
    <row r="2123">
      <c r="A2123" s="1" t="inlineStr">
        <is>
          <t>E5</t>
        </is>
      </c>
      <c r="B2123" s="1" t="n">
        <v>53</v>
      </c>
      <c r="C2123" s="2">
        <f>_xlfn.XLOOKUP(B2123,Results!$B$23:$B$119,Results!$D$23:$D$119)</f>
        <v/>
      </c>
      <c r="D2123" s="1" t="n">
        <v>20</v>
      </c>
      <c r="E2123" s="1" t="inlineStr">
        <is>
          <t>CHO</t>
        </is>
      </c>
      <c r="F2123" s="1" t="n">
        <v>2.8868</v>
      </c>
      <c r="G2123" s="1" t="n">
        <v>0.270138</v>
      </c>
    </row>
    <row r="2124">
      <c r="A2124" s="2" t="inlineStr">
        <is>
          <t>E5</t>
        </is>
      </c>
      <c r="B2124" s="2" t="n">
        <v>53</v>
      </c>
      <c r="C2124" s="2">
        <f>_xlfn.XLOOKUP(B2124,Results!$B$23:$B$119,Results!$D$23:$D$119)</f>
        <v/>
      </c>
      <c r="D2124" s="2" t="n">
        <v>21</v>
      </c>
      <c r="E2124" s="2" t="inlineStr">
        <is>
          <t>CHO</t>
        </is>
      </c>
      <c r="F2124" s="2" t="n">
        <v>3.1104</v>
      </c>
      <c r="G2124" s="2" t="n">
        <v>0.484758</v>
      </c>
    </row>
    <row r="2125">
      <c r="A2125" s="1" t="inlineStr">
        <is>
          <t>E5</t>
        </is>
      </c>
      <c r="B2125" s="1" t="n">
        <v>53</v>
      </c>
      <c r="C2125" s="2">
        <f>_xlfn.XLOOKUP(B2125,Results!$B$23:$B$119,Results!$D$23:$D$119)</f>
        <v/>
      </c>
      <c r="D2125" s="1" t="n">
        <v>22</v>
      </c>
      <c r="E2125" s="1" t="inlineStr">
        <is>
          <t>CHO</t>
        </is>
      </c>
      <c r="F2125" s="1" t="n">
        <v>3.4393</v>
      </c>
      <c r="G2125" s="1" t="n">
        <v>0.804768</v>
      </c>
    </row>
    <row r="2126">
      <c r="A2126" s="2" t="inlineStr">
        <is>
          <t>E5</t>
        </is>
      </c>
      <c r="B2126" s="2" t="n">
        <v>53</v>
      </c>
      <c r="C2126" s="2">
        <f>_xlfn.XLOOKUP(B2126,Results!$B$23:$B$119,Results!$D$23:$D$119)</f>
        <v/>
      </c>
      <c r="D2126" s="2" t="n">
        <v>23</v>
      </c>
      <c r="E2126" s="2" t="inlineStr">
        <is>
          <t>CHO</t>
        </is>
      </c>
      <c r="F2126" s="2" t="n">
        <v>3.8566</v>
      </c>
      <c r="G2126" s="2" t="n">
        <v>1.213087</v>
      </c>
    </row>
    <row r="2127">
      <c r="A2127" s="1" t="inlineStr">
        <is>
          <t>E5</t>
        </is>
      </c>
      <c r="B2127" s="1" t="n">
        <v>53</v>
      </c>
      <c r="C2127" s="2">
        <f>_xlfn.XLOOKUP(B2127,Results!$B$23:$B$119,Results!$D$23:$D$119)</f>
        <v/>
      </c>
      <c r="D2127" s="1" t="n">
        <v>24</v>
      </c>
      <c r="E2127" s="1" t="inlineStr">
        <is>
          <t>CHO</t>
        </is>
      </c>
      <c r="F2127" s="1" t="n">
        <v>4.3238</v>
      </c>
      <c r="G2127" s="1" t="n">
        <v>1.671311</v>
      </c>
    </row>
    <row r="2128">
      <c r="A2128" s="2" t="inlineStr">
        <is>
          <t>E5</t>
        </is>
      </c>
      <c r="B2128" s="2" t="n">
        <v>53</v>
      </c>
      <c r="C2128" s="2">
        <f>_xlfn.XLOOKUP(B2128,Results!$B$23:$B$119,Results!$D$23:$D$119)</f>
        <v/>
      </c>
      <c r="D2128" s="2" t="n">
        <v>25</v>
      </c>
      <c r="E2128" s="2" t="inlineStr">
        <is>
          <t>CHO</t>
        </is>
      </c>
      <c r="F2128" s="2" t="n">
        <v>4.7744</v>
      </c>
      <c r="G2128" s="2" t="n">
        <v>2.11286</v>
      </c>
    </row>
    <row r="2129">
      <c r="A2129" s="1" t="inlineStr">
        <is>
          <t>E5</t>
        </is>
      </c>
      <c r="B2129" s="1" t="n">
        <v>53</v>
      </c>
      <c r="C2129" s="2">
        <f>_xlfn.XLOOKUP(B2129,Results!$B$23:$B$119,Results!$D$23:$D$119)</f>
        <v/>
      </c>
      <c r="D2129" s="1" t="n">
        <v>26</v>
      </c>
      <c r="E2129" s="1" t="inlineStr">
        <is>
          <t>CHO</t>
        </is>
      </c>
      <c r="F2129" s="1" t="n">
        <v>5.2177</v>
      </c>
      <c r="G2129" s="1" t="n">
        <v>2.547177</v>
      </c>
    </row>
    <row r="2130">
      <c r="A2130" s="2" t="inlineStr">
        <is>
          <t>E5</t>
        </is>
      </c>
      <c r="B2130" s="2" t="n">
        <v>53</v>
      </c>
      <c r="C2130" s="2">
        <f>_xlfn.XLOOKUP(B2130,Results!$B$23:$B$119,Results!$D$23:$D$119)</f>
        <v/>
      </c>
      <c r="D2130" s="2" t="n">
        <v>27</v>
      </c>
      <c r="E2130" s="2" t="inlineStr">
        <is>
          <t>CHO</t>
        </is>
      </c>
      <c r="F2130" s="2" t="n">
        <v>5.5862</v>
      </c>
      <c r="G2130" s="2" t="n">
        <v>2.906762</v>
      </c>
    </row>
    <row r="2131">
      <c r="A2131" s="1" t="inlineStr">
        <is>
          <t>E5</t>
        </is>
      </c>
      <c r="B2131" s="1" t="n">
        <v>53</v>
      </c>
      <c r="C2131" s="2">
        <f>_xlfn.XLOOKUP(B2131,Results!$B$23:$B$119,Results!$D$23:$D$119)</f>
        <v/>
      </c>
      <c r="D2131" s="1" t="n">
        <v>28</v>
      </c>
      <c r="E2131" s="1" t="inlineStr">
        <is>
          <t>CHO</t>
        </is>
      </c>
      <c r="F2131" s="1" t="n">
        <v>5.9366</v>
      </c>
      <c r="G2131" s="1" t="n">
        <v>3.248129</v>
      </c>
    </row>
    <row r="2132">
      <c r="A2132" s="2" t="inlineStr">
        <is>
          <t>E5</t>
        </is>
      </c>
      <c r="B2132" s="2" t="n">
        <v>53</v>
      </c>
      <c r="C2132" s="2">
        <f>_xlfn.XLOOKUP(B2132,Results!$B$23:$B$119,Results!$D$23:$D$119)</f>
        <v/>
      </c>
      <c r="D2132" s="2" t="n">
        <v>29</v>
      </c>
      <c r="E2132" s="2" t="inlineStr">
        <is>
          <t>CHO</t>
        </is>
      </c>
      <c r="F2132" s="2" t="n">
        <v>6.2638</v>
      </c>
      <c r="G2132" s="2" t="n">
        <v>3.566429</v>
      </c>
    </row>
    <row r="2133">
      <c r="A2133" s="1" t="inlineStr">
        <is>
          <t>E5</t>
        </is>
      </c>
      <c r="B2133" s="1" t="n">
        <v>53</v>
      </c>
      <c r="C2133" s="2">
        <f>_xlfn.XLOOKUP(B2133,Results!$B$23:$B$119,Results!$D$23:$D$119)</f>
        <v/>
      </c>
      <c r="D2133" s="1" t="n">
        <v>30</v>
      </c>
      <c r="E2133" s="1" t="inlineStr">
        <is>
          <t>CHO</t>
        </is>
      </c>
      <c r="F2133" s="1" t="n">
        <v>6.5719</v>
      </c>
      <c r="G2133" s="1" t="n">
        <v>3.865517</v>
      </c>
    </row>
    <row r="2134">
      <c r="A2134" s="2" t="inlineStr">
        <is>
          <t>E5</t>
        </is>
      </c>
      <c r="B2134" s="2" t="n">
        <v>53</v>
      </c>
      <c r="C2134" s="2">
        <f>_xlfn.XLOOKUP(B2134,Results!$B$23:$B$119,Results!$D$23:$D$119)</f>
        <v/>
      </c>
      <c r="D2134" s="2" t="n">
        <v>31</v>
      </c>
      <c r="E2134" s="2" t="inlineStr">
        <is>
          <t>CHO</t>
        </is>
      </c>
      <c r="F2134" s="2" t="n">
        <v>6.802</v>
      </c>
      <c r="G2134" s="2" t="n">
        <v>4.086674</v>
      </c>
    </row>
    <row r="2135">
      <c r="A2135" s="1" t="inlineStr">
        <is>
          <t>E5</t>
        </is>
      </c>
      <c r="B2135" s="1" t="n">
        <v>53</v>
      </c>
      <c r="C2135" s="2">
        <f>_xlfn.XLOOKUP(B2135,Results!$B$23:$B$119,Results!$D$23:$D$119)</f>
        <v/>
      </c>
      <c r="D2135" s="1" t="n">
        <v>32</v>
      </c>
      <c r="E2135" s="1" t="inlineStr">
        <is>
          <t>CHO</t>
        </is>
      </c>
      <c r="F2135" s="1" t="n">
        <v>7.0098</v>
      </c>
      <c r="G2135" s="1" t="n">
        <v>4.285498</v>
      </c>
    </row>
    <row r="2136">
      <c r="A2136" s="2" t="inlineStr">
        <is>
          <t>E5</t>
        </is>
      </c>
      <c r="B2136" s="2" t="n">
        <v>53</v>
      </c>
      <c r="C2136" s="2">
        <f>_xlfn.XLOOKUP(B2136,Results!$B$23:$B$119,Results!$D$23:$D$119)</f>
        <v/>
      </c>
      <c r="D2136" s="2" t="n">
        <v>33</v>
      </c>
      <c r="E2136" s="2" t="inlineStr">
        <is>
          <t>CHO</t>
        </is>
      </c>
      <c r="F2136" s="2" t="n">
        <v>7.2134</v>
      </c>
      <c r="G2136" s="2" t="n">
        <v>4.480072</v>
      </c>
    </row>
    <row r="2137">
      <c r="A2137" s="1" t="inlineStr">
        <is>
          <t>E5</t>
        </is>
      </c>
      <c r="B2137" s="1" t="n">
        <v>53</v>
      </c>
      <c r="C2137" s="2">
        <f>_xlfn.XLOOKUP(B2137,Results!$B$23:$B$119,Results!$D$23:$D$119)</f>
        <v/>
      </c>
      <c r="D2137" s="1" t="n">
        <v>34</v>
      </c>
      <c r="E2137" s="1" t="inlineStr">
        <is>
          <t>CHO</t>
        </is>
      </c>
      <c r="F2137" s="1" t="n">
        <v>7.3923</v>
      </c>
      <c r="G2137" s="1" t="n">
        <v>4.649985</v>
      </c>
    </row>
    <row r="2138">
      <c r="A2138" s="2" t="inlineStr">
        <is>
          <t>E5</t>
        </is>
      </c>
      <c r="B2138" s="2" t="n">
        <v>53</v>
      </c>
      <c r="C2138" s="2">
        <f>_xlfn.XLOOKUP(B2138,Results!$B$23:$B$119,Results!$D$23:$D$119)</f>
        <v/>
      </c>
      <c r="D2138" s="2" t="n">
        <v>35</v>
      </c>
      <c r="E2138" s="2" t="inlineStr">
        <is>
          <t>CHO</t>
        </is>
      </c>
      <c r="F2138" s="2" t="n">
        <v>7.5517</v>
      </c>
      <c r="G2138" s="2" t="n">
        <v>4.800437</v>
      </c>
    </row>
    <row r="2139">
      <c r="A2139" s="1" t="inlineStr">
        <is>
          <t>E5</t>
        </is>
      </c>
      <c r="B2139" s="1" t="n">
        <v>53</v>
      </c>
      <c r="C2139" s="2">
        <f>_xlfn.XLOOKUP(B2139,Results!$B$23:$B$119,Results!$D$23:$D$119)</f>
        <v/>
      </c>
      <c r="D2139" s="1" t="n">
        <v>36</v>
      </c>
      <c r="E2139" s="1" t="inlineStr">
        <is>
          <t>CHO</t>
        </is>
      </c>
      <c r="F2139" s="1" t="n">
        <v>7.6991</v>
      </c>
      <c r="G2139" s="1" t="n">
        <v>4.938888</v>
      </c>
    </row>
    <row r="2140">
      <c r="A2140" s="2" t="inlineStr">
        <is>
          <t>E5</t>
        </is>
      </c>
      <c r="B2140" s="2" t="n">
        <v>53</v>
      </c>
      <c r="C2140" s="2">
        <f>_xlfn.XLOOKUP(B2140,Results!$B$23:$B$119,Results!$D$23:$D$119)</f>
        <v/>
      </c>
      <c r="D2140" s="2" t="n">
        <v>37</v>
      </c>
      <c r="E2140" s="2" t="inlineStr">
        <is>
          <t>CHO</t>
        </is>
      </c>
      <c r="F2140" s="2" t="n">
        <v>7.812</v>
      </c>
      <c r="G2140" s="2" t="n">
        <v>5.042802</v>
      </c>
    </row>
    <row r="2141">
      <c r="A2141" s="1" t="inlineStr">
        <is>
          <t>E5</t>
        </is>
      </c>
      <c r="B2141" s="1" t="n">
        <v>53</v>
      </c>
      <c r="C2141" s="2">
        <f>_xlfn.XLOOKUP(B2141,Results!$B$23:$B$119,Results!$D$23:$D$119)</f>
        <v/>
      </c>
      <c r="D2141" s="1" t="n">
        <v>38</v>
      </c>
      <c r="E2141" s="1" t="inlineStr">
        <is>
          <t>CHO</t>
        </is>
      </c>
      <c r="F2141" s="1" t="n">
        <v>7.909</v>
      </c>
      <c r="G2141" s="1" t="n">
        <v>5.130762</v>
      </c>
    </row>
    <row r="2142">
      <c r="A2142" s="2" t="inlineStr">
        <is>
          <t>E5</t>
        </is>
      </c>
      <c r="B2142" s="2" t="n">
        <v>53</v>
      </c>
      <c r="C2142" s="2">
        <f>_xlfn.XLOOKUP(B2142,Results!$B$23:$B$119,Results!$D$23:$D$119)</f>
        <v/>
      </c>
      <c r="D2142" s="2" t="n">
        <v>39</v>
      </c>
      <c r="E2142" s="2" t="inlineStr">
        <is>
          <t>CHO</t>
        </is>
      </c>
      <c r="F2142" s="2" t="n">
        <v>8.005000000000001</v>
      </c>
      <c r="G2142" s="2" t="n">
        <v>5.217787</v>
      </c>
    </row>
    <row r="2143">
      <c r="A2143" s="1" t="inlineStr">
        <is>
          <t>E5</t>
        </is>
      </c>
      <c r="B2143" s="1" t="n">
        <v>53</v>
      </c>
      <c r="C2143" s="2">
        <f>_xlfn.XLOOKUP(B2143,Results!$B$23:$B$119,Results!$D$23:$D$119)</f>
        <v/>
      </c>
      <c r="D2143" s="1" t="n">
        <v>40</v>
      </c>
      <c r="E2143" s="1" t="inlineStr">
        <is>
          <t>CHO</t>
        </is>
      </c>
      <c r="F2143" s="1" t="n">
        <v>8.090400000000001</v>
      </c>
      <c r="G2143" s="1" t="n">
        <v>5.294217</v>
      </c>
    </row>
    <row r="2144">
      <c r="A2144" s="2" t="inlineStr">
        <is>
          <t>E6</t>
        </is>
      </c>
      <c r="B2144" s="2" t="n">
        <v>54</v>
      </c>
      <c r="C2144" s="2">
        <f>_xlfn.XLOOKUP(B2144,Results!$B$23:$B$119,Results!$D$23:$D$119)</f>
        <v/>
      </c>
      <c r="D2144" s="2" t="n">
        <v>1</v>
      </c>
      <c r="E2144" s="2" t="inlineStr">
        <is>
          <t>CHO</t>
        </is>
      </c>
      <c r="F2144" s="2" t="n">
        <v>2.4464</v>
      </c>
      <c r="G2144" s="2" t="n">
        <v>0.005967</v>
      </c>
    </row>
    <row r="2145">
      <c r="A2145" s="1" t="inlineStr">
        <is>
          <t>E6</t>
        </is>
      </c>
      <c r="B2145" s="1" t="n">
        <v>54</v>
      </c>
      <c r="C2145" s="2">
        <f>_xlfn.XLOOKUP(B2145,Results!$B$23:$B$119,Results!$D$23:$D$119)</f>
        <v/>
      </c>
      <c r="D2145" s="1" t="n">
        <v>2</v>
      </c>
      <c r="E2145" s="1" t="inlineStr">
        <is>
          <t>CHO</t>
        </is>
      </c>
      <c r="F2145" s="1" t="n">
        <v>2.4467</v>
      </c>
      <c r="G2145" s="1" t="n">
        <v>-0.003628</v>
      </c>
    </row>
    <row r="2146">
      <c r="A2146" s="2" t="inlineStr">
        <is>
          <t>E6</t>
        </is>
      </c>
      <c r="B2146" s="2" t="n">
        <v>54</v>
      </c>
      <c r="C2146" s="2">
        <f>_xlfn.XLOOKUP(B2146,Results!$B$23:$B$119,Results!$D$23:$D$119)</f>
        <v/>
      </c>
      <c r="D2146" s="2" t="n">
        <v>3</v>
      </c>
      <c r="E2146" s="2" t="inlineStr">
        <is>
          <t>CHO</t>
        </is>
      </c>
      <c r="F2146" s="2" t="n">
        <v>2.4588</v>
      </c>
      <c r="G2146" s="2" t="n">
        <v>-0.001449</v>
      </c>
    </row>
    <row r="2147">
      <c r="A2147" s="1" t="inlineStr">
        <is>
          <t>E6</t>
        </is>
      </c>
      <c r="B2147" s="1" t="n">
        <v>54</v>
      </c>
      <c r="C2147" s="2">
        <f>_xlfn.XLOOKUP(B2147,Results!$B$23:$B$119,Results!$D$23:$D$119)</f>
        <v/>
      </c>
      <c r="D2147" s="1" t="n">
        <v>4</v>
      </c>
      <c r="E2147" s="1" t="inlineStr">
        <is>
          <t>CHO</t>
        </is>
      </c>
      <c r="F2147" s="1" t="n">
        <v>2.4687</v>
      </c>
      <c r="G2147" s="1" t="n">
        <v>-0.001404</v>
      </c>
    </row>
    <row r="2148">
      <c r="A2148" s="2" t="inlineStr">
        <is>
          <t>E6</t>
        </is>
      </c>
      <c r="B2148" s="2" t="n">
        <v>54</v>
      </c>
      <c r="C2148" s="2">
        <f>_xlfn.XLOOKUP(B2148,Results!$B$23:$B$119,Results!$D$23:$D$119)</f>
        <v/>
      </c>
      <c r="D2148" s="2" t="n">
        <v>5</v>
      </c>
      <c r="E2148" s="2" t="inlineStr">
        <is>
          <t>CHO</t>
        </is>
      </c>
      <c r="F2148" s="2" t="n">
        <v>2.4828</v>
      </c>
      <c r="G2148" s="2" t="n">
        <v>0.002754</v>
      </c>
    </row>
    <row r="2149">
      <c r="A2149" s="1" t="inlineStr">
        <is>
          <t>E6</t>
        </is>
      </c>
      <c r="B2149" s="1" t="n">
        <v>54</v>
      </c>
      <c r="C2149" s="2">
        <f>_xlfn.XLOOKUP(B2149,Results!$B$23:$B$119,Results!$D$23:$D$119)</f>
        <v/>
      </c>
      <c r="D2149" s="1" t="n">
        <v>6</v>
      </c>
      <c r="E2149" s="1" t="inlineStr">
        <is>
          <t>CHO</t>
        </is>
      </c>
      <c r="F2149" s="1" t="n">
        <v>2.493</v>
      </c>
      <c r="G2149" s="1" t="n">
        <v>0.003129</v>
      </c>
    </row>
    <row r="2150">
      <c r="A2150" s="2" t="inlineStr">
        <is>
          <t>E6</t>
        </is>
      </c>
      <c r="B2150" s="2" t="n">
        <v>54</v>
      </c>
      <c r="C2150" s="2">
        <f>_xlfn.XLOOKUP(B2150,Results!$B$23:$B$119,Results!$D$23:$D$119)</f>
        <v/>
      </c>
      <c r="D2150" s="2" t="n">
        <v>7</v>
      </c>
      <c r="E2150" s="2" t="inlineStr">
        <is>
          <t>CHO</t>
        </is>
      </c>
      <c r="F2150" s="2" t="n">
        <v>2.503</v>
      </c>
      <c r="G2150" s="2" t="n">
        <v>0.003206</v>
      </c>
    </row>
    <row r="2151">
      <c r="A2151" s="1" t="inlineStr">
        <is>
          <t>E6</t>
        </is>
      </c>
      <c r="B2151" s="1" t="n">
        <v>54</v>
      </c>
      <c r="C2151" s="2">
        <f>_xlfn.XLOOKUP(B2151,Results!$B$23:$B$119,Results!$D$23:$D$119)</f>
        <v/>
      </c>
      <c r="D2151" s="1" t="n">
        <v>8</v>
      </c>
      <c r="E2151" s="1" t="inlineStr">
        <is>
          <t>CHO</t>
        </is>
      </c>
      <c r="F2151" s="1" t="n">
        <v>2.5108</v>
      </c>
      <c r="G2151" s="1" t="n">
        <v>0.001116</v>
      </c>
    </row>
    <row r="2152">
      <c r="A2152" s="2" t="inlineStr">
        <is>
          <t>E6</t>
        </is>
      </c>
      <c r="B2152" s="2" t="n">
        <v>54</v>
      </c>
      <c r="C2152" s="2">
        <f>_xlfn.XLOOKUP(B2152,Results!$B$23:$B$119,Results!$D$23:$D$119)</f>
        <v/>
      </c>
      <c r="D2152" s="2" t="n">
        <v>9</v>
      </c>
      <c r="E2152" s="2" t="inlineStr">
        <is>
          <t>CHO</t>
        </is>
      </c>
      <c r="F2152" s="2" t="n">
        <v>2.5169</v>
      </c>
      <c r="G2152" s="2" t="n">
        <v>-0.002629</v>
      </c>
    </row>
    <row r="2153">
      <c r="A2153" s="1" t="inlineStr">
        <is>
          <t>E6</t>
        </is>
      </c>
      <c r="B2153" s="1" t="n">
        <v>54</v>
      </c>
      <c r="C2153" s="2">
        <f>_xlfn.XLOOKUP(B2153,Results!$B$23:$B$119,Results!$D$23:$D$119)</f>
        <v/>
      </c>
      <c r="D2153" s="1" t="n">
        <v>10</v>
      </c>
      <c r="E2153" s="1" t="inlineStr">
        <is>
          <t>CHO</t>
        </is>
      </c>
      <c r="F2153" s="1" t="n">
        <v>2.5251</v>
      </c>
      <c r="G2153" s="1" t="n">
        <v>-0.004282</v>
      </c>
    </row>
    <row r="2154">
      <c r="A2154" s="2" t="inlineStr">
        <is>
          <t>E6</t>
        </is>
      </c>
      <c r="B2154" s="2" t="n">
        <v>54</v>
      </c>
      <c r="C2154" s="2">
        <f>_xlfn.XLOOKUP(B2154,Results!$B$23:$B$119,Results!$D$23:$D$119)</f>
        <v/>
      </c>
      <c r="D2154" s="2" t="n">
        <v>11</v>
      </c>
      <c r="E2154" s="2" t="inlineStr">
        <is>
          <t>CHO</t>
        </is>
      </c>
      <c r="F2154" s="2" t="n">
        <v>2.536</v>
      </c>
      <c r="G2154" s="2" t="n">
        <v>-0.003357</v>
      </c>
    </row>
    <row r="2155">
      <c r="A2155" s="1" t="inlineStr">
        <is>
          <t>E6</t>
        </is>
      </c>
      <c r="B2155" s="1" t="n">
        <v>54</v>
      </c>
      <c r="C2155" s="2">
        <f>_xlfn.XLOOKUP(B2155,Results!$B$23:$B$119,Results!$D$23:$D$119)</f>
        <v/>
      </c>
      <c r="D2155" s="1" t="n">
        <v>12</v>
      </c>
      <c r="E2155" s="1" t="inlineStr">
        <is>
          <t>CHO</t>
        </is>
      </c>
      <c r="F2155" s="1" t="n">
        <v>2.5471</v>
      </c>
      <c r="G2155" s="1" t="n">
        <v>-0.002074</v>
      </c>
    </row>
    <row r="2156">
      <c r="A2156" s="2" t="inlineStr">
        <is>
          <t>E6</t>
        </is>
      </c>
      <c r="B2156" s="2" t="n">
        <v>54</v>
      </c>
      <c r="C2156" s="2">
        <f>_xlfn.XLOOKUP(B2156,Results!$B$23:$B$119,Results!$D$23:$D$119)</f>
        <v/>
      </c>
      <c r="D2156" s="2" t="n">
        <v>13</v>
      </c>
      <c r="E2156" s="2" t="inlineStr">
        <is>
          <t>CHO</t>
        </is>
      </c>
      <c r="F2156" s="2" t="n">
        <v>2.5585</v>
      </c>
      <c r="G2156" s="2" t="n">
        <v>-0.000578</v>
      </c>
    </row>
    <row r="2157">
      <c r="A2157" s="1" t="inlineStr">
        <is>
          <t>E6</t>
        </is>
      </c>
      <c r="B2157" s="1" t="n">
        <v>54</v>
      </c>
      <c r="C2157" s="2">
        <f>_xlfn.XLOOKUP(B2157,Results!$B$23:$B$119,Results!$D$23:$D$119)</f>
        <v/>
      </c>
      <c r="D2157" s="1" t="n">
        <v>14</v>
      </c>
      <c r="E2157" s="1" t="inlineStr">
        <is>
          <t>CHO</t>
        </is>
      </c>
      <c r="F2157" s="1" t="n">
        <v>2.5706</v>
      </c>
      <c r="G2157" s="1" t="n">
        <v>0.001669</v>
      </c>
    </row>
    <row r="2158">
      <c r="A2158" s="2" t="inlineStr">
        <is>
          <t>E6</t>
        </is>
      </c>
      <c r="B2158" s="2" t="n">
        <v>54</v>
      </c>
      <c r="C2158" s="2">
        <f>_xlfn.XLOOKUP(B2158,Results!$B$23:$B$119,Results!$D$23:$D$119)</f>
        <v/>
      </c>
      <c r="D2158" s="2" t="n">
        <v>15</v>
      </c>
      <c r="E2158" s="2" t="inlineStr">
        <is>
          <t>CHO</t>
        </is>
      </c>
      <c r="F2158" s="2" t="n">
        <v>2.5828</v>
      </c>
      <c r="G2158" s="2" t="n">
        <v>0.0039</v>
      </c>
    </row>
    <row r="2159">
      <c r="A2159" s="1" t="inlineStr">
        <is>
          <t>E6</t>
        </is>
      </c>
      <c r="B2159" s="1" t="n">
        <v>54</v>
      </c>
      <c r="C2159" s="2">
        <f>_xlfn.XLOOKUP(B2159,Results!$B$23:$B$119,Results!$D$23:$D$119)</f>
        <v/>
      </c>
      <c r="D2159" s="1" t="n">
        <v>16</v>
      </c>
      <c r="E2159" s="1" t="inlineStr">
        <is>
          <t>CHO</t>
        </is>
      </c>
      <c r="F2159" s="1" t="n">
        <v>2.599</v>
      </c>
      <c r="G2159" s="1" t="n">
        <v>0.010279</v>
      </c>
    </row>
    <row r="2160">
      <c r="A2160" s="2" t="inlineStr">
        <is>
          <t>E6</t>
        </is>
      </c>
      <c r="B2160" s="2" t="n">
        <v>54</v>
      </c>
      <c r="C2160" s="2">
        <f>_xlfn.XLOOKUP(B2160,Results!$B$23:$B$119,Results!$D$23:$D$119)</f>
        <v/>
      </c>
      <c r="D2160" s="2" t="n">
        <v>17</v>
      </c>
      <c r="E2160" s="2" t="inlineStr">
        <is>
          <t>CHO</t>
        </is>
      </c>
      <c r="F2160" s="2" t="n">
        <v>2.631</v>
      </c>
      <c r="G2160" s="2" t="n">
        <v>0.032407</v>
      </c>
    </row>
    <row r="2161">
      <c r="A2161" s="1" t="inlineStr">
        <is>
          <t>E6</t>
        </is>
      </c>
      <c r="B2161" s="1" t="n">
        <v>54</v>
      </c>
      <c r="C2161" s="2">
        <f>_xlfn.XLOOKUP(B2161,Results!$B$23:$B$119,Results!$D$23:$D$119)</f>
        <v/>
      </c>
      <c r="D2161" s="1" t="n">
        <v>18</v>
      </c>
      <c r="E2161" s="1" t="inlineStr">
        <is>
          <t>CHO</t>
        </is>
      </c>
      <c r="F2161" s="1" t="n">
        <v>2.6768</v>
      </c>
      <c r="G2161" s="1" t="n">
        <v>0.068298</v>
      </c>
    </row>
    <row r="2162">
      <c r="A2162" s="2" t="inlineStr">
        <is>
          <t>E6</t>
        </is>
      </c>
      <c r="B2162" s="2" t="n">
        <v>54</v>
      </c>
      <c r="C2162" s="2">
        <f>_xlfn.XLOOKUP(B2162,Results!$B$23:$B$119,Results!$D$23:$D$119)</f>
        <v/>
      </c>
      <c r="D2162" s="2" t="n">
        <v>19</v>
      </c>
      <c r="E2162" s="2" t="inlineStr">
        <is>
          <t>CHO</t>
        </is>
      </c>
      <c r="F2162" s="2" t="n">
        <v>2.7503</v>
      </c>
      <c r="G2162" s="2" t="n">
        <v>0.131884</v>
      </c>
    </row>
    <row r="2163">
      <c r="A2163" s="1" t="inlineStr">
        <is>
          <t>E6</t>
        </is>
      </c>
      <c r="B2163" s="1" t="n">
        <v>54</v>
      </c>
      <c r="C2163" s="2">
        <f>_xlfn.XLOOKUP(B2163,Results!$B$23:$B$119,Results!$D$23:$D$119)</f>
        <v/>
      </c>
      <c r="D2163" s="1" t="n">
        <v>20</v>
      </c>
      <c r="E2163" s="1" t="inlineStr">
        <is>
          <t>CHO</t>
        </is>
      </c>
      <c r="F2163" s="1" t="n">
        <v>2.8905</v>
      </c>
      <c r="G2163" s="1" t="n">
        <v>0.262187</v>
      </c>
    </row>
    <row r="2164">
      <c r="A2164" s="2" t="inlineStr">
        <is>
          <t>E6</t>
        </is>
      </c>
      <c r="B2164" s="2" t="n">
        <v>54</v>
      </c>
      <c r="C2164" s="2">
        <f>_xlfn.XLOOKUP(B2164,Results!$B$23:$B$119,Results!$D$23:$D$119)</f>
        <v/>
      </c>
      <c r="D2164" s="2" t="n">
        <v>21</v>
      </c>
      <c r="E2164" s="2" t="inlineStr">
        <is>
          <t>CHO</t>
        </is>
      </c>
      <c r="F2164" s="2" t="n">
        <v>3.1112</v>
      </c>
      <c r="G2164" s="2" t="n">
        <v>0.473027</v>
      </c>
    </row>
    <row r="2165">
      <c r="A2165" s="1" t="inlineStr">
        <is>
          <t>E6</t>
        </is>
      </c>
      <c r="B2165" s="1" t="n">
        <v>54</v>
      </c>
      <c r="C2165" s="2">
        <f>_xlfn.XLOOKUP(B2165,Results!$B$23:$B$119,Results!$D$23:$D$119)</f>
        <v/>
      </c>
      <c r="D2165" s="1" t="n">
        <v>22</v>
      </c>
      <c r="E2165" s="1" t="inlineStr">
        <is>
          <t>CHO</t>
        </is>
      </c>
      <c r="F2165" s="1" t="n">
        <v>3.4423</v>
      </c>
      <c r="G2165" s="1" t="n">
        <v>0.79422</v>
      </c>
    </row>
    <row r="2166">
      <c r="A2166" s="2" t="inlineStr">
        <is>
          <t>E6</t>
        </is>
      </c>
      <c r="B2166" s="2" t="n">
        <v>54</v>
      </c>
      <c r="C2166" s="2">
        <f>_xlfn.XLOOKUP(B2166,Results!$B$23:$B$119,Results!$D$23:$D$119)</f>
        <v/>
      </c>
      <c r="D2166" s="2" t="n">
        <v>23</v>
      </c>
      <c r="E2166" s="2" t="inlineStr">
        <is>
          <t>CHO</t>
        </is>
      </c>
      <c r="F2166" s="2" t="n">
        <v>3.8573</v>
      </c>
      <c r="G2166" s="2" t="n">
        <v>1.199341</v>
      </c>
    </row>
    <row r="2167">
      <c r="A2167" s="1" t="inlineStr">
        <is>
          <t>E6</t>
        </is>
      </c>
      <c r="B2167" s="1" t="n">
        <v>54</v>
      </c>
      <c r="C2167" s="2">
        <f>_xlfn.XLOOKUP(B2167,Results!$B$23:$B$119,Results!$D$23:$D$119)</f>
        <v/>
      </c>
      <c r="D2167" s="1" t="n">
        <v>24</v>
      </c>
      <c r="E2167" s="1" t="inlineStr">
        <is>
          <t>CHO</t>
        </is>
      </c>
      <c r="F2167" s="1" t="n">
        <v>4.3271</v>
      </c>
      <c r="G2167" s="1" t="n">
        <v>1.659263</v>
      </c>
    </row>
    <row r="2168">
      <c r="A2168" s="2" t="inlineStr">
        <is>
          <t>E6</t>
        </is>
      </c>
      <c r="B2168" s="2" t="n">
        <v>54</v>
      </c>
      <c r="C2168" s="2">
        <f>_xlfn.XLOOKUP(B2168,Results!$B$23:$B$119,Results!$D$23:$D$119)</f>
        <v/>
      </c>
      <c r="D2168" s="2" t="n">
        <v>25</v>
      </c>
      <c r="E2168" s="2" t="inlineStr">
        <is>
          <t>CHO</t>
        </is>
      </c>
      <c r="F2168" s="2" t="n">
        <v>4.766</v>
      </c>
      <c r="G2168" s="2" t="n">
        <v>2.088256</v>
      </c>
    </row>
    <row r="2169">
      <c r="A2169" s="1" t="inlineStr">
        <is>
          <t>E6</t>
        </is>
      </c>
      <c r="B2169" s="1" t="n">
        <v>54</v>
      </c>
      <c r="C2169" s="2">
        <f>_xlfn.XLOOKUP(B2169,Results!$B$23:$B$119,Results!$D$23:$D$119)</f>
        <v/>
      </c>
      <c r="D2169" s="1" t="n">
        <v>26</v>
      </c>
      <c r="E2169" s="1" t="inlineStr">
        <is>
          <t>CHO</t>
        </is>
      </c>
      <c r="F2169" s="1" t="n">
        <v>5.2015</v>
      </c>
      <c r="G2169" s="1" t="n">
        <v>2.513938</v>
      </c>
    </row>
    <row r="2170">
      <c r="A2170" s="2" t="inlineStr">
        <is>
          <t>E6</t>
        </is>
      </c>
      <c r="B2170" s="2" t="n">
        <v>54</v>
      </c>
      <c r="C2170" s="2">
        <f>_xlfn.XLOOKUP(B2170,Results!$B$23:$B$119,Results!$D$23:$D$119)</f>
        <v/>
      </c>
      <c r="D2170" s="2" t="n">
        <v>27</v>
      </c>
      <c r="E2170" s="2" t="inlineStr">
        <is>
          <t>CHO</t>
        </is>
      </c>
      <c r="F2170" s="2" t="n">
        <v>5.6108</v>
      </c>
      <c r="G2170" s="2" t="n">
        <v>2.913321</v>
      </c>
    </row>
    <row r="2171">
      <c r="A2171" s="1" t="inlineStr">
        <is>
          <t>E6</t>
        </is>
      </c>
      <c r="B2171" s="1" t="n">
        <v>54</v>
      </c>
      <c r="C2171" s="2">
        <f>_xlfn.XLOOKUP(B2171,Results!$B$23:$B$119,Results!$D$23:$D$119)</f>
        <v/>
      </c>
      <c r="D2171" s="1" t="n">
        <v>28</v>
      </c>
      <c r="E2171" s="1" t="inlineStr">
        <is>
          <t>CHO</t>
        </is>
      </c>
      <c r="F2171" s="1" t="n">
        <v>5.9411</v>
      </c>
      <c r="G2171" s="1" t="n">
        <v>3.233734</v>
      </c>
    </row>
    <row r="2172">
      <c r="A2172" s="2" t="inlineStr">
        <is>
          <t>E6</t>
        </is>
      </c>
      <c r="B2172" s="2" t="n">
        <v>54</v>
      </c>
      <c r="C2172" s="2">
        <f>_xlfn.XLOOKUP(B2172,Results!$B$23:$B$119,Results!$D$23:$D$119)</f>
        <v/>
      </c>
      <c r="D2172" s="2" t="n">
        <v>29</v>
      </c>
      <c r="E2172" s="2" t="inlineStr">
        <is>
          <t>CHO</t>
        </is>
      </c>
      <c r="F2172" s="2" t="n">
        <v>6.2601</v>
      </c>
      <c r="G2172" s="2" t="n">
        <v>3.542832</v>
      </c>
    </row>
    <row r="2173">
      <c r="A2173" s="1" t="inlineStr">
        <is>
          <t>E6</t>
        </is>
      </c>
      <c r="B2173" s="1" t="n">
        <v>54</v>
      </c>
      <c r="C2173" s="2">
        <f>_xlfn.XLOOKUP(B2173,Results!$B$23:$B$119,Results!$D$23:$D$119)</f>
        <v/>
      </c>
      <c r="D2173" s="1" t="n">
        <v>30</v>
      </c>
      <c r="E2173" s="1" t="inlineStr">
        <is>
          <t>CHO</t>
        </is>
      </c>
      <c r="F2173" s="1" t="n">
        <v>6.5517</v>
      </c>
      <c r="G2173" s="1" t="n">
        <v>3.824534</v>
      </c>
    </row>
    <row r="2174">
      <c r="A2174" s="2" t="inlineStr">
        <is>
          <t>E6</t>
        </is>
      </c>
      <c r="B2174" s="2" t="n">
        <v>54</v>
      </c>
      <c r="C2174" s="2">
        <f>_xlfn.XLOOKUP(B2174,Results!$B$23:$B$119,Results!$D$23:$D$119)</f>
        <v/>
      </c>
      <c r="D2174" s="2" t="n">
        <v>31</v>
      </c>
      <c r="E2174" s="2" t="inlineStr">
        <is>
          <t>CHO</t>
        </is>
      </c>
      <c r="F2174" s="2" t="n">
        <v>6.7802</v>
      </c>
      <c r="G2174" s="2" t="n">
        <v>4.043133</v>
      </c>
    </row>
    <row r="2175">
      <c r="A2175" s="1" t="inlineStr">
        <is>
          <t>E6</t>
        </is>
      </c>
      <c r="B2175" s="1" t="n">
        <v>54</v>
      </c>
      <c r="C2175" s="2">
        <f>_xlfn.XLOOKUP(B2175,Results!$B$23:$B$119,Results!$D$23:$D$119)</f>
        <v/>
      </c>
      <c r="D2175" s="1" t="n">
        <v>32</v>
      </c>
      <c r="E2175" s="1" t="inlineStr">
        <is>
          <t>CHO</t>
        </is>
      </c>
      <c r="F2175" s="1" t="n">
        <v>7.0036</v>
      </c>
      <c r="G2175" s="1" t="n">
        <v>4.256701</v>
      </c>
    </row>
    <row r="2176">
      <c r="A2176" s="2" t="inlineStr">
        <is>
          <t>E6</t>
        </is>
      </c>
      <c r="B2176" s="2" t="n">
        <v>54</v>
      </c>
      <c r="C2176" s="2">
        <f>_xlfn.XLOOKUP(B2176,Results!$B$23:$B$119,Results!$D$23:$D$119)</f>
        <v/>
      </c>
      <c r="D2176" s="2" t="n">
        <v>33</v>
      </c>
      <c r="E2176" s="2" t="inlineStr">
        <is>
          <t>CHO</t>
        </is>
      </c>
      <c r="F2176" s="2" t="n">
        <v>7.2214</v>
      </c>
      <c r="G2176" s="2" t="n">
        <v>4.46455</v>
      </c>
    </row>
    <row r="2177">
      <c r="A2177" s="1" t="inlineStr">
        <is>
          <t>E6</t>
        </is>
      </c>
      <c r="B2177" s="1" t="n">
        <v>54</v>
      </c>
      <c r="C2177" s="2">
        <f>_xlfn.XLOOKUP(B2177,Results!$B$23:$B$119,Results!$D$23:$D$119)</f>
        <v/>
      </c>
      <c r="D2177" s="1" t="n">
        <v>34</v>
      </c>
      <c r="E2177" s="1" t="inlineStr">
        <is>
          <t>CHO</t>
        </is>
      </c>
      <c r="F2177" s="1" t="n">
        <v>7.3735</v>
      </c>
      <c r="G2177" s="1" t="n">
        <v>4.606853</v>
      </c>
    </row>
    <row r="2178">
      <c r="A2178" s="2" t="inlineStr">
        <is>
          <t>E6</t>
        </is>
      </c>
      <c r="B2178" s="2" t="n">
        <v>54</v>
      </c>
      <c r="C2178" s="2">
        <f>_xlfn.XLOOKUP(B2178,Results!$B$23:$B$119,Results!$D$23:$D$119)</f>
        <v/>
      </c>
      <c r="D2178" s="2" t="n">
        <v>35</v>
      </c>
      <c r="E2178" s="2" t="inlineStr">
        <is>
          <t>CHO</t>
        </is>
      </c>
      <c r="F2178" s="2" t="n">
        <v>7.5619</v>
      </c>
      <c r="G2178" s="2" t="n">
        <v>4.785345</v>
      </c>
    </row>
    <row r="2179">
      <c r="A2179" s="1" t="inlineStr">
        <is>
          <t>E6</t>
        </is>
      </c>
      <c r="B2179" s="1" t="n">
        <v>54</v>
      </c>
      <c r="C2179" s="2">
        <f>_xlfn.XLOOKUP(B2179,Results!$B$23:$B$119,Results!$D$23:$D$119)</f>
        <v/>
      </c>
      <c r="D2179" s="1" t="n">
        <v>36</v>
      </c>
      <c r="E2179" s="1" t="inlineStr">
        <is>
          <t>CHO</t>
        </is>
      </c>
      <c r="F2179" s="1" t="n">
        <v>7.6704</v>
      </c>
      <c r="G2179" s="1" t="n">
        <v>4.883914</v>
      </c>
    </row>
    <row r="2180">
      <c r="A2180" s="2" t="inlineStr">
        <is>
          <t>E6</t>
        </is>
      </c>
      <c r="B2180" s="2" t="n">
        <v>54</v>
      </c>
      <c r="C2180" s="2">
        <f>_xlfn.XLOOKUP(B2180,Results!$B$23:$B$119,Results!$D$23:$D$119)</f>
        <v/>
      </c>
      <c r="D2180" s="2" t="n">
        <v>37</v>
      </c>
      <c r="E2180" s="2" t="inlineStr">
        <is>
          <t>CHO</t>
        </is>
      </c>
      <c r="F2180" s="2" t="n">
        <v>7.8235</v>
      </c>
      <c r="G2180" s="2" t="n">
        <v>5.02717</v>
      </c>
    </row>
    <row r="2181">
      <c r="A2181" s="1" t="inlineStr">
        <is>
          <t>E6</t>
        </is>
      </c>
      <c r="B2181" s="1" t="n">
        <v>54</v>
      </c>
      <c r="C2181" s="2">
        <f>_xlfn.XLOOKUP(B2181,Results!$B$23:$B$119,Results!$D$23:$D$119)</f>
        <v/>
      </c>
      <c r="D2181" s="1" t="n">
        <v>38</v>
      </c>
      <c r="E2181" s="1" t="inlineStr">
        <is>
          <t>CHO</t>
        </is>
      </c>
      <c r="F2181" s="1" t="n">
        <v>7.916</v>
      </c>
      <c r="G2181" s="1" t="n">
        <v>5.109736</v>
      </c>
    </row>
    <row r="2182">
      <c r="A2182" s="2" t="inlineStr">
        <is>
          <t>E6</t>
        </is>
      </c>
      <c r="B2182" s="2" t="n">
        <v>54</v>
      </c>
      <c r="C2182" s="2">
        <f>_xlfn.XLOOKUP(B2182,Results!$B$23:$B$119,Results!$D$23:$D$119)</f>
        <v/>
      </c>
      <c r="D2182" s="2" t="n">
        <v>39</v>
      </c>
      <c r="E2182" s="2" t="inlineStr">
        <is>
          <t>CHO</t>
        </is>
      </c>
      <c r="F2182" s="2" t="n">
        <v>7.9999</v>
      </c>
      <c r="G2182" s="2" t="n">
        <v>5.183798</v>
      </c>
    </row>
    <row r="2183">
      <c r="A2183" s="1" t="inlineStr">
        <is>
          <t>E6</t>
        </is>
      </c>
      <c r="B2183" s="1" t="n">
        <v>54</v>
      </c>
      <c r="C2183" s="2">
        <f>_xlfn.XLOOKUP(B2183,Results!$B$23:$B$119,Results!$D$23:$D$119)</f>
        <v/>
      </c>
      <c r="D2183" s="1" t="n">
        <v>40</v>
      </c>
      <c r="E2183" s="1" t="inlineStr">
        <is>
          <t>CHO</t>
        </is>
      </c>
      <c r="F2183" s="1" t="n">
        <v>8.0855</v>
      </c>
      <c r="G2183" s="1" t="n">
        <v>5.259445</v>
      </c>
    </row>
    <row r="2184">
      <c r="A2184" s="2" t="inlineStr">
        <is>
          <t>E7</t>
        </is>
      </c>
      <c r="B2184" s="2" t="n">
        <v>55</v>
      </c>
      <c r="C2184" s="2">
        <f>_xlfn.XLOOKUP(B2184,Results!$B$23:$B$119,Results!$D$23:$D$119)</f>
        <v/>
      </c>
      <c r="D2184" s="2" t="n">
        <v>1</v>
      </c>
      <c r="E2184" s="2" t="inlineStr"/>
      <c r="F2184" s="2" t="inlineStr"/>
      <c r="G2184" s="2" t="inlineStr"/>
    </row>
    <row r="2185">
      <c r="A2185" s="1" t="inlineStr">
        <is>
          <t>E7</t>
        </is>
      </c>
      <c r="B2185" s="1" t="n">
        <v>55</v>
      </c>
      <c r="C2185" s="2">
        <f>_xlfn.XLOOKUP(B2185,Results!$B$23:$B$119,Results!$D$23:$D$119)</f>
        <v/>
      </c>
      <c r="D2185" s="1" t="n">
        <v>2</v>
      </c>
      <c r="E2185" s="1" t="inlineStr"/>
      <c r="F2185" s="1" t="inlineStr"/>
      <c r="G2185" s="1" t="inlineStr"/>
    </row>
    <row r="2186">
      <c r="A2186" s="2" t="inlineStr">
        <is>
          <t>E7</t>
        </is>
      </c>
      <c r="B2186" s="2" t="n">
        <v>55</v>
      </c>
      <c r="C2186" s="2">
        <f>_xlfn.XLOOKUP(B2186,Results!$B$23:$B$119,Results!$D$23:$D$119)</f>
        <v/>
      </c>
      <c r="D2186" s="2" t="n">
        <v>3</v>
      </c>
      <c r="E2186" s="2" t="inlineStr"/>
      <c r="F2186" s="2" t="inlineStr"/>
      <c r="G2186" s="2" t="inlineStr"/>
    </row>
    <row r="2187">
      <c r="A2187" s="1" t="inlineStr">
        <is>
          <t>E7</t>
        </is>
      </c>
      <c r="B2187" s="1" t="n">
        <v>55</v>
      </c>
      <c r="C2187" s="2">
        <f>_xlfn.XLOOKUP(B2187,Results!$B$23:$B$119,Results!$D$23:$D$119)</f>
        <v/>
      </c>
      <c r="D2187" s="1" t="n">
        <v>4</v>
      </c>
      <c r="E2187" s="1" t="inlineStr"/>
      <c r="F2187" s="1" t="inlineStr"/>
      <c r="G2187" s="1" t="inlineStr"/>
    </row>
    <row r="2188">
      <c r="A2188" s="2" t="inlineStr">
        <is>
          <t>E7</t>
        </is>
      </c>
      <c r="B2188" s="2" t="n">
        <v>55</v>
      </c>
      <c r="C2188" s="2">
        <f>_xlfn.XLOOKUP(B2188,Results!$B$23:$B$119,Results!$D$23:$D$119)</f>
        <v/>
      </c>
      <c r="D2188" s="2" t="n">
        <v>5</v>
      </c>
      <c r="E2188" s="2" t="inlineStr"/>
      <c r="F2188" s="2" t="inlineStr"/>
      <c r="G2188" s="2" t="inlineStr"/>
    </row>
    <row r="2189">
      <c r="A2189" s="1" t="inlineStr">
        <is>
          <t>E7</t>
        </is>
      </c>
      <c r="B2189" s="1" t="n">
        <v>55</v>
      </c>
      <c r="C2189" s="2">
        <f>_xlfn.XLOOKUP(B2189,Results!$B$23:$B$119,Results!$D$23:$D$119)</f>
        <v/>
      </c>
      <c r="D2189" s="1" t="n">
        <v>6</v>
      </c>
      <c r="E2189" s="1" t="inlineStr"/>
      <c r="F2189" s="1" t="inlineStr"/>
      <c r="G2189" s="1" t="inlineStr"/>
    </row>
    <row r="2190">
      <c r="A2190" s="2" t="inlineStr">
        <is>
          <t>E7</t>
        </is>
      </c>
      <c r="B2190" s="2" t="n">
        <v>55</v>
      </c>
      <c r="C2190" s="2">
        <f>_xlfn.XLOOKUP(B2190,Results!$B$23:$B$119,Results!$D$23:$D$119)</f>
        <v/>
      </c>
      <c r="D2190" s="2" t="n">
        <v>7</v>
      </c>
      <c r="E2190" s="2" t="inlineStr"/>
      <c r="F2190" s="2" t="inlineStr"/>
      <c r="G2190" s="2" t="inlineStr"/>
    </row>
    <row r="2191">
      <c r="A2191" s="1" t="inlineStr">
        <is>
          <t>E7</t>
        </is>
      </c>
      <c r="B2191" s="1" t="n">
        <v>55</v>
      </c>
      <c r="C2191" s="2">
        <f>_xlfn.XLOOKUP(B2191,Results!$B$23:$B$119,Results!$D$23:$D$119)</f>
        <v/>
      </c>
      <c r="D2191" s="1" t="n">
        <v>8</v>
      </c>
      <c r="E2191" s="1" t="inlineStr"/>
      <c r="F2191" s="1" t="inlineStr"/>
      <c r="G2191" s="1" t="inlineStr"/>
    </row>
    <row r="2192">
      <c r="A2192" s="2" t="inlineStr">
        <is>
          <t>E7</t>
        </is>
      </c>
      <c r="B2192" s="2" t="n">
        <v>55</v>
      </c>
      <c r="C2192" s="2">
        <f>_xlfn.XLOOKUP(B2192,Results!$B$23:$B$119,Results!$D$23:$D$119)</f>
        <v/>
      </c>
      <c r="D2192" s="2" t="n">
        <v>9</v>
      </c>
      <c r="E2192" s="2" t="inlineStr"/>
      <c r="F2192" s="2" t="inlineStr"/>
      <c r="G2192" s="2" t="inlineStr"/>
    </row>
    <row r="2193">
      <c r="A2193" s="1" t="inlineStr">
        <is>
          <t>E7</t>
        </is>
      </c>
      <c r="B2193" s="1" t="n">
        <v>55</v>
      </c>
      <c r="C2193" s="2">
        <f>_xlfn.XLOOKUP(B2193,Results!$B$23:$B$119,Results!$D$23:$D$119)</f>
        <v/>
      </c>
      <c r="D2193" s="1" t="n">
        <v>10</v>
      </c>
      <c r="E2193" s="1" t="inlineStr"/>
      <c r="F2193" s="1" t="inlineStr"/>
      <c r="G2193" s="1" t="inlineStr"/>
    </row>
    <row r="2194">
      <c r="A2194" s="2" t="inlineStr">
        <is>
          <t>E7</t>
        </is>
      </c>
      <c r="B2194" s="2" t="n">
        <v>55</v>
      </c>
      <c r="C2194" s="2">
        <f>_xlfn.XLOOKUP(B2194,Results!$B$23:$B$119,Results!$D$23:$D$119)</f>
        <v/>
      </c>
      <c r="D2194" s="2" t="n">
        <v>11</v>
      </c>
      <c r="E2194" s="2" t="inlineStr"/>
      <c r="F2194" s="2" t="inlineStr"/>
      <c r="G2194" s="2" t="inlineStr"/>
    </row>
    <row r="2195">
      <c r="A2195" s="1" t="inlineStr">
        <is>
          <t>E7</t>
        </is>
      </c>
      <c r="B2195" s="1" t="n">
        <v>55</v>
      </c>
      <c r="C2195" s="2">
        <f>_xlfn.XLOOKUP(B2195,Results!$B$23:$B$119,Results!$D$23:$D$119)</f>
        <v/>
      </c>
      <c r="D2195" s="1" t="n">
        <v>12</v>
      </c>
      <c r="E2195" s="1" t="inlineStr"/>
      <c r="F2195" s="1" t="inlineStr"/>
      <c r="G2195" s="1" t="inlineStr"/>
    </row>
    <row r="2196">
      <c r="A2196" s="2" t="inlineStr">
        <is>
          <t>E7</t>
        </is>
      </c>
      <c r="B2196" s="2" t="n">
        <v>55</v>
      </c>
      <c r="C2196" s="2">
        <f>_xlfn.XLOOKUP(B2196,Results!$B$23:$B$119,Results!$D$23:$D$119)</f>
        <v/>
      </c>
      <c r="D2196" s="2" t="n">
        <v>13</v>
      </c>
      <c r="E2196" s="2" t="inlineStr"/>
      <c r="F2196" s="2" t="inlineStr"/>
      <c r="G2196" s="2" t="inlineStr"/>
    </row>
    <row r="2197">
      <c r="A2197" s="1" t="inlineStr">
        <is>
          <t>E7</t>
        </is>
      </c>
      <c r="B2197" s="1" t="n">
        <v>55</v>
      </c>
      <c r="C2197" s="2">
        <f>_xlfn.XLOOKUP(B2197,Results!$B$23:$B$119,Results!$D$23:$D$119)</f>
        <v/>
      </c>
      <c r="D2197" s="1" t="n">
        <v>14</v>
      </c>
      <c r="E2197" s="1" t="inlineStr"/>
      <c r="F2197" s="1" t="inlineStr"/>
      <c r="G2197" s="1" t="inlineStr"/>
    </row>
    <row r="2198">
      <c r="A2198" s="2" t="inlineStr">
        <is>
          <t>E7</t>
        </is>
      </c>
      <c r="B2198" s="2" t="n">
        <v>55</v>
      </c>
      <c r="C2198" s="2">
        <f>_xlfn.XLOOKUP(B2198,Results!$B$23:$B$119,Results!$D$23:$D$119)</f>
        <v/>
      </c>
      <c r="D2198" s="2" t="n">
        <v>15</v>
      </c>
      <c r="E2198" s="2" t="inlineStr"/>
      <c r="F2198" s="2" t="inlineStr"/>
      <c r="G2198" s="2" t="inlineStr"/>
    </row>
    <row r="2199">
      <c r="A2199" s="1" t="inlineStr">
        <is>
          <t>E7</t>
        </is>
      </c>
      <c r="B2199" s="1" t="n">
        <v>55</v>
      </c>
      <c r="C2199" s="2">
        <f>_xlfn.XLOOKUP(B2199,Results!$B$23:$B$119,Results!$D$23:$D$119)</f>
        <v/>
      </c>
      <c r="D2199" s="1" t="n">
        <v>16</v>
      </c>
      <c r="E2199" s="1" t="inlineStr"/>
      <c r="F2199" s="1" t="inlineStr"/>
      <c r="G2199" s="1" t="inlineStr"/>
    </row>
    <row r="2200">
      <c r="A2200" s="2" t="inlineStr">
        <is>
          <t>E7</t>
        </is>
      </c>
      <c r="B2200" s="2" t="n">
        <v>55</v>
      </c>
      <c r="C2200" s="2">
        <f>_xlfn.XLOOKUP(B2200,Results!$B$23:$B$119,Results!$D$23:$D$119)</f>
        <v/>
      </c>
      <c r="D2200" s="2" t="n">
        <v>17</v>
      </c>
      <c r="E2200" s="2" t="inlineStr"/>
      <c r="F2200" s="2" t="inlineStr"/>
      <c r="G2200" s="2" t="inlineStr"/>
    </row>
    <row r="2201">
      <c r="A2201" s="1" t="inlineStr">
        <is>
          <t>E7</t>
        </is>
      </c>
      <c r="B2201" s="1" t="n">
        <v>55</v>
      </c>
      <c r="C2201" s="2">
        <f>_xlfn.XLOOKUP(B2201,Results!$B$23:$B$119,Results!$D$23:$D$119)</f>
        <v/>
      </c>
      <c r="D2201" s="1" t="n">
        <v>18</v>
      </c>
      <c r="E2201" s="1" t="inlineStr"/>
      <c r="F2201" s="1" t="inlineStr"/>
      <c r="G2201" s="1" t="inlineStr"/>
    </row>
    <row r="2202">
      <c r="A2202" s="2" t="inlineStr">
        <is>
          <t>E7</t>
        </is>
      </c>
      <c r="B2202" s="2" t="n">
        <v>55</v>
      </c>
      <c r="C2202" s="2">
        <f>_xlfn.XLOOKUP(B2202,Results!$B$23:$B$119,Results!$D$23:$D$119)</f>
        <v/>
      </c>
      <c r="D2202" s="2" t="n">
        <v>19</v>
      </c>
      <c r="E2202" s="2" t="inlineStr"/>
      <c r="F2202" s="2" t="inlineStr"/>
      <c r="G2202" s="2" t="inlineStr"/>
    </row>
    <row r="2203">
      <c r="A2203" s="1" t="inlineStr">
        <is>
          <t>E7</t>
        </is>
      </c>
      <c r="B2203" s="1" t="n">
        <v>55</v>
      </c>
      <c r="C2203" s="2">
        <f>_xlfn.XLOOKUP(B2203,Results!$B$23:$B$119,Results!$D$23:$D$119)</f>
        <v/>
      </c>
      <c r="D2203" s="1" t="n">
        <v>20</v>
      </c>
      <c r="E2203" s="1" t="inlineStr"/>
      <c r="F2203" s="1" t="inlineStr"/>
      <c r="G2203" s="1" t="inlineStr"/>
    </row>
    <row r="2204">
      <c r="A2204" s="2" t="inlineStr">
        <is>
          <t>E7</t>
        </is>
      </c>
      <c r="B2204" s="2" t="n">
        <v>55</v>
      </c>
      <c r="C2204" s="2">
        <f>_xlfn.XLOOKUP(B2204,Results!$B$23:$B$119,Results!$D$23:$D$119)</f>
        <v/>
      </c>
      <c r="D2204" s="2" t="n">
        <v>21</v>
      </c>
      <c r="E2204" s="2" t="inlineStr"/>
      <c r="F2204" s="2" t="inlineStr"/>
      <c r="G2204" s="2" t="inlineStr"/>
    </row>
    <row r="2205">
      <c r="A2205" s="1" t="inlineStr">
        <is>
          <t>E7</t>
        </is>
      </c>
      <c r="B2205" s="1" t="n">
        <v>55</v>
      </c>
      <c r="C2205" s="2">
        <f>_xlfn.XLOOKUP(B2205,Results!$B$23:$B$119,Results!$D$23:$D$119)</f>
        <v/>
      </c>
      <c r="D2205" s="1" t="n">
        <v>22</v>
      </c>
      <c r="E2205" s="1" t="inlineStr"/>
      <c r="F2205" s="1" t="inlineStr"/>
      <c r="G2205" s="1" t="inlineStr"/>
    </row>
    <row r="2206">
      <c r="A2206" s="2" t="inlineStr">
        <is>
          <t>E7</t>
        </is>
      </c>
      <c r="B2206" s="2" t="n">
        <v>55</v>
      </c>
      <c r="C2206" s="2">
        <f>_xlfn.XLOOKUP(B2206,Results!$B$23:$B$119,Results!$D$23:$D$119)</f>
        <v/>
      </c>
      <c r="D2206" s="2" t="n">
        <v>23</v>
      </c>
      <c r="E2206" s="2" t="inlineStr"/>
      <c r="F2206" s="2" t="inlineStr"/>
      <c r="G2206" s="2" t="inlineStr"/>
    </row>
    <row r="2207">
      <c r="A2207" s="1" t="inlineStr">
        <is>
          <t>E7</t>
        </is>
      </c>
      <c r="B2207" s="1" t="n">
        <v>55</v>
      </c>
      <c r="C2207" s="2">
        <f>_xlfn.XLOOKUP(B2207,Results!$B$23:$B$119,Results!$D$23:$D$119)</f>
        <v/>
      </c>
      <c r="D2207" s="1" t="n">
        <v>24</v>
      </c>
      <c r="E2207" s="1" t="inlineStr"/>
      <c r="F2207" s="1" t="inlineStr"/>
      <c r="G2207" s="1" t="inlineStr"/>
    </row>
    <row r="2208">
      <c r="A2208" s="2" t="inlineStr">
        <is>
          <t>E7</t>
        </is>
      </c>
      <c r="B2208" s="2" t="n">
        <v>55</v>
      </c>
      <c r="C2208" s="2">
        <f>_xlfn.XLOOKUP(B2208,Results!$B$23:$B$119,Results!$D$23:$D$119)</f>
        <v/>
      </c>
      <c r="D2208" s="2" t="n">
        <v>25</v>
      </c>
      <c r="E2208" s="2" t="inlineStr"/>
      <c r="F2208" s="2" t="inlineStr"/>
      <c r="G2208" s="2" t="inlineStr"/>
    </row>
    <row r="2209">
      <c r="A2209" s="1" t="inlineStr">
        <is>
          <t>E7</t>
        </is>
      </c>
      <c r="B2209" s="1" t="n">
        <v>55</v>
      </c>
      <c r="C2209" s="2">
        <f>_xlfn.XLOOKUP(B2209,Results!$B$23:$B$119,Results!$D$23:$D$119)</f>
        <v/>
      </c>
      <c r="D2209" s="1" t="n">
        <v>26</v>
      </c>
      <c r="E2209" s="1" t="inlineStr"/>
      <c r="F2209" s="1" t="inlineStr"/>
      <c r="G2209" s="1" t="inlineStr"/>
    </row>
    <row r="2210">
      <c r="A2210" s="2" t="inlineStr">
        <is>
          <t>E7</t>
        </is>
      </c>
      <c r="B2210" s="2" t="n">
        <v>55</v>
      </c>
      <c r="C2210" s="2">
        <f>_xlfn.XLOOKUP(B2210,Results!$B$23:$B$119,Results!$D$23:$D$119)</f>
        <v/>
      </c>
      <c r="D2210" s="2" t="n">
        <v>27</v>
      </c>
      <c r="E2210" s="2" t="inlineStr"/>
      <c r="F2210" s="2" t="inlineStr"/>
      <c r="G2210" s="2" t="inlineStr"/>
    </row>
    <row r="2211">
      <c r="A2211" s="1" t="inlineStr">
        <is>
          <t>E7</t>
        </is>
      </c>
      <c r="B2211" s="1" t="n">
        <v>55</v>
      </c>
      <c r="C2211" s="2">
        <f>_xlfn.XLOOKUP(B2211,Results!$B$23:$B$119,Results!$D$23:$D$119)</f>
        <v/>
      </c>
      <c r="D2211" s="1" t="n">
        <v>28</v>
      </c>
      <c r="E2211" s="1" t="inlineStr"/>
      <c r="F2211" s="1" t="inlineStr"/>
      <c r="G2211" s="1" t="inlineStr"/>
    </row>
    <row r="2212">
      <c r="A2212" s="2" t="inlineStr">
        <is>
          <t>E7</t>
        </is>
      </c>
      <c r="B2212" s="2" t="n">
        <v>55</v>
      </c>
      <c r="C2212" s="2">
        <f>_xlfn.XLOOKUP(B2212,Results!$B$23:$B$119,Results!$D$23:$D$119)</f>
        <v/>
      </c>
      <c r="D2212" s="2" t="n">
        <v>29</v>
      </c>
      <c r="E2212" s="2" t="inlineStr"/>
      <c r="F2212" s="2" t="inlineStr"/>
      <c r="G2212" s="2" t="inlineStr"/>
    </row>
    <row r="2213">
      <c r="A2213" s="1" t="inlineStr">
        <is>
          <t>E7</t>
        </is>
      </c>
      <c r="B2213" s="1" t="n">
        <v>55</v>
      </c>
      <c r="C2213" s="2">
        <f>_xlfn.XLOOKUP(B2213,Results!$B$23:$B$119,Results!$D$23:$D$119)</f>
        <v/>
      </c>
      <c r="D2213" s="1" t="n">
        <v>30</v>
      </c>
      <c r="E2213" s="1" t="inlineStr"/>
      <c r="F2213" s="1" t="inlineStr"/>
      <c r="G2213" s="1" t="inlineStr"/>
    </row>
    <row r="2214">
      <c r="A2214" s="2" t="inlineStr">
        <is>
          <t>E7</t>
        </is>
      </c>
      <c r="B2214" s="2" t="n">
        <v>55</v>
      </c>
      <c r="C2214" s="2">
        <f>_xlfn.XLOOKUP(B2214,Results!$B$23:$B$119,Results!$D$23:$D$119)</f>
        <v/>
      </c>
      <c r="D2214" s="2" t="n">
        <v>31</v>
      </c>
      <c r="E2214" s="2" t="inlineStr"/>
      <c r="F2214" s="2" t="inlineStr"/>
      <c r="G2214" s="2" t="inlineStr"/>
    </row>
    <row r="2215">
      <c r="A2215" s="1" t="inlineStr">
        <is>
          <t>E7</t>
        </is>
      </c>
      <c r="B2215" s="1" t="n">
        <v>55</v>
      </c>
      <c r="C2215" s="2">
        <f>_xlfn.XLOOKUP(B2215,Results!$B$23:$B$119,Results!$D$23:$D$119)</f>
        <v/>
      </c>
      <c r="D2215" s="1" t="n">
        <v>32</v>
      </c>
      <c r="E2215" s="1" t="inlineStr"/>
      <c r="F2215" s="1" t="inlineStr"/>
      <c r="G2215" s="1" t="inlineStr"/>
    </row>
    <row r="2216">
      <c r="A2216" s="2" t="inlineStr">
        <is>
          <t>E7</t>
        </is>
      </c>
      <c r="B2216" s="2" t="n">
        <v>55</v>
      </c>
      <c r="C2216" s="2">
        <f>_xlfn.XLOOKUP(B2216,Results!$B$23:$B$119,Results!$D$23:$D$119)</f>
        <v/>
      </c>
      <c r="D2216" s="2" t="n">
        <v>33</v>
      </c>
      <c r="E2216" s="2" t="inlineStr"/>
      <c r="F2216" s="2" t="inlineStr"/>
      <c r="G2216" s="2" t="inlineStr"/>
    </row>
    <row r="2217">
      <c r="A2217" s="1" t="inlineStr">
        <is>
          <t>E7</t>
        </is>
      </c>
      <c r="B2217" s="1" t="n">
        <v>55</v>
      </c>
      <c r="C2217" s="2">
        <f>_xlfn.XLOOKUP(B2217,Results!$B$23:$B$119,Results!$D$23:$D$119)</f>
        <v/>
      </c>
      <c r="D2217" s="1" t="n">
        <v>34</v>
      </c>
      <c r="E2217" s="1" t="inlineStr"/>
      <c r="F2217" s="1" t="inlineStr"/>
      <c r="G2217" s="1" t="inlineStr"/>
    </row>
    <row r="2218">
      <c r="A2218" s="2" t="inlineStr">
        <is>
          <t>E7</t>
        </is>
      </c>
      <c r="B2218" s="2" t="n">
        <v>55</v>
      </c>
      <c r="C2218" s="2">
        <f>_xlfn.XLOOKUP(B2218,Results!$B$23:$B$119,Results!$D$23:$D$119)</f>
        <v/>
      </c>
      <c r="D2218" s="2" t="n">
        <v>35</v>
      </c>
      <c r="E2218" s="2" t="inlineStr"/>
      <c r="F2218" s="2" t="inlineStr"/>
      <c r="G2218" s="2" t="inlineStr"/>
    </row>
    <row r="2219">
      <c r="A2219" s="1" t="inlineStr">
        <is>
          <t>E7</t>
        </is>
      </c>
      <c r="B2219" s="1" t="n">
        <v>55</v>
      </c>
      <c r="C2219" s="2">
        <f>_xlfn.XLOOKUP(B2219,Results!$B$23:$B$119,Results!$D$23:$D$119)</f>
        <v/>
      </c>
      <c r="D2219" s="1" t="n">
        <v>36</v>
      </c>
      <c r="E2219" s="1" t="inlineStr"/>
      <c r="F2219" s="1" t="inlineStr"/>
      <c r="G2219" s="1" t="inlineStr"/>
    </row>
    <row r="2220">
      <c r="A2220" s="2" t="inlineStr">
        <is>
          <t>E7</t>
        </is>
      </c>
      <c r="B2220" s="2" t="n">
        <v>55</v>
      </c>
      <c r="C2220" s="2">
        <f>_xlfn.XLOOKUP(B2220,Results!$B$23:$B$119,Results!$D$23:$D$119)</f>
        <v/>
      </c>
      <c r="D2220" s="2" t="n">
        <v>37</v>
      </c>
      <c r="E2220" s="2" t="inlineStr"/>
      <c r="F2220" s="2" t="inlineStr"/>
      <c r="G2220" s="2" t="inlineStr"/>
    </row>
    <row r="2221">
      <c r="A2221" s="1" t="inlineStr">
        <is>
          <t>E7</t>
        </is>
      </c>
      <c r="B2221" s="1" t="n">
        <v>55</v>
      </c>
      <c r="C2221" s="2">
        <f>_xlfn.XLOOKUP(B2221,Results!$B$23:$B$119,Results!$D$23:$D$119)</f>
        <v/>
      </c>
      <c r="D2221" s="1" t="n">
        <v>38</v>
      </c>
      <c r="E2221" s="1" t="inlineStr"/>
      <c r="F2221" s="1" t="inlineStr"/>
      <c r="G2221" s="1" t="inlineStr"/>
    </row>
    <row r="2222">
      <c r="A2222" s="2" t="inlineStr">
        <is>
          <t>E7</t>
        </is>
      </c>
      <c r="B2222" s="2" t="n">
        <v>55</v>
      </c>
      <c r="C2222" s="2">
        <f>_xlfn.XLOOKUP(B2222,Results!$B$23:$B$119,Results!$D$23:$D$119)</f>
        <v/>
      </c>
      <c r="D2222" s="2" t="n">
        <v>39</v>
      </c>
      <c r="E2222" s="2" t="inlineStr"/>
      <c r="F2222" s="2" t="inlineStr"/>
      <c r="G2222" s="2" t="inlineStr"/>
    </row>
    <row r="2223">
      <c r="A2223" s="1" t="inlineStr">
        <is>
          <t>E7</t>
        </is>
      </c>
      <c r="B2223" s="1" t="n">
        <v>55</v>
      </c>
      <c r="C2223" s="2">
        <f>_xlfn.XLOOKUP(B2223,Results!$B$23:$B$119,Results!$D$23:$D$119)</f>
        <v/>
      </c>
      <c r="D2223" s="1" t="n">
        <v>40</v>
      </c>
      <c r="E2223" s="1" t="inlineStr"/>
      <c r="F2223" s="1" t="inlineStr"/>
      <c r="G2223" s="1" t="inlineStr"/>
    </row>
    <row r="2224">
      <c r="A2224" s="2" t="inlineStr">
        <is>
          <t>E8</t>
        </is>
      </c>
      <c r="B2224" s="2" t="n">
        <v>56</v>
      </c>
      <c r="C2224" s="2">
        <f>_xlfn.XLOOKUP(B2224,Results!$B$23:$B$119,Results!$D$23:$D$119)</f>
        <v/>
      </c>
      <c r="D2224" s="2" t="n">
        <v>1</v>
      </c>
      <c r="E2224" s="2" t="inlineStr"/>
      <c r="F2224" s="2" t="inlineStr"/>
      <c r="G2224" s="2" t="inlineStr"/>
    </row>
    <row r="2225">
      <c r="A2225" s="1" t="inlineStr">
        <is>
          <t>E8</t>
        </is>
      </c>
      <c r="B2225" s="1" t="n">
        <v>56</v>
      </c>
      <c r="C2225" s="2">
        <f>_xlfn.XLOOKUP(B2225,Results!$B$23:$B$119,Results!$D$23:$D$119)</f>
        <v/>
      </c>
      <c r="D2225" s="1" t="n">
        <v>2</v>
      </c>
      <c r="E2225" s="1" t="inlineStr"/>
      <c r="F2225" s="1" t="inlineStr"/>
      <c r="G2225" s="1" t="inlineStr"/>
    </row>
    <row r="2226">
      <c r="A2226" s="2" t="inlineStr">
        <is>
          <t>E8</t>
        </is>
      </c>
      <c r="B2226" s="2" t="n">
        <v>56</v>
      </c>
      <c r="C2226" s="2">
        <f>_xlfn.XLOOKUP(B2226,Results!$B$23:$B$119,Results!$D$23:$D$119)</f>
        <v/>
      </c>
      <c r="D2226" s="2" t="n">
        <v>3</v>
      </c>
      <c r="E2226" s="2" t="inlineStr"/>
      <c r="F2226" s="2" t="inlineStr"/>
      <c r="G2226" s="2" t="inlineStr"/>
    </row>
    <row r="2227">
      <c r="A2227" s="1" t="inlineStr">
        <is>
          <t>E8</t>
        </is>
      </c>
      <c r="B2227" s="1" t="n">
        <v>56</v>
      </c>
      <c r="C2227" s="2">
        <f>_xlfn.XLOOKUP(B2227,Results!$B$23:$B$119,Results!$D$23:$D$119)</f>
        <v/>
      </c>
      <c r="D2227" s="1" t="n">
        <v>4</v>
      </c>
      <c r="E2227" s="1" t="inlineStr"/>
      <c r="F2227" s="1" t="inlineStr"/>
      <c r="G2227" s="1" t="inlineStr"/>
    </row>
    <row r="2228">
      <c r="A2228" s="2" t="inlineStr">
        <is>
          <t>E8</t>
        </is>
      </c>
      <c r="B2228" s="2" t="n">
        <v>56</v>
      </c>
      <c r="C2228" s="2">
        <f>_xlfn.XLOOKUP(B2228,Results!$B$23:$B$119,Results!$D$23:$D$119)</f>
        <v/>
      </c>
      <c r="D2228" s="2" t="n">
        <v>5</v>
      </c>
      <c r="E2228" s="2" t="inlineStr"/>
      <c r="F2228" s="2" t="inlineStr"/>
      <c r="G2228" s="2" t="inlineStr"/>
    </row>
    <row r="2229">
      <c r="A2229" s="1" t="inlineStr">
        <is>
          <t>E8</t>
        </is>
      </c>
      <c r="B2229" s="1" t="n">
        <v>56</v>
      </c>
      <c r="C2229" s="2">
        <f>_xlfn.XLOOKUP(B2229,Results!$B$23:$B$119,Results!$D$23:$D$119)</f>
        <v/>
      </c>
      <c r="D2229" s="1" t="n">
        <v>6</v>
      </c>
      <c r="E2229" s="1" t="inlineStr"/>
      <c r="F2229" s="1" t="inlineStr"/>
      <c r="G2229" s="1" t="inlineStr"/>
    </row>
    <row r="2230">
      <c r="A2230" s="2" t="inlineStr">
        <is>
          <t>E8</t>
        </is>
      </c>
      <c r="B2230" s="2" t="n">
        <v>56</v>
      </c>
      <c r="C2230" s="2">
        <f>_xlfn.XLOOKUP(B2230,Results!$B$23:$B$119,Results!$D$23:$D$119)</f>
        <v/>
      </c>
      <c r="D2230" s="2" t="n">
        <v>7</v>
      </c>
      <c r="E2230" s="2" t="inlineStr"/>
      <c r="F2230" s="2" t="inlineStr"/>
      <c r="G2230" s="2" t="inlineStr"/>
    </row>
    <row r="2231">
      <c r="A2231" s="1" t="inlineStr">
        <is>
          <t>E8</t>
        </is>
      </c>
      <c r="B2231" s="1" t="n">
        <v>56</v>
      </c>
      <c r="C2231" s="2">
        <f>_xlfn.XLOOKUP(B2231,Results!$B$23:$B$119,Results!$D$23:$D$119)</f>
        <v/>
      </c>
      <c r="D2231" s="1" t="n">
        <v>8</v>
      </c>
      <c r="E2231" s="1" t="inlineStr"/>
      <c r="F2231" s="1" t="inlineStr"/>
      <c r="G2231" s="1" t="inlineStr"/>
    </row>
    <row r="2232">
      <c r="A2232" s="2" t="inlineStr">
        <is>
          <t>E8</t>
        </is>
      </c>
      <c r="B2232" s="2" t="n">
        <v>56</v>
      </c>
      <c r="C2232" s="2">
        <f>_xlfn.XLOOKUP(B2232,Results!$B$23:$B$119,Results!$D$23:$D$119)</f>
        <v/>
      </c>
      <c r="D2232" s="2" t="n">
        <v>9</v>
      </c>
      <c r="E2232" s="2" t="inlineStr"/>
      <c r="F2232" s="2" t="inlineStr"/>
      <c r="G2232" s="2" t="inlineStr"/>
    </row>
    <row r="2233">
      <c r="A2233" s="1" t="inlineStr">
        <is>
          <t>E8</t>
        </is>
      </c>
      <c r="B2233" s="1" t="n">
        <v>56</v>
      </c>
      <c r="C2233" s="2">
        <f>_xlfn.XLOOKUP(B2233,Results!$B$23:$B$119,Results!$D$23:$D$119)</f>
        <v/>
      </c>
      <c r="D2233" s="1" t="n">
        <v>10</v>
      </c>
      <c r="E2233" s="1" t="inlineStr"/>
      <c r="F2233" s="1" t="inlineStr"/>
      <c r="G2233" s="1" t="inlineStr"/>
    </row>
    <row r="2234">
      <c r="A2234" s="2" t="inlineStr">
        <is>
          <t>E8</t>
        </is>
      </c>
      <c r="B2234" s="2" t="n">
        <v>56</v>
      </c>
      <c r="C2234" s="2">
        <f>_xlfn.XLOOKUP(B2234,Results!$B$23:$B$119,Results!$D$23:$D$119)</f>
        <v/>
      </c>
      <c r="D2234" s="2" t="n">
        <v>11</v>
      </c>
      <c r="E2234" s="2" t="inlineStr"/>
      <c r="F2234" s="2" t="inlineStr"/>
      <c r="G2234" s="2" t="inlineStr"/>
    </row>
    <row r="2235">
      <c r="A2235" s="1" t="inlineStr">
        <is>
          <t>E8</t>
        </is>
      </c>
      <c r="B2235" s="1" t="n">
        <v>56</v>
      </c>
      <c r="C2235" s="2">
        <f>_xlfn.XLOOKUP(B2235,Results!$B$23:$B$119,Results!$D$23:$D$119)</f>
        <v/>
      </c>
      <c r="D2235" s="1" t="n">
        <v>12</v>
      </c>
      <c r="E2235" s="1" t="inlineStr"/>
      <c r="F2235" s="1" t="inlineStr"/>
      <c r="G2235" s="1" t="inlineStr"/>
    </row>
    <row r="2236">
      <c r="A2236" s="2" t="inlineStr">
        <is>
          <t>E8</t>
        </is>
      </c>
      <c r="B2236" s="2" t="n">
        <v>56</v>
      </c>
      <c r="C2236" s="2">
        <f>_xlfn.XLOOKUP(B2236,Results!$B$23:$B$119,Results!$D$23:$D$119)</f>
        <v/>
      </c>
      <c r="D2236" s="2" t="n">
        <v>13</v>
      </c>
      <c r="E2236" s="2" t="inlineStr"/>
      <c r="F2236" s="2" t="inlineStr"/>
      <c r="G2236" s="2" t="inlineStr"/>
    </row>
    <row r="2237">
      <c r="A2237" s="1" t="inlineStr">
        <is>
          <t>E8</t>
        </is>
      </c>
      <c r="B2237" s="1" t="n">
        <v>56</v>
      </c>
      <c r="C2237" s="2">
        <f>_xlfn.XLOOKUP(B2237,Results!$B$23:$B$119,Results!$D$23:$D$119)</f>
        <v/>
      </c>
      <c r="D2237" s="1" t="n">
        <v>14</v>
      </c>
      <c r="E2237" s="1" t="inlineStr"/>
      <c r="F2237" s="1" t="inlineStr"/>
      <c r="G2237" s="1" t="inlineStr"/>
    </row>
    <row r="2238">
      <c r="A2238" s="2" t="inlineStr">
        <is>
          <t>E8</t>
        </is>
      </c>
      <c r="B2238" s="2" t="n">
        <v>56</v>
      </c>
      <c r="C2238" s="2">
        <f>_xlfn.XLOOKUP(B2238,Results!$B$23:$B$119,Results!$D$23:$D$119)</f>
        <v/>
      </c>
      <c r="D2238" s="2" t="n">
        <v>15</v>
      </c>
      <c r="E2238" s="2" t="inlineStr"/>
      <c r="F2238" s="2" t="inlineStr"/>
      <c r="G2238" s="2" t="inlineStr"/>
    </row>
    <row r="2239">
      <c r="A2239" s="1" t="inlineStr">
        <is>
          <t>E8</t>
        </is>
      </c>
      <c r="B2239" s="1" t="n">
        <v>56</v>
      </c>
      <c r="C2239" s="2">
        <f>_xlfn.XLOOKUP(B2239,Results!$B$23:$B$119,Results!$D$23:$D$119)</f>
        <v/>
      </c>
      <c r="D2239" s="1" t="n">
        <v>16</v>
      </c>
      <c r="E2239" s="1" t="inlineStr"/>
      <c r="F2239" s="1" t="inlineStr"/>
      <c r="G2239" s="1" t="inlineStr"/>
    </row>
    <row r="2240">
      <c r="A2240" s="2" t="inlineStr">
        <is>
          <t>E8</t>
        </is>
      </c>
      <c r="B2240" s="2" t="n">
        <v>56</v>
      </c>
      <c r="C2240" s="2">
        <f>_xlfn.XLOOKUP(B2240,Results!$B$23:$B$119,Results!$D$23:$D$119)</f>
        <v/>
      </c>
      <c r="D2240" s="2" t="n">
        <v>17</v>
      </c>
      <c r="E2240" s="2" t="inlineStr"/>
      <c r="F2240" s="2" t="inlineStr"/>
      <c r="G2240" s="2" t="inlineStr"/>
    </row>
    <row r="2241">
      <c r="A2241" s="1" t="inlineStr">
        <is>
          <t>E8</t>
        </is>
      </c>
      <c r="B2241" s="1" t="n">
        <v>56</v>
      </c>
      <c r="C2241" s="2">
        <f>_xlfn.XLOOKUP(B2241,Results!$B$23:$B$119,Results!$D$23:$D$119)</f>
        <v/>
      </c>
      <c r="D2241" s="1" t="n">
        <v>18</v>
      </c>
      <c r="E2241" s="1" t="inlineStr"/>
      <c r="F2241" s="1" t="inlineStr"/>
      <c r="G2241" s="1" t="inlineStr"/>
    </row>
    <row r="2242">
      <c r="A2242" s="2" t="inlineStr">
        <is>
          <t>E8</t>
        </is>
      </c>
      <c r="B2242" s="2" t="n">
        <v>56</v>
      </c>
      <c r="C2242" s="2">
        <f>_xlfn.XLOOKUP(B2242,Results!$B$23:$B$119,Results!$D$23:$D$119)</f>
        <v/>
      </c>
      <c r="D2242" s="2" t="n">
        <v>19</v>
      </c>
      <c r="E2242" s="2" t="inlineStr"/>
      <c r="F2242" s="2" t="inlineStr"/>
      <c r="G2242" s="2" t="inlineStr"/>
    </row>
    <row r="2243">
      <c r="A2243" s="1" t="inlineStr">
        <is>
          <t>E8</t>
        </is>
      </c>
      <c r="B2243" s="1" t="n">
        <v>56</v>
      </c>
      <c r="C2243" s="2">
        <f>_xlfn.XLOOKUP(B2243,Results!$B$23:$B$119,Results!$D$23:$D$119)</f>
        <v/>
      </c>
      <c r="D2243" s="1" t="n">
        <v>20</v>
      </c>
      <c r="E2243" s="1" t="inlineStr"/>
      <c r="F2243" s="1" t="inlineStr"/>
      <c r="G2243" s="1" t="inlineStr"/>
    </row>
    <row r="2244">
      <c r="A2244" s="2" t="inlineStr">
        <is>
          <t>E8</t>
        </is>
      </c>
      <c r="B2244" s="2" t="n">
        <v>56</v>
      </c>
      <c r="C2244" s="2">
        <f>_xlfn.XLOOKUP(B2244,Results!$B$23:$B$119,Results!$D$23:$D$119)</f>
        <v/>
      </c>
      <c r="D2244" s="2" t="n">
        <v>21</v>
      </c>
      <c r="E2244" s="2" t="inlineStr"/>
      <c r="F2244" s="2" t="inlineStr"/>
      <c r="G2244" s="2" t="inlineStr"/>
    </row>
    <row r="2245">
      <c r="A2245" s="1" t="inlineStr">
        <is>
          <t>E8</t>
        </is>
      </c>
      <c r="B2245" s="1" t="n">
        <v>56</v>
      </c>
      <c r="C2245" s="2">
        <f>_xlfn.XLOOKUP(B2245,Results!$B$23:$B$119,Results!$D$23:$D$119)</f>
        <v/>
      </c>
      <c r="D2245" s="1" t="n">
        <v>22</v>
      </c>
      <c r="E2245" s="1" t="inlineStr"/>
      <c r="F2245" s="1" t="inlineStr"/>
      <c r="G2245" s="1" t="inlineStr"/>
    </row>
    <row r="2246">
      <c r="A2246" s="2" t="inlineStr">
        <is>
          <t>E8</t>
        </is>
      </c>
      <c r="B2246" s="2" t="n">
        <v>56</v>
      </c>
      <c r="C2246" s="2">
        <f>_xlfn.XLOOKUP(B2246,Results!$B$23:$B$119,Results!$D$23:$D$119)</f>
        <v/>
      </c>
      <c r="D2246" s="2" t="n">
        <v>23</v>
      </c>
      <c r="E2246" s="2" t="inlineStr"/>
      <c r="F2246" s="2" t="inlineStr"/>
      <c r="G2246" s="2" t="inlineStr"/>
    </row>
    <row r="2247">
      <c r="A2247" s="1" t="inlineStr">
        <is>
          <t>E8</t>
        </is>
      </c>
      <c r="B2247" s="1" t="n">
        <v>56</v>
      </c>
      <c r="C2247" s="2">
        <f>_xlfn.XLOOKUP(B2247,Results!$B$23:$B$119,Results!$D$23:$D$119)</f>
        <v/>
      </c>
      <c r="D2247" s="1" t="n">
        <v>24</v>
      </c>
      <c r="E2247" s="1" t="inlineStr"/>
      <c r="F2247" s="1" t="inlineStr"/>
      <c r="G2247" s="1" t="inlineStr"/>
    </row>
    <row r="2248">
      <c r="A2248" s="2" t="inlineStr">
        <is>
          <t>E8</t>
        </is>
      </c>
      <c r="B2248" s="2" t="n">
        <v>56</v>
      </c>
      <c r="C2248" s="2">
        <f>_xlfn.XLOOKUP(B2248,Results!$B$23:$B$119,Results!$D$23:$D$119)</f>
        <v/>
      </c>
      <c r="D2248" s="2" t="n">
        <v>25</v>
      </c>
      <c r="E2248" s="2" t="inlineStr"/>
      <c r="F2248" s="2" t="inlineStr"/>
      <c r="G2248" s="2" t="inlineStr"/>
    </row>
    <row r="2249">
      <c r="A2249" s="1" t="inlineStr">
        <is>
          <t>E8</t>
        </is>
      </c>
      <c r="B2249" s="1" t="n">
        <v>56</v>
      </c>
      <c r="C2249" s="2">
        <f>_xlfn.XLOOKUP(B2249,Results!$B$23:$B$119,Results!$D$23:$D$119)</f>
        <v/>
      </c>
      <c r="D2249" s="1" t="n">
        <v>26</v>
      </c>
      <c r="E2249" s="1" t="inlineStr"/>
      <c r="F2249" s="1" t="inlineStr"/>
      <c r="G2249" s="1" t="inlineStr"/>
    </row>
    <row r="2250">
      <c r="A2250" s="2" t="inlineStr">
        <is>
          <t>E8</t>
        </is>
      </c>
      <c r="B2250" s="2" t="n">
        <v>56</v>
      </c>
      <c r="C2250" s="2">
        <f>_xlfn.XLOOKUP(B2250,Results!$B$23:$B$119,Results!$D$23:$D$119)</f>
        <v/>
      </c>
      <c r="D2250" s="2" t="n">
        <v>27</v>
      </c>
      <c r="E2250" s="2" t="inlineStr"/>
      <c r="F2250" s="2" t="inlineStr"/>
      <c r="G2250" s="2" t="inlineStr"/>
    </row>
    <row r="2251">
      <c r="A2251" s="1" t="inlineStr">
        <is>
          <t>E8</t>
        </is>
      </c>
      <c r="B2251" s="1" t="n">
        <v>56</v>
      </c>
      <c r="C2251" s="2">
        <f>_xlfn.XLOOKUP(B2251,Results!$B$23:$B$119,Results!$D$23:$D$119)</f>
        <v/>
      </c>
      <c r="D2251" s="1" t="n">
        <v>28</v>
      </c>
      <c r="E2251" s="1" t="inlineStr"/>
      <c r="F2251" s="1" t="inlineStr"/>
      <c r="G2251" s="1" t="inlineStr"/>
    </row>
    <row r="2252">
      <c r="A2252" s="2" t="inlineStr">
        <is>
          <t>E8</t>
        </is>
      </c>
      <c r="B2252" s="2" t="n">
        <v>56</v>
      </c>
      <c r="C2252" s="2">
        <f>_xlfn.XLOOKUP(B2252,Results!$B$23:$B$119,Results!$D$23:$D$119)</f>
        <v/>
      </c>
      <c r="D2252" s="2" t="n">
        <v>29</v>
      </c>
      <c r="E2252" s="2" t="inlineStr"/>
      <c r="F2252" s="2" t="inlineStr"/>
      <c r="G2252" s="2" t="inlineStr"/>
    </row>
    <row r="2253">
      <c r="A2253" s="1" t="inlineStr">
        <is>
          <t>E8</t>
        </is>
      </c>
      <c r="B2253" s="1" t="n">
        <v>56</v>
      </c>
      <c r="C2253" s="2">
        <f>_xlfn.XLOOKUP(B2253,Results!$B$23:$B$119,Results!$D$23:$D$119)</f>
        <v/>
      </c>
      <c r="D2253" s="1" t="n">
        <v>30</v>
      </c>
      <c r="E2253" s="1" t="inlineStr"/>
      <c r="F2253" s="1" t="inlineStr"/>
      <c r="G2253" s="1" t="inlineStr"/>
    </row>
    <row r="2254">
      <c r="A2254" s="2" t="inlineStr">
        <is>
          <t>E8</t>
        </is>
      </c>
      <c r="B2254" s="2" t="n">
        <v>56</v>
      </c>
      <c r="C2254" s="2">
        <f>_xlfn.XLOOKUP(B2254,Results!$B$23:$B$119,Results!$D$23:$D$119)</f>
        <v/>
      </c>
      <c r="D2254" s="2" t="n">
        <v>31</v>
      </c>
      <c r="E2254" s="2" t="inlineStr"/>
      <c r="F2254" s="2" t="inlineStr"/>
      <c r="G2254" s="2" t="inlineStr"/>
    </row>
    <row r="2255">
      <c r="A2255" s="1" t="inlineStr">
        <is>
          <t>E8</t>
        </is>
      </c>
      <c r="B2255" s="1" t="n">
        <v>56</v>
      </c>
      <c r="C2255" s="2">
        <f>_xlfn.XLOOKUP(B2255,Results!$B$23:$B$119,Results!$D$23:$D$119)</f>
        <v/>
      </c>
      <c r="D2255" s="1" t="n">
        <v>32</v>
      </c>
      <c r="E2255" s="1" t="inlineStr"/>
      <c r="F2255" s="1" t="inlineStr"/>
      <c r="G2255" s="1" t="inlineStr"/>
    </row>
    <row r="2256">
      <c r="A2256" s="2" t="inlineStr">
        <is>
          <t>E8</t>
        </is>
      </c>
      <c r="B2256" s="2" t="n">
        <v>56</v>
      </c>
      <c r="C2256" s="2">
        <f>_xlfn.XLOOKUP(B2256,Results!$B$23:$B$119,Results!$D$23:$D$119)</f>
        <v/>
      </c>
      <c r="D2256" s="2" t="n">
        <v>33</v>
      </c>
      <c r="E2256" s="2" t="inlineStr"/>
      <c r="F2256" s="2" t="inlineStr"/>
      <c r="G2256" s="2" t="inlineStr"/>
    </row>
    <row r="2257">
      <c r="A2257" s="1" t="inlineStr">
        <is>
          <t>E8</t>
        </is>
      </c>
      <c r="B2257" s="1" t="n">
        <v>56</v>
      </c>
      <c r="C2257" s="2">
        <f>_xlfn.XLOOKUP(B2257,Results!$B$23:$B$119,Results!$D$23:$D$119)</f>
        <v/>
      </c>
      <c r="D2257" s="1" t="n">
        <v>34</v>
      </c>
      <c r="E2257" s="1" t="inlineStr"/>
      <c r="F2257" s="1" t="inlineStr"/>
      <c r="G2257" s="1" t="inlineStr"/>
    </row>
    <row r="2258">
      <c r="A2258" s="2" t="inlineStr">
        <is>
          <t>E8</t>
        </is>
      </c>
      <c r="B2258" s="2" t="n">
        <v>56</v>
      </c>
      <c r="C2258" s="2">
        <f>_xlfn.XLOOKUP(B2258,Results!$B$23:$B$119,Results!$D$23:$D$119)</f>
        <v/>
      </c>
      <c r="D2258" s="2" t="n">
        <v>35</v>
      </c>
      <c r="E2258" s="2" t="inlineStr"/>
      <c r="F2258" s="2" t="inlineStr"/>
      <c r="G2258" s="2" t="inlineStr"/>
    </row>
    <row r="2259">
      <c r="A2259" s="1" t="inlineStr">
        <is>
          <t>E8</t>
        </is>
      </c>
      <c r="B2259" s="1" t="n">
        <v>56</v>
      </c>
      <c r="C2259" s="2">
        <f>_xlfn.XLOOKUP(B2259,Results!$B$23:$B$119,Results!$D$23:$D$119)</f>
        <v/>
      </c>
      <c r="D2259" s="1" t="n">
        <v>36</v>
      </c>
      <c r="E2259" s="1" t="inlineStr"/>
      <c r="F2259" s="1" t="inlineStr"/>
      <c r="G2259" s="1" t="inlineStr"/>
    </row>
    <row r="2260">
      <c r="A2260" s="2" t="inlineStr">
        <is>
          <t>E8</t>
        </is>
      </c>
      <c r="B2260" s="2" t="n">
        <v>56</v>
      </c>
      <c r="C2260" s="2">
        <f>_xlfn.XLOOKUP(B2260,Results!$B$23:$B$119,Results!$D$23:$D$119)</f>
        <v/>
      </c>
      <c r="D2260" s="2" t="n">
        <v>37</v>
      </c>
      <c r="E2260" s="2" t="inlineStr"/>
      <c r="F2260" s="2" t="inlineStr"/>
      <c r="G2260" s="2" t="inlineStr"/>
    </row>
    <row r="2261">
      <c r="A2261" s="1" t="inlineStr">
        <is>
          <t>E8</t>
        </is>
      </c>
      <c r="B2261" s="1" t="n">
        <v>56</v>
      </c>
      <c r="C2261" s="2">
        <f>_xlfn.XLOOKUP(B2261,Results!$B$23:$B$119,Results!$D$23:$D$119)</f>
        <v/>
      </c>
      <c r="D2261" s="1" t="n">
        <v>38</v>
      </c>
      <c r="E2261" s="1" t="inlineStr"/>
      <c r="F2261" s="1" t="inlineStr"/>
      <c r="G2261" s="1" t="inlineStr"/>
    </row>
    <row r="2262">
      <c r="A2262" s="2" t="inlineStr">
        <is>
          <t>E8</t>
        </is>
      </c>
      <c r="B2262" s="2" t="n">
        <v>56</v>
      </c>
      <c r="C2262" s="2">
        <f>_xlfn.XLOOKUP(B2262,Results!$B$23:$B$119,Results!$D$23:$D$119)</f>
        <v/>
      </c>
      <c r="D2262" s="2" t="n">
        <v>39</v>
      </c>
      <c r="E2262" s="2" t="inlineStr"/>
      <c r="F2262" s="2" t="inlineStr"/>
      <c r="G2262" s="2" t="inlineStr"/>
    </row>
    <row r="2263">
      <c r="A2263" s="1" t="inlineStr">
        <is>
          <t>E8</t>
        </is>
      </c>
      <c r="B2263" s="1" t="n">
        <v>56</v>
      </c>
      <c r="C2263" s="2">
        <f>_xlfn.XLOOKUP(B2263,Results!$B$23:$B$119,Results!$D$23:$D$119)</f>
        <v/>
      </c>
      <c r="D2263" s="1" t="n">
        <v>40</v>
      </c>
      <c r="E2263" s="1" t="inlineStr"/>
      <c r="F2263" s="1" t="inlineStr"/>
      <c r="G2263" s="1" t="inlineStr"/>
    </row>
    <row r="2264">
      <c r="A2264" s="2" t="inlineStr">
        <is>
          <t>E9</t>
        </is>
      </c>
      <c r="B2264" s="2" t="n">
        <v>57</v>
      </c>
      <c r="C2264" s="2">
        <f>_xlfn.XLOOKUP(B2264,Results!$B$23:$B$119,Results!$D$23:$D$119)</f>
        <v/>
      </c>
      <c r="D2264" s="2" t="n">
        <v>1</v>
      </c>
      <c r="E2264" s="2" t="inlineStr"/>
      <c r="F2264" s="2" t="inlineStr"/>
      <c r="G2264" s="2" t="inlineStr"/>
    </row>
    <row r="2265">
      <c r="A2265" s="1" t="inlineStr">
        <is>
          <t>E9</t>
        </is>
      </c>
      <c r="B2265" s="1" t="n">
        <v>57</v>
      </c>
      <c r="C2265" s="2">
        <f>_xlfn.XLOOKUP(B2265,Results!$B$23:$B$119,Results!$D$23:$D$119)</f>
        <v/>
      </c>
      <c r="D2265" s="1" t="n">
        <v>2</v>
      </c>
      <c r="E2265" s="1" t="inlineStr"/>
      <c r="F2265" s="1" t="inlineStr"/>
      <c r="G2265" s="1" t="inlineStr"/>
    </row>
    <row r="2266">
      <c r="A2266" s="2" t="inlineStr">
        <is>
          <t>E9</t>
        </is>
      </c>
      <c r="B2266" s="2" t="n">
        <v>57</v>
      </c>
      <c r="C2266" s="2">
        <f>_xlfn.XLOOKUP(B2266,Results!$B$23:$B$119,Results!$D$23:$D$119)</f>
        <v/>
      </c>
      <c r="D2266" s="2" t="n">
        <v>3</v>
      </c>
      <c r="E2266" s="2" t="inlineStr"/>
      <c r="F2266" s="2" t="inlineStr"/>
      <c r="G2266" s="2" t="inlineStr"/>
    </row>
    <row r="2267">
      <c r="A2267" s="1" t="inlineStr">
        <is>
          <t>E9</t>
        </is>
      </c>
      <c r="B2267" s="1" t="n">
        <v>57</v>
      </c>
      <c r="C2267" s="2">
        <f>_xlfn.XLOOKUP(B2267,Results!$B$23:$B$119,Results!$D$23:$D$119)</f>
        <v/>
      </c>
      <c r="D2267" s="1" t="n">
        <v>4</v>
      </c>
      <c r="E2267" s="1" t="inlineStr"/>
      <c r="F2267" s="1" t="inlineStr"/>
      <c r="G2267" s="1" t="inlineStr"/>
    </row>
    <row r="2268">
      <c r="A2268" s="2" t="inlineStr">
        <is>
          <t>E9</t>
        </is>
      </c>
      <c r="B2268" s="2" t="n">
        <v>57</v>
      </c>
      <c r="C2268" s="2">
        <f>_xlfn.XLOOKUP(B2268,Results!$B$23:$B$119,Results!$D$23:$D$119)</f>
        <v/>
      </c>
      <c r="D2268" s="2" t="n">
        <v>5</v>
      </c>
      <c r="E2268" s="2" t="inlineStr"/>
      <c r="F2268" s="2" t="inlineStr"/>
      <c r="G2268" s="2" t="inlineStr"/>
    </row>
    <row r="2269">
      <c r="A2269" s="1" t="inlineStr">
        <is>
          <t>E9</t>
        </is>
      </c>
      <c r="B2269" s="1" t="n">
        <v>57</v>
      </c>
      <c r="C2269" s="2">
        <f>_xlfn.XLOOKUP(B2269,Results!$B$23:$B$119,Results!$D$23:$D$119)</f>
        <v/>
      </c>
      <c r="D2269" s="1" t="n">
        <v>6</v>
      </c>
      <c r="E2269" s="1" t="inlineStr"/>
      <c r="F2269" s="1" t="inlineStr"/>
      <c r="G2269" s="1" t="inlineStr"/>
    </row>
    <row r="2270">
      <c r="A2270" s="2" t="inlineStr">
        <is>
          <t>E9</t>
        </is>
      </c>
      <c r="B2270" s="2" t="n">
        <v>57</v>
      </c>
      <c r="C2270" s="2">
        <f>_xlfn.XLOOKUP(B2270,Results!$B$23:$B$119,Results!$D$23:$D$119)</f>
        <v/>
      </c>
      <c r="D2270" s="2" t="n">
        <v>7</v>
      </c>
      <c r="E2270" s="2" t="inlineStr"/>
      <c r="F2270" s="2" t="inlineStr"/>
      <c r="G2270" s="2" t="inlineStr"/>
    </row>
    <row r="2271">
      <c r="A2271" s="1" t="inlineStr">
        <is>
          <t>E9</t>
        </is>
      </c>
      <c r="B2271" s="1" t="n">
        <v>57</v>
      </c>
      <c r="C2271" s="2">
        <f>_xlfn.XLOOKUP(B2271,Results!$B$23:$B$119,Results!$D$23:$D$119)</f>
        <v/>
      </c>
      <c r="D2271" s="1" t="n">
        <v>8</v>
      </c>
      <c r="E2271" s="1" t="inlineStr"/>
      <c r="F2271" s="1" t="inlineStr"/>
      <c r="G2271" s="1" t="inlineStr"/>
    </row>
    <row r="2272">
      <c r="A2272" s="2" t="inlineStr">
        <is>
          <t>E9</t>
        </is>
      </c>
      <c r="B2272" s="2" t="n">
        <v>57</v>
      </c>
      <c r="C2272" s="2">
        <f>_xlfn.XLOOKUP(B2272,Results!$B$23:$B$119,Results!$D$23:$D$119)</f>
        <v/>
      </c>
      <c r="D2272" s="2" t="n">
        <v>9</v>
      </c>
      <c r="E2272" s="2" t="inlineStr"/>
      <c r="F2272" s="2" t="inlineStr"/>
      <c r="G2272" s="2" t="inlineStr"/>
    </row>
    <row r="2273">
      <c r="A2273" s="1" t="inlineStr">
        <is>
          <t>E9</t>
        </is>
      </c>
      <c r="B2273" s="1" t="n">
        <v>57</v>
      </c>
      <c r="C2273" s="2">
        <f>_xlfn.XLOOKUP(B2273,Results!$B$23:$B$119,Results!$D$23:$D$119)</f>
        <v/>
      </c>
      <c r="D2273" s="1" t="n">
        <v>10</v>
      </c>
      <c r="E2273" s="1" t="inlineStr"/>
      <c r="F2273" s="1" t="inlineStr"/>
      <c r="G2273" s="1" t="inlineStr"/>
    </row>
    <row r="2274">
      <c r="A2274" s="2" t="inlineStr">
        <is>
          <t>E9</t>
        </is>
      </c>
      <c r="B2274" s="2" t="n">
        <v>57</v>
      </c>
      <c r="C2274" s="2">
        <f>_xlfn.XLOOKUP(B2274,Results!$B$23:$B$119,Results!$D$23:$D$119)</f>
        <v/>
      </c>
      <c r="D2274" s="2" t="n">
        <v>11</v>
      </c>
      <c r="E2274" s="2" t="inlineStr"/>
      <c r="F2274" s="2" t="inlineStr"/>
      <c r="G2274" s="2" t="inlineStr"/>
    </row>
    <row r="2275">
      <c r="A2275" s="1" t="inlineStr">
        <is>
          <t>E9</t>
        </is>
      </c>
      <c r="B2275" s="1" t="n">
        <v>57</v>
      </c>
      <c r="C2275" s="2">
        <f>_xlfn.XLOOKUP(B2275,Results!$B$23:$B$119,Results!$D$23:$D$119)</f>
        <v/>
      </c>
      <c r="D2275" s="1" t="n">
        <v>12</v>
      </c>
      <c r="E2275" s="1" t="inlineStr"/>
      <c r="F2275" s="1" t="inlineStr"/>
      <c r="G2275" s="1" t="inlineStr"/>
    </row>
    <row r="2276">
      <c r="A2276" s="2" t="inlineStr">
        <is>
          <t>E9</t>
        </is>
      </c>
      <c r="B2276" s="2" t="n">
        <v>57</v>
      </c>
      <c r="C2276" s="2">
        <f>_xlfn.XLOOKUP(B2276,Results!$B$23:$B$119,Results!$D$23:$D$119)</f>
        <v/>
      </c>
      <c r="D2276" s="2" t="n">
        <v>13</v>
      </c>
      <c r="E2276" s="2" t="inlineStr"/>
      <c r="F2276" s="2" t="inlineStr"/>
      <c r="G2276" s="2" t="inlineStr"/>
    </row>
    <row r="2277">
      <c r="A2277" s="1" t="inlineStr">
        <is>
          <t>E9</t>
        </is>
      </c>
      <c r="B2277" s="1" t="n">
        <v>57</v>
      </c>
      <c r="C2277" s="2">
        <f>_xlfn.XLOOKUP(B2277,Results!$B$23:$B$119,Results!$D$23:$D$119)</f>
        <v/>
      </c>
      <c r="D2277" s="1" t="n">
        <v>14</v>
      </c>
      <c r="E2277" s="1" t="inlineStr"/>
      <c r="F2277" s="1" t="inlineStr"/>
      <c r="G2277" s="1" t="inlineStr"/>
    </row>
    <row r="2278">
      <c r="A2278" s="2" t="inlineStr">
        <is>
          <t>E9</t>
        </is>
      </c>
      <c r="B2278" s="2" t="n">
        <v>57</v>
      </c>
      <c r="C2278" s="2">
        <f>_xlfn.XLOOKUP(B2278,Results!$B$23:$B$119,Results!$D$23:$D$119)</f>
        <v/>
      </c>
      <c r="D2278" s="2" t="n">
        <v>15</v>
      </c>
      <c r="E2278" s="2" t="inlineStr"/>
      <c r="F2278" s="2" t="inlineStr"/>
      <c r="G2278" s="2" t="inlineStr"/>
    </row>
    <row r="2279">
      <c r="A2279" s="1" t="inlineStr">
        <is>
          <t>E9</t>
        </is>
      </c>
      <c r="B2279" s="1" t="n">
        <v>57</v>
      </c>
      <c r="C2279" s="2">
        <f>_xlfn.XLOOKUP(B2279,Results!$B$23:$B$119,Results!$D$23:$D$119)</f>
        <v/>
      </c>
      <c r="D2279" s="1" t="n">
        <v>16</v>
      </c>
      <c r="E2279" s="1" t="inlineStr"/>
      <c r="F2279" s="1" t="inlineStr"/>
      <c r="G2279" s="1" t="inlineStr"/>
    </row>
    <row r="2280">
      <c r="A2280" s="2" t="inlineStr">
        <is>
          <t>E9</t>
        </is>
      </c>
      <c r="B2280" s="2" t="n">
        <v>57</v>
      </c>
      <c r="C2280" s="2">
        <f>_xlfn.XLOOKUP(B2280,Results!$B$23:$B$119,Results!$D$23:$D$119)</f>
        <v/>
      </c>
      <c r="D2280" s="2" t="n">
        <v>17</v>
      </c>
      <c r="E2280" s="2" t="inlineStr"/>
      <c r="F2280" s="2" t="inlineStr"/>
      <c r="G2280" s="2" t="inlineStr"/>
    </row>
    <row r="2281">
      <c r="A2281" s="1" t="inlineStr">
        <is>
          <t>E9</t>
        </is>
      </c>
      <c r="B2281" s="1" t="n">
        <v>57</v>
      </c>
      <c r="C2281" s="2">
        <f>_xlfn.XLOOKUP(B2281,Results!$B$23:$B$119,Results!$D$23:$D$119)</f>
        <v/>
      </c>
      <c r="D2281" s="1" t="n">
        <v>18</v>
      </c>
      <c r="E2281" s="1" t="inlineStr"/>
      <c r="F2281" s="1" t="inlineStr"/>
      <c r="G2281" s="1" t="inlineStr"/>
    </row>
    <row r="2282">
      <c r="A2282" s="2" t="inlineStr">
        <is>
          <t>E9</t>
        </is>
      </c>
      <c r="B2282" s="2" t="n">
        <v>57</v>
      </c>
      <c r="C2282" s="2">
        <f>_xlfn.XLOOKUP(B2282,Results!$B$23:$B$119,Results!$D$23:$D$119)</f>
        <v/>
      </c>
      <c r="D2282" s="2" t="n">
        <v>19</v>
      </c>
      <c r="E2282" s="2" t="inlineStr"/>
      <c r="F2282" s="2" t="inlineStr"/>
      <c r="G2282" s="2" t="inlineStr"/>
    </row>
    <row r="2283">
      <c r="A2283" s="1" t="inlineStr">
        <is>
          <t>E9</t>
        </is>
      </c>
      <c r="B2283" s="1" t="n">
        <v>57</v>
      </c>
      <c r="C2283" s="2">
        <f>_xlfn.XLOOKUP(B2283,Results!$B$23:$B$119,Results!$D$23:$D$119)</f>
        <v/>
      </c>
      <c r="D2283" s="1" t="n">
        <v>20</v>
      </c>
      <c r="E2283" s="1" t="inlineStr"/>
      <c r="F2283" s="1" t="inlineStr"/>
      <c r="G2283" s="1" t="inlineStr"/>
    </row>
    <row r="2284">
      <c r="A2284" s="2" t="inlineStr">
        <is>
          <t>E9</t>
        </is>
      </c>
      <c r="B2284" s="2" t="n">
        <v>57</v>
      </c>
      <c r="C2284" s="2">
        <f>_xlfn.XLOOKUP(B2284,Results!$B$23:$B$119,Results!$D$23:$D$119)</f>
        <v/>
      </c>
      <c r="D2284" s="2" t="n">
        <v>21</v>
      </c>
      <c r="E2284" s="2" t="inlineStr"/>
      <c r="F2284" s="2" t="inlineStr"/>
      <c r="G2284" s="2" t="inlineStr"/>
    </row>
    <row r="2285">
      <c r="A2285" s="1" t="inlineStr">
        <is>
          <t>E9</t>
        </is>
      </c>
      <c r="B2285" s="1" t="n">
        <v>57</v>
      </c>
      <c r="C2285" s="2">
        <f>_xlfn.XLOOKUP(B2285,Results!$B$23:$B$119,Results!$D$23:$D$119)</f>
        <v/>
      </c>
      <c r="D2285" s="1" t="n">
        <v>22</v>
      </c>
      <c r="E2285" s="1" t="inlineStr"/>
      <c r="F2285" s="1" t="inlineStr"/>
      <c r="G2285" s="1" t="inlineStr"/>
    </row>
    <row r="2286">
      <c r="A2286" s="2" t="inlineStr">
        <is>
          <t>E9</t>
        </is>
      </c>
      <c r="B2286" s="2" t="n">
        <v>57</v>
      </c>
      <c r="C2286" s="2">
        <f>_xlfn.XLOOKUP(B2286,Results!$B$23:$B$119,Results!$D$23:$D$119)</f>
        <v/>
      </c>
      <c r="D2286" s="2" t="n">
        <v>23</v>
      </c>
      <c r="E2286" s="2" t="inlineStr"/>
      <c r="F2286" s="2" t="inlineStr"/>
      <c r="G2286" s="2" t="inlineStr"/>
    </row>
    <row r="2287">
      <c r="A2287" s="1" t="inlineStr">
        <is>
          <t>E9</t>
        </is>
      </c>
      <c r="B2287" s="1" t="n">
        <v>57</v>
      </c>
      <c r="C2287" s="2">
        <f>_xlfn.XLOOKUP(B2287,Results!$B$23:$B$119,Results!$D$23:$D$119)</f>
        <v/>
      </c>
      <c r="D2287" s="1" t="n">
        <v>24</v>
      </c>
      <c r="E2287" s="1" t="inlineStr"/>
      <c r="F2287" s="1" t="inlineStr"/>
      <c r="G2287" s="1" t="inlineStr"/>
    </row>
    <row r="2288">
      <c r="A2288" s="2" t="inlineStr">
        <is>
          <t>E9</t>
        </is>
      </c>
      <c r="B2288" s="2" t="n">
        <v>57</v>
      </c>
      <c r="C2288" s="2">
        <f>_xlfn.XLOOKUP(B2288,Results!$B$23:$B$119,Results!$D$23:$D$119)</f>
        <v/>
      </c>
      <c r="D2288" s="2" t="n">
        <v>25</v>
      </c>
      <c r="E2288" s="2" t="inlineStr"/>
      <c r="F2288" s="2" t="inlineStr"/>
      <c r="G2288" s="2" t="inlineStr"/>
    </row>
    <row r="2289">
      <c r="A2289" s="1" t="inlineStr">
        <is>
          <t>E9</t>
        </is>
      </c>
      <c r="B2289" s="1" t="n">
        <v>57</v>
      </c>
      <c r="C2289" s="2">
        <f>_xlfn.XLOOKUP(B2289,Results!$B$23:$B$119,Results!$D$23:$D$119)</f>
        <v/>
      </c>
      <c r="D2289" s="1" t="n">
        <v>26</v>
      </c>
      <c r="E2289" s="1" t="inlineStr"/>
      <c r="F2289" s="1" t="inlineStr"/>
      <c r="G2289" s="1" t="inlineStr"/>
    </row>
    <row r="2290">
      <c r="A2290" s="2" t="inlineStr">
        <is>
          <t>E9</t>
        </is>
      </c>
      <c r="B2290" s="2" t="n">
        <v>57</v>
      </c>
      <c r="C2290" s="2">
        <f>_xlfn.XLOOKUP(B2290,Results!$B$23:$B$119,Results!$D$23:$D$119)</f>
        <v/>
      </c>
      <c r="D2290" s="2" t="n">
        <v>27</v>
      </c>
      <c r="E2290" s="2" t="inlineStr"/>
      <c r="F2290" s="2" t="inlineStr"/>
      <c r="G2290" s="2" t="inlineStr"/>
    </row>
    <row r="2291">
      <c r="A2291" s="1" t="inlineStr">
        <is>
          <t>E9</t>
        </is>
      </c>
      <c r="B2291" s="1" t="n">
        <v>57</v>
      </c>
      <c r="C2291" s="2">
        <f>_xlfn.XLOOKUP(B2291,Results!$B$23:$B$119,Results!$D$23:$D$119)</f>
        <v/>
      </c>
      <c r="D2291" s="1" t="n">
        <v>28</v>
      </c>
      <c r="E2291" s="1" t="inlineStr"/>
      <c r="F2291" s="1" t="inlineStr"/>
      <c r="G2291" s="1" t="inlineStr"/>
    </row>
    <row r="2292">
      <c r="A2292" s="2" t="inlineStr">
        <is>
          <t>E9</t>
        </is>
      </c>
      <c r="B2292" s="2" t="n">
        <v>57</v>
      </c>
      <c r="C2292" s="2">
        <f>_xlfn.XLOOKUP(B2292,Results!$B$23:$B$119,Results!$D$23:$D$119)</f>
        <v/>
      </c>
      <c r="D2292" s="2" t="n">
        <v>29</v>
      </c>
      <c r="E2292" s="2" t="inlineStr"/>
      <c r="F2292" s="2" t="inlineStr"/>
      <c r="G2292" s="2" t="inlineStr"/>
    </row>
    <row r="2293">
      <c r="A2293" s="1" t="inlineStr">
        <is>
          <t>E9</t>
        </is>
      </c>
      <c r="B2293" s="1" t="n">
        <v>57</v>
      </c>
      <c r="C2293" s="2">
        <f>_xlfn.XLOOKUP(B2293,Results!$B$23:$B$119,Results!$D$23:$D$119)</f>
        <v/>
      </c>
      <c r="D2293" s="1" t="n">
        <v>30</v>
      </c>
      <c r="E2293" s="1" t="inlineStr"/>
      <c r="F2293" s="1" t="inlineStr"/>
      <c r="G2293" s="1" t="inlineStr"/>
    </row>
    <row r="2294">
      <c r="A2294" s="2" t="inlineStr">
        <is>
          <t>E9</t>
        </is>
      </c>
      <c r="B2294" s="2" t="n">
        <v>57</v>
      </c>
      <c r="C2294" s="2">
        <f>_xlfn.XLOOKUP(B2294,Results!$B$23:$B$119,Results!$D$23:$D$119)</f>
        <v/>
      </c>
      <c r="D2294" s="2" t="n">
        <v>31</v>
      </c>
      <c r="E2294" s="2" t="inlineStr"/>
      <c r="F2294" s="2" t="inlineStr"/>
      <c r="G2294" s="2" t="inlineStr"/>
    </row>
    <row r="2295">
      <c r="A2295" s="1" t="inlineStr">
        <is>
          <t>E9</t>
        </is>
      </c>
      <c r="B2295" s="1" t="n">
        <v>57</v>
      </c>
      <c r="C2295" s="2">
        <f>_xlfn.XLOOKUP(B2295,Results!$B$23:$B$119,Results!$D$23:$D$119)</f>
        <v/>
      </c>
      <c r="D2295" s="1" t="n">
        <v>32</v>
      </c>
      <c r="E2295" s="1" t="inlineStr"/>
      <c r="F2295" s="1" t="inlineStr"/>
      <c r="G2295" s="1" t="inlineStr"/>
    </row>
    <row r="2296">
      <c r="A2296" s="2" t="inlineStr">
        <is>
          <t>E9</t>
        </is>
      </c>
      <c r="B2296" s="2" t="n">
        <v>57</v>
      </c>
      <c r="C2296" s="2">
        <f>_xlfn.XLOOKUP(B2296,Results!$B$23:$B$119,Results!$D$23:$D$119)</f>
        <v/>
      </c>
      <c r="D2296" s="2" t="n">
        <v>33</v>
      </c>
      <c r="E2296" s="2" t="inlineStr"/>
      <c r="F2296" s="2" t="inlineStr"/>
      <c r="G2296" s="2" t="inlineStr"/>
    </row>
    <row r="2297">
      <c r="A2297" s="1" t="inlineStr">
        <is>
          <t>E9</t>
        </is>
      </c>
      <c r="B2297" s="1" t="n">
        <v>57</v>
      </c>
      <c r="C2297" s="2">
        <f>_xlfn.XLOOKUP(B2297,Results!$B$23:$B$119,Results!$D$23:$D$119)</f>
        <v/>
      </c>
      <c r="D2297" s="1" t="n">
        <v>34</v>
      </c>
      <c r="E2297" s="1" t="inlineStr"/>
      <c r="F2297" s="1" t="inlineStr"/>
      <c r="G2297" s="1" t="inlineStr"/>
    </row>
    <row r="2298">
      <c r="A2298" s="2" t="inlineStr">
        <is>
          <t>E9</t>
        </is>
      </c>
      <c r="B2298" s="2" t="n">
        <v>57</v>
      </c>
      <c r="C2298" s="2">
        <f>_xlfn.XLOOKUP(B2298,Results!$B$23:$B$119,Results!$D$23:$D$119)</f>
        <v/>
      </c>
      <c r="D2298" s="2" t="n">
        <v>35</v>
      </c>
      <c r="E2298" s="2" t="inlineStr"/>
      <c r="F2298" s="2" t="inlineStr"/>
      <c r="G2298" s="2" t="inlineStr"/>
    </row>
    <row r="2299">
      <c r="A2299" s="1" t="inlineStr">
        <is>
          <t>E9</t>
        </is>
      </c>
      <c r="B2299" s="1" t="n">
        <v>57</v>
      </c>
      <c r="C2299" s="2">
        <f>_xlfn.XLOOKUP(B2299,Results!$B$23:$B$119,Results!$D$23:$D$119)</f>
        <v/>
      </c>
      <c r="D2299" s="1" t="n">
        <v>36</v>
      </c>
      <c r="E2299" s="1" t="inlineStr"/>
      <c r="F2299" s="1" t="inlineStr"/>
      <c r="G2299" s="1" t="inlineStr"/>
    </row>
    <row r="2300">
      <c r="A2300" s="2" t="inlineStr">
        <is>
          <t>E9</t>
        </is>
      </c>
      <c r="B2300" s="2" t="n">
        <v>57</v>
      </c>
      <c r="C2300" s="2">
        <f>_xlfn.XLOOKUP(B2300,Results!$B$23:$B$119,Results!$D$23:$D$119)</f>
        <v/>
      </c>
      <c r="D2300" s="2" t="n">
        <v>37</v>
      </c>
      <c r="E2300" s="2" t="inlineStr"/>
      <c r="F2300" s="2" t="inlineStr"/>
      <c r="G2300" s="2" t="inlineStr"/>
    </row>
    <row r="2301">
      <c r="A2301" s="1" t="inlineStr">
        <is>
          <t>E9</t>
        </is>
      </c>
      <c r="B2301" s="1" t="n">
        <v>57</v>
      </c>
      <c r="C2301" s="2">
        <f>_xlfn.XLOOKUP(B2301,Results!$B$23:$B$119,Results!$D$23:$D$119)</f>
        <v/>
      </c>
      <c r="D2301" s="1" t="n">
        <v>38</v>
      </c>
      <c r="E2301" s="1" t="inlineStr"/>
      <c r="F2301" s="1" t="inlineStr"/>
      <c r="G2301" s="1" t="inlineStr"/>
    </row>
    <row r="2302">
      <c r="A2302" s="2" t="inlineStr">
        <is>
          <t>E9</t>
        </is>
      </c>
      <c r="B2302" s="2" t="n">
        <v>57</v>
      </c>
      <c r="C2302" s="2">
        <f>_xlfn.XLOOKUP(B2302,Results!$B$23:$B$119,Results!$D$23:$D$119)</f>
        <v/>
      </c>
      <c r="D2302" s="2" t="n">
        <v>39</v>
      </c>
      <c r="E2302" s="2" t="inlineStr"/>
      <c r="F2302" s="2" t="inlineStr"/>
      <c r="G2302" s="2" t="inlineStr"/>
    </row>
    <row r="2303">
      <c r="A2303" s="1" t="inlineStr">
        <is>
          <t>E9</t>
        </is>
      </c>
      <c r="B2303" s="1" t="n">
        <v>57</v>
      </c>
      <c r="C2303" s="2">
        <f>_xlfn.XLOOKUP(B2303,Results!$B$23:$B$119,Results!$D$23:$D$119)</f>
        <v/>
      </c>
      <c r="D2303" s="1" t="n">
        <v>40</v>
      </c>
      <c r="E2303" s="1" t="inlineStr"/>
      <c r="F2303" s="1" t="inlineStr"/>
      <c r="G2303" s="1" t="inlineStr"/>
    </row>
    <row r="2304">
      <c r="A2304" s="2" t="inlineStr">
        <is>
          <t>E10</t>
        </is>
      </c>
      <c r="B2304" s="2" t="n">
        <v>58</v>
      </c>
      <c r="C2304" s="2">
        <f>_xlfn.XLOOKUP(B2304,Results!$B$23:$B$119,Results!$D$23:$D$119)</f>
        <v/>
      </c>
      <c r="D2304" s="2" t="n">
        <v>1</v>
      </c>
      <c r="E2304" s="2" t="inlineStr">
        <is>
          <t>CHO</t>
        </is>
      </c>
      <c r="F2304" s="2" t="n">
        <v>2.3292</v>
      </c>
      <c r="G2304" s="2" t="n">
        <v>0.011149</v>
      </c>
    </row>
    <row r="2305">
      <c r="A2305" s="1" t="inlineStr">
        <is>
          <t>E10</t>
        </is>
      </c>
      <c r="B2305" s="1" t="n">
        <v>58</v>
      </c>
      <c r="C2305" s="2">
        <f>_xlfn.XLOOKUP(B2305,Results!$B$23:$B$119,Results!$D$23:$D$119)</f>
        <v/>
      </c>
      <c r="D2305" s="1" t="n">
        <v>2</v>
      </c>
      <c r="E2305" s="1" t="inlineStr">
        <is>
          <t>CHO</t>
        </is>
      </c>
      <c r="F2305" s="1" t="n">
        <v>2.3263</v>
      </c>
      <c r="G2305" s="1" t="n">
        <v>0.002845</v>
      </c>
    </row>
    <row r="2306">
      <c r="A2306" s="2" t="inlineStr">
        <is>
          <t>E10</t>
        </is>
      </c>
      <c r="B2306" s="2" t="n">
        <v>58</v>
      </c>
      <c r="C2306" s="2">
        <f>_xlfn.XLOOKUP(B2306,Results!$B$23:$B$119,Results!$D$23:$D$119)</f>
        <v/>
      </c>
      <c r="D2306" s="2" t="n">
        <v>3</v>
      </c>
      <c r="E2306" s="2" t="inlineStr">
        <is>
          <t>CHO</t>
        </is>
      </c>
      <c r="F2306" s="2" t="n">
        <v>2.3273</v>
      </c>
      <c r="G2306" s="2" t="n">
        <v>-0.001586</v>
      </c>
    </row>
    <row r="2307">
      <c r="A2307" s="1" t="inlineStr">
        <is>
          <t>E10</t>
        </is>
      </c>
      <c r="B2307" s="1" t="n">
        <v>58</v>
      </c>
      <c r="C2307" s="2">
        <f>_xlfn.XLOOKUP(B2307,Results!$B$23:$B$119,Results!$D$23:$D$119)</f>
        <v/>
      </c>
      <c r="D2307" s="1" t="n">
        <v>4</v>
      </c>
      <c r="E2307" s="1" t="inlineStr">
        <is>
          <t>CHO</t>
        </is>
      </c>
      <c r="F2307" s="1" t="n">
        <v>2.3317</v>
      </c>
      <c r="G2307" s="1" t="n">
        <v>-0.0026</v>
      </c>
    </row>
    <row r="2308">
      <c r="A2308" s="2" t="inlineStr">
        <is>
          <t>E10</t>
        </is>
      </c>
      <c r="B2308" s="2" t="n">
        <v>58</v>
      </c>
      <c r="C2308" s="2">
        <f>_xlfn.XLOOKUP(B2308,Results!$B$23:$B$119,Results!$D$23:$D$119)</f>
        <v/>
      </c>
      <c r="D2308" s="2" t="n">
        <v>5</v>
      </c>
      <c r="E2308" s="2" t="inlineStr">
        <is>
          <t>CHO</t>
        </is>
      </c>
      <c r="F2308" s="2" t="n">
        <v>2.3375</v>
      </c>
      <c r="G2308" s="2" t="n">
        <v>-0.002226</v>
      </c>
    </row>
    <row r="2309">
      <c r="A2309" s="1" t="inlineStr">
        <is>
          <t>E10</t>
        </is>
      </c>
      <c r="B2309" s="1" t="n">
        <v>58</v>
      </c>
      <c r="C2309" s="2">
        <f>_xlfn.XLOOKUP(B2309,Results!$B$23:$B$119,Results!$D$23:$D$119)</f>
        <v/>
      </c>
      <c r="D2309" s="1" t="n">
        <v>6</v>
      </c>
      <c r="E2309" s="1" t="inlineStr">
        <is>
          <t>CHO</t>
        </is>
      </c>
      <c r="F2309" s="1" t="n">
        <v>2.3465</v>
      </c>
      <c r="G2309" s="1" t="n">
        <v>0.001398</v>
      </c>
    </row>
    <row r="2310">
      <c r="A2310" s="2" t="inlineStr">
        <is>
          <t>E10</t>
        </is>
      </c>
      <c r="B2310" s="2" t="n">
        <v>58</v>
      </c>
      <c r="C2310" s="2">
        <f>_xlfn.XLOOKUP(B2310,Results!$B$23:$B$119,Results!$D$23:$D$119)</f>
        <v/>
      </c>
      <c r="D2310" s="2" t="n">
        <v>7</v>
      </c>
      <c r="E2310" s="2" t="inlineStr">
        <is>
          <t>CHO</t>
        </is>
      </c>
      <c r="F2310" s="2" t="n">
        <v>2.3537</v>
      </c>
      <c r="G2310" s="2" t="n">
        <v>0.003149</v>
      </c>
    </row>
    <row r="2311">
      <c r="A2311" s="1" t="inlineStr">
        <is>
          <t>E10</t>
        </is>
      </c>
      <c r="B2311" s="1" t="n">
        <v>58</v>
      </c>
      <c r="C2311" s="2">
        <f>_xlfn.XLOOKUP(B2311,Results!$B$23:$B$119,Results!$D$23:$D$119)</f>
        <v/>
      </c>
      <c r="D2311" s="1" t="n">
        <v>8</v>
      </c>
      <c r="E2311" s="1" t="inlineStr">
        <is>
          <t>CHO</t>
        </is>
      </c>
      <c r="F2311" s="1" t="n">
        <v>2.3572</v>
      </c>
      <c r="G2311" s="1" t="n">
        <v>0.001297</v>
      </c>
    </row>
    <row r="2312">
      <c r="A2312" s="2" t="inlineStr">
        <is>
          <t>E10</t>
        </is>
      </c>
      <c r="B2312" s="2" t="n">
        <v>58</v>
      </c>
      <c r="C2312" s="2">
        <f>_xlfn.XLOOKUP(B2312,Results!$B$23:$B$119,Results!$D$23:$D$119)</f>
        <v/>
      </c>
      <c r="D2312" s="2" t="n">
        <v>9</v>
      </c>
      <c r="E2312" s="2" t="inlineStr">
        <is>
          <t>CHO</t>
        </is>
      </c>
      <c r="F2312" s="2" t="n">
        <v>2.3653</v>
      </c>
      <c r="G2312" s="2" t="n">
        <v>0.003971</v>
      </c>
    </row>
    <row r="2313">
      <c r="A2313" s="1" t="inlineStr">
        <is>
          <t>E10</t>
        </is>
      </c>
      <c r="B2313" s="1" t="n">
        <v>58</v>
      </c>
      <c r="C2313" s="2">
        <f>_xlfn.XLOOKUP(B2313,Results!$B$23:$B$119,Results!$D$23:$D$119)</f>
        <v/>
      </c>
      <c r="D2313" s="1" t="n">
        <v>10</v>
      </c>
      <c r="E2313" s="1" t="inlineStr">
        <is>
          <t>CHO</t>
        </is>
      </c>
      <c r="F2313" s="1" t="n">
        <v>2.3683</v>
      </c>
      <c r="G2313" s="1" t="n">
        <v>0.001584</v>
      </c>
    </row>
    <row r="2314">
      <c r="A2314" s="2" t="inlineStr">
        <is>
          <t>E10</t>
        </is>
      </c>
      <c r="B2314" s="2" t="n">
        <v>58</v>
      </c>
      <c r="C2314" s="2">
        <f>_xlfn.XLOOKUP(B2314,Results!$B$23:$B$119,Results!$D$23:$D$119)</f>
        <v/>
      </c>
      <c r="D2314" s="2" t="n">
        <v>11</v>
      </c>
      <c r="E2314" s="2" t="inlineStr">
        <is>
          <t>CHO</t>
        </is>
      </c>
      <c r="F2314" s="2" t="n">
        <v>2.3697</v>
      </c>
      <c r="G2314" s="2" t="n">
        <v>-0.002436</v>
      </c>
    </row>
    <row r="2315">
      <c r="A2315" s="1" t="inlineStr">
        <is>
          <t>E10</t>
        </is>
      </c>
      <c r="B2315" s="1" t="n">
        <v>58</v>
      </c>
      <c r="C2315" s="2">
        <f>_xlfn.XLOOKUP(B2315,Results!$B$23:$B$119,Results!$D$23:$D$119)</f>
        <v/>
      </c>
      <c r="D2315" s="1" t="n">
        <v>12</v>
      </c>
      <c r="E2315" s="1" t="inlineStr">
        <is>
          <t>CHO</t>
        </is>
      </c>
      <c r="F2315" s="1" t="n">
        <v>2.3732</v>
      </c>
      <c r="G2315" s="1" t="n">
        <v>-0.004374</v>
      </c>
    </row>
    <row r="2316">
      <c r="A2316" s="2" t="inlineStr">
        <is>
          <t>E10</t>
        </is>
      </c>
      <c r="B2316" s="2" t="n">
        <v>58</v>
      </c>
      <c r="C2316" s="2">
        <f>_xlfn.XLOOKUP(B2316,Results!$B$23:$B$119,Results!$D$23:$D$119)</f>
        <v/>
      </c>
      <c r="D2316" s="2" t="n">
        <v>13</v>
      </c>
      <c r="E2316" s="2" t="inlineStr">
        <is>
          <t>CHO</t>
        </is>
      </c>
      <c r="F2316" s="2" t="n">
        <v>2.3801</v>
      </c>
      <c r="G2316" s="2" t="n">
        <v>-0.002896</v>
      </c>
    </row>
    <row r="2317">
      <c r="A2317" s="1" t="inlineStr">
        <is>
          <t>E10</t>
        </is>
      </c>
      <c r="B2317" s="1" t="n">
        <v>58</v>
      </c>
      <c r="C2317" s="2">
        <f>_xlfn.XLOOKUP(B2317,Results!$B$23:$B$119,Results!$D$23:$D$119)</f>
        <v/>
      </c>
      <c r="D2317" s="1" t="n">
        <v>14</v>
      </c>
      <c r="E2317" s="1" t="inlineStr">
        <is>
          <t>CHO</t>
        </is>
      </c>
      <c r="F2317" s="1" t="n">
        <v>2.3897</v>
      </c>
      <c r="G2317" s="1" t="n">
        <v>0.001323</v>
      </c>
    </row>
    <row r="2318">
      <c r="A2318" s="2" t="inlineStr">
        <is>
          <t>E10</t>
        </is>
      </c>
      <c r="B2318" s="2" t="n">
        <v>58</v>
      </c>
      <c r="C2318" s="2">
        <f>_xlfn.XLOOKUP(B2318,Results!$B$23:$B$119,Results!$D$23:$D$119)</f>
        <v/>
      </c>
      <c r="D2318" s="2" t="n">
        <v>15</v>
      </c>
      <c r="E2318" s="2" t="inlineStr">
        <is>
          <t>CHO</t>
        </is>
      </c>
      <c r="F2318" s="2" t="n">
        <v>2.3972</v>
      </c>
      <c r="G2318" s="2" t="n">
        <v>0.003401</v>
      </c>
    </row>
    <row r="2319">
      <c r="A2319" s="1" t="inlineStr">
        <is>
          <t>E10</t>
        </is>
      </c>
      <c r="B2319" s="1" t="n">
        <v>58</v>
      </c>
      <c r="C2319" s="2">
        <f>_xlfn.XLOOKUP(B2319,Results!$B$23:$B$119,Results!$D$23:$D$119)</f>
        <v/>
      </c>
      <c r="D2319" s="1" t="n">
        <v>16</v>
      </c>
      <c r="E2319" s="1" t="inlineStr">
        <is>
          <t>CHO</t>
        </is>
      </c>
      <c r="F2319" s="1" t="n">
        <v>2.3999</v>
      </c>
      <c r="G2319" s="1" t="n">
        <v>0.0007</v>
      </c>
    </row>
    <row r="2320">
      <c r="A2320" s="2" t="inlineStr">
        <is>
          <t>E10</t>
        </is>
      </c>
      <c r="B2320" s="2" t="n">
        <v>58</v>
      </c>
      <c r="C2320" s="2">
        <f>_xlfn.XLOOKUP(B2320,Results!$B$23:$B$119,Results!$D$23:$D$119)</f>
        <v/>
      </c>
      <c r="D2320" s="2" t="n">
        <v>17</v>
      </c>
      <c r="E2320" s="2" t="inlineStr">
        <is>
          <t>CHO</t>
        </is>
      </c>
      <c r="F2320" s="2" t="n">
        <v>2.4078</v>
      </c>
      <c r="G2320" s="2" t="n">
        <v>0.003156</v>
      </c>
    </row>
    <row r="2321">
      <c r="A2321" s="1" t="inlineStr">
        <is>
          <t>E10</t>
        </is>
      </c>
      <c r="B2321" s="1" t="n">
        <v>58</v>
      </c>
      <c r="C2321" s="2">
        <f>_xlfn.XLOOKUP(B2321,Results!$B$23:$B$119,Results!$D$23:$D$119)</f>
        <v/>
      </c>
      <c r="D2321" s="1" t="n">
        <v>18</v>
      </c>
      <c r="E2321" s="1" t="inlineStr">
        <is>
          <t>CHO</t>
        </is>
      </c>
      <c r="F2321" s="1" t="n">
        <v>2.4144</v>
      </c>
      <c r="G2321" s="1" t="n">
        <v>0.004303</v>
      </c>
    </row>
    <row r="2322">
      <c r="A2322" s="2" t="inlineStr">
        <is>
          <t>E10</t>
        </is>
      </c>
      <c r="B2322" s="2" t="n">
        <v>58</v>
      </c>
      <c r="C2322" s="2">
        <f>_xlfn.XLOOKUP(B2322,Results!$B$23:$B$119,Results!$D$23:$D$119)</f>
        <v/>
      </c>
      <c r="D2322" s="2" t="n">
        <v>19</v>
      </c>
      <c r="E2322" s="2" t="inlineStr">
        <is>
          <t>CHO</t>
        </is>
      </c>
      <c r="F2322" s="2" t="n">
        <v>2.4132</v>
      </c>
      <c r="G2322" s="2" t="n">
        <v>-0.002269</v>
      </c>
    </row>
    <row r="2323">
      <c r="A2323" s="1" t="inlineStr">
        <is>
          <t>E10</t>
        </is>
      </c>
      <c r="B2323" s="1" t="n">
        <v>58</v>
      </c>
      <c r="C2323" s="2">
        <f>_xlfn.XLOOKUP(B2323,Results!$B$23:$B$119,Results!$D$23:$D$119)</f>
        <v/>
      </c>
      <c r="D2323" s="1" t="n">
        <v>20</v>
      </c>
      <c r="E2323" s="1" t="inlineStr">
        <is>
          <t>CHO</t>
        </is>
      </c>
      <c r="F2323" s="1" t="n">
        <v>2.415</v>
      </c>
      <c r="G2323" s="1" t="n">
        <v>-0.005895</v>
      </c>
    </row>
    <row r="2324">
      <c r="A2324" s="2" t="inlineStr">
        <is>
          <t>E10</t>
        </is>
      </c>
      <c r="B2324" s="2" t="n">
        <v>58</v>
      </c>
      <c r="C2324" s="2">
        <f>_xlfn.XLOOKUP(B2324,Results!$B$23:$B$119,Results!$D$23:$D$119)</f>
        <v/>
      </c>
      <c r="D2324" s="2" t="n">
        <v>21</v>
      </c>
      <c r="E2324" s="2" t="inlineStr">
        <is>
          <t>CHO</t>
        </is>
      </c>
      <c r="F2324" s="2" t="n">
        <v>2.4315</v>
      </c>
      <c r="G2324" s="2" t="n">
        <v>0.005188</v>
      </c>
    </row>
    <row r="2325">
      <c r="A2325" s="1" t="inlineStr">
        <is>
          <t>E10</t>
        </is>
      </c>
      <c r="B2325" s="1" t="n">
        <v>58</v>
      </c>
      <c r="C2325" s="2">
        <f>_xlfn.XLOOKUP(B2325,Results!$B$23:$B$119,Results!$D$23:$D$119)</f>
        <v/>
      </c>
      <c r="D2325" s="1" t="n">
        <v>22</v>
      </c>
      <c r="E2325" s="1" t="inlineStr">
        <is>
          <t>CHO</t>
        </is>
      </c>
      <c r="F2325" s="1" t="n">
        <v>2.4506</v>
      </c>
      <c r="G2325" s="1" t="n">
        <v>0.018834</v>
      </c>
    </row>
    <row r="2326">
      <c r="A2326" s="2" t="inlineStr">
        <is>
          <t>E10</t>
        </is>
      </c>
      <c r="B2326" s="2" t="n">
        <v>58</v>
      </c>
      <c r="C2326" s="2">
        <f>_xlfn.XLOOKUP(B2326,Results!$B$23:$B$119,Results!$D$23:$D$119)</f>
        <v/>
      </c>
      <c r="D2326" s="2" t="n">
        <v>23</v>
      </c>
      <c r="E2326" s="2" t="inlineStr">
        <is>
          <t>CHO</t>
        </is>
      </c>
      <c r="F2326" s="2" t="n">
        <v>2.4596</v>
      </c>
      <c r="G2326" s="2" t="n">
        <v>0.022413</v>
      </c>
    </row>
    <row r="2327">
      <c r="A2327" s="1" t="inlineStr">
        <is>
          <t>E10</t>
        </is>
      </c>
      <c r="B2327" s="1" t="n">
        <v>58</v>
      </c>
      <c r="C2327" s="2">
        <f>_xlfn.XLOOKUP(B2327,Results!$B$23:$B$119,Results!$D$23:$D$119)</f>
        <v/>
      </c>
      <c r="D2327" s="1" t="n">
        <v>24</v>
      </c>
      <c r="E2327" s="1" t="inlineStr">
        <is>
          <t>CHO</t>
        </is>
      </c>
      <c r="F2327" s="1" t="n">
        <v>2.4835</v>
      </c>
      <c r="G2327" s="1" t="n">
        <v>0.040956</v>
      </c>
    </row>
    <row r="2328">
      <c r="A2328" s="2" t="inlineStr">
        <is>
          <t>E10</t>
        </is>
      </c>
      <c r="B2328" s="2" t="n">
        <v>58</v>
      </c>
      <c r="C2328" s="2">
        <f>_xlfn.XLOOKUP(B2328,Results!$B$23:$B$119,Results!$D$23:$D$119)</f>
        <v/>
      </c>
      <c r="D2328" s="2" t="n">
        <v>25</v>
      </c>
      <c r="E2328" s="2" t="inlineStr">
        <is>
          <t>CHO</t>
        </is>
      </c>
      <c r="F2328" s="2" t="n">
        <v>2.5486</v>
      </c>
      <c r="G2328" s="2" t="n">
        <v>0.100639</v>
      </c>
    </row>
    <row r="2329">
      <c r="A2329" s="1" t="inlineStr">
        <is>
          <t>E10</t>
        </is>
      </c>
      <c r="B2329" s="1" t="n">
        <v>58</v>
      </c>
      <c r="C2329" s="2">
        <f>_xlfn.XLOOKUP(B2329,Results!$B$23:$B$119,Results!$D$23:$D$119)</f>
        <v/>
      </c>
      <c r="D2329" s="1" t="n">
        <v>26</v>
      </c>
      <c r="E2329" s="1" t="inlineStr">
        <is>
          <t>CHO</t>
        </is>
      </c>
      <c r="F2329" s="1" t="n">
        <v>2.6195</v>
      </c>
      <c r="G2329" s="1" t="n">
        <v>0.166093</v>
      </c>
    </row>
    <row r="2330">
      <c r="A2330" s="2" t="inlineStr">
        <is>
          <t>E10</t>
        </is>
      </c>
      <c r="B2330" s="2" t="n">
        <v>58</v>
      </c>
      <c r="C2330" s="2">
        <f>_xlfn.XLOOKUP(B2330,Results!$B$23:$B$119,Results!$D$23:$D$119)</f>
        <v/>
      </c>
      <c r="D2330" s="2" t="n">
        <v>27</v>
      </c>
      <c r="E2330" s="2" t="inlineStr">
        <is>
          <t>CHO</t>
        </is>
      </c>
      <c r="F2330" s="2" t="n">
        <v>2.7681</v>
      </c>
      <c r="G2330" s="2" t="n">
        <v>0.309326</v>
      </c>
    </row>
    <row r="2331">
      <c r="A2331" s="1" t="inlineStr">
        <is>
          <t>E10</t>
        </is>
      </c>
      <c r="B2331" s="1" t="n">
        <v>58</v>
      </c>
      <c r="C2331" s="2">
        <f>_xlfn.XLOOKUP(B2331,Results!$B$23:$B$119,Results!$D$23:$D$119)</f>
        <v/>
      </c>
      <c r="D2331" s="1" t="n">
        <v>28</v>
      </c>
      <c r="E2331" s="1" t="inlineStr">
        <is>
          <t>CHO</t>
        </is>
      </c>
      <c r="F2331" s="1" t="n">
        <v>3.0197</v>
      </c>
      <c r="G2331" s="1" t="n">
        <v>0.555484</v>
      </c>
    </row>
    <row r="2332">
      <c r="A2332" s="2" t="inlineStr">
        <is>
          <t>E10</t>
        </is>
      </c>
      <c r="B2332" s="2" t="n">
        <v>58</v>
      </c>
      <c r="C2332" s="2">
        <f>_xlfn.XLOOKUP(B2332,Results!$B$23:$B$119,Results!$D$23:$D$119)</f>
        <v/>
      </c>
      <c r="D2332" s="2" t="n">
        <v>29</v>
      </c>
      <c r="E2332" s="2" t="inlineStr">
        <is>
          <t>CHO</t>
        </is>
      </c>
      <c r="F2332" s="2" t="n">
        <v>3.3504</v>
      </c>
      <c r="G2332" s="2" t="n">
        <v>0.880773</v>
      </c>
    </row>
    <row r="2333">
      <c r="A2333" s="1" t="inlineStr">
        <is>
          <t>E10</t>
        </is>
      </c>
      <c r="B2333" s="1" t="n">
        <v>58</v>
      </c>
      <c r="C2333" s="2">
        <f>_xlfn.XLOOKUP(B2333,Results!$B$23:$B$119,Results!$D$23:$D$119)</f>
        <v/>
      </c>
      <c r="D2333" s="1" t="n">
        <v>30</v>
      </c>
      <c r="E2333" s="1" t="inlineStr">
        <is>
          <t>CHO</t>
        </is>
      </c>
      <c r="F2333" s="1" t="n">
        <v>3.7726</v>
      </c>
      <c r="G2333" s="1" t="n">
        <v>1.297501</v>
      </c>
    </row>
    <row r="2334">
      <c r="A2334" s="2" t="inlineStr">
        <is>
          <t>E10</t>
        </is>
      </c>
      <c r="B2334" s="2" t="n">
        <v>58</v>
      </c>
      <c r="C2334" s="2">
        <f>_xlfn.XLOOKUP(B2334,Results!$B$23:$B$119,Results!$D$23:$D$119)</f>
        <v/>
      </c>
      <c r="D2334" s="2" t="n">
        <v>31</v>
      </c>
      <c r="E2334" s="2" t="inlineStr">
        <is>
          <t>CHO</t>
        </is>
      </c>
      <c r="F2334" s="2" t="n">
        <v>4.2227</v>
      </c>
      <c r="G2334" s="2" t="n">
        <v>1.74222</v>
      </c>
    </row>
    <row r="2335">
      <c r="A2335" s="1" t="inlineStr">
        <is>
          <t>E10</t>
        </is>
      </c>
      <c r="B2335" s="1" t="n">
        <v>58</v>
      </c>
      <c r="C2335" s="2">
        <f>_xlfn.XLOOKUP(B2335,Results!$B$23:$B$119,Results!$D$23:$D$119)</f>
        <v/>
      </c>
      <c r="D2335" s="1" t="n">
        <v>32</v>
      </c>
      <c r="E2335" s="1" t="inlineStr">
        <is>
          <t>CHO</t>
        </is>
      </c>
      <c r="F2335" s="1" t="n">
        <v>4.6491</v>
      </c>
      <c r="G2335" s="1" t="n">
        <v>2.163177</v>
      </c>
    </row>
    <row r="2336">
      <c r="A2336" s="2" t="inlineStr">
        <is>
          <t>E10</t>
        </is>
      </c>
      <c r="B2336" s="2" t="n">
        <v>58</v>
      </c>
      <c r="C2336" s="2">
        <f>_xlfn.XLOOKUP(B2336,Results!$B$23:$B$119,Results!$D$23:$D$119)</f>
        <v/>
      </c>
      <c r="D2336" s="2" t="n">
        <v>33</v>
      </c>
      <c r="E2336" s="2" t="inlineStr">
        <is>
          <t>CHO</t>
        </is>
      </c>
      <c r="F2336" s="2" t="n">
        <v>5.0302</v>
      </c>
      <c r="G2336" s="2" t="n">
        <v>2.538917</v>
      </c>
    </row>
    <row r="2337">
      <c r="A2337" s="1" t="inlineStr">
        <is>
          <t>E10</t>
        </is>
      </c>
      <c r="B2337" s="1" t="n">
        <v>58</v>
      </c>
      <c r="C2337" s="2">
        <f>_xlfn.XLOOKUP(B2337,Results!$B$23:$B$119,Results!$D$23:$D$119)</f>
        <v/>
      </c>
      <c r="D2337" s="1" t="n">
        <v>34</v>
      </c>
      <c r="E2337" s="1" t="inlineStr">
        <is>
          <t>CHO</t>
        </is>
      </c>
      <c r="F2337" s="1" t="n">
        <v>5.3854</v>
      </c>
      <c r="G2337" s="1" t="n">
        <v>2.888641</v>
      </c>
    </row>
    <row r="2338">
      <c r="A2338" s="2" t="inlineStr">
        <is>
          <t>E10</t>
        </is>
      </c>
      <c r="B2338" s="2" t="n">
        <v>58</v>
      </c>
      <c r="C2338" s="2">
        <f>_xlfn.XLOOKUP(B2338,Results!$B$23:$B$119,Results!$D$23:$D$119)</f>
        <v/>
      </c>
      <c r="D2338" s="2" t="n">
        <v>35</v>
      </c>
      <c r="E2338" s="2" t="inlineStr">
        <is>
          <t>CHO</t>
        </is>
      </c>
      <c r="F2338" s="2" t="n">
        <v>5.7191</v>
      </c>
      <c r="G2338" s="2" t="n">
        <v>3.216969</v>
      </c>
    </row>
    <row r="2339">
      <c r="A2339" s="1" t="inlineStr">
        <is>
          <t>E10</t>
        </is>
      </c>
      <c r="B2339" s="1" t="n">
        <v>58</v>
      </c>
      <c r="C2339" s="2">
        <f>_xlfn.XLOOKUP(B2339,Results!$B$23:$B$119,Results!$D$23:$D$119)</f>
        <v/>
      </c>
      <c r="D2339" s="1" t="n">
        <v>36</v>
      </c>
      <c r="E2339" s="1" t="inlineStr">
        <is>
          <t>CHO</t>
        </is>
      </c>
      <c r="F2339" s="1" t="n">
        <v>5.9879</v>
      </c>
      <c r="G2339" s="1" t="n">
        <v>3.480368</v>
      </c>
    </row>
    <row r="2340">
      <c r="A2340" s="2" t="inlineStr">
        <is>
          <t>E10</t>
        </is>
      </c>
      <c r="B2340" s="2" t="n">
        <v>58</v>
      </c>
      <c r="C2340" s="2">
        <f>_xlfn.XLOOKUP(B2340,Results!$B$23:$B$119,Results!$D$23:$D$119)</f>
        <v/>
      </c>
      <c r="D2340" s="2" t="n">
        <v>37</v>
      </c>
      <c r="E2340" s="2" t="inlineStr">
        <is>
          <t>CHO</t>
        </is>
      </c>
      <c r="F2340" s="2" t="n">
        <v>6.2453</v>
      </c>
      <c r="G2340" s="2" t="n">
        <v>3.732297</v>
      </c>
    </row>
    <row r="2341">
      <c r="A2341" s="1" t="inlineStr">
        <is>
          <t>E10</t>
        </is>
      </c>
      <c r="B2341" s="1" t="n">
        <v>58</v>
      </c>
      <c r="C2341" s="2">
        <f>_xlfn.XLOOKUP(B2341,Results!$B$23:$B$119,Results!$D$23:$D$119)</f>
        <v/>
      </c>
      <c r="D2341" s="1" t="n">
        <v>38</v>
      </c>
      <c r="E2341" s="1" t="inlineStr">
        <is>
          <t>CHO</t>
        </is>
      </c>
      <c r="F2341" s="1" t="n">
        <v>6.4719</v>
      </c>
      <c r="G2341" s="1" t="n">
        <v>3.953479</v>
      </c>
    </row>
    <row r="2342">
      <c r="A2342" s="2" t="inlineStr">
        <is>
          <t>E10</t>
        </is>
      </c>
      <c r="B2342" s="2" t="n">
        <v>58</v>
      </c>
      <c r="C2342" s="2">
        <f>_xlfn.XLOOKUP(B2342,Results!$B$23:$B$119,Results!$D$23:$D$119)</f>
        <v/>
      </c>
      <c r="D2342" s="2" t="n">
        <v>39</v>
      </c>
      <c r="E2342" s="2" t="inlineStr">
        <is>
          <t>CHO</t>
        </is>
      </c>
      <c r="F2342" s="2" t="n">
        <v>6.6119</v>
      </c>
      <c r="G2342" s="2" t="n">
        <v>4.088161</v>
      </c>
    </row>
    <row r="2343">
      <c r="A2343" s="1" t="inlineStr">
        <is>
          <t>E10</t>
        </is>
      </c>
      <c r="B2343" s="1" t="n">
        <v>58</v>
      </c>
      <c r="C2343" s="2">
        <f>_xlfn.XLOOKUP(B2343,Results!$B$23:$B$119,Results!$D$23:$D$119)</f>
        <v/>
      </c>
      <c r="D2343" s="1" t="n">
        <v>40</v>
      </c>
      <c r="E2343" s="1" t="inlineStr">
        <is>
          <t>CHO</t>
        </is>
      </c>
      <c r="F2343" s="1" t="n">
        <v>6.7694</v>
      </c>
      <c r="G2343" s="1" t="n">
        <v>4.240232</v>
      </c>
    </row>
    <row r="2344">
      <c r="A2344" s="2" t="inlineStr">
        <is>
          <t>E11</t>
        </is>
      </c>
      <c r="B2344" s="2" t="n">
        <v>59</v>
      </c>
      <c r="C2344" s="2">
        <f>_xlfn.XLOOKUP(B2344,Results!$B$23:$B$119,Results!$D$23:$D$119)</f>
        <v/>
      </c>
      <c r="D2344" s="2" t="n">
        <v>1</v>
      </c>
      <c r="E2344" s="2" t="inlineStr">
        <is>
          <t>CHO</t>
        </is>
      </c>
      <c r="F2344" s="2" t="n">
        <v>2.2994</v>
      </c>
      <c r="G2344" s="2" t="n">
        <v>0.002891</v>
      </c>
    </row>
    <row r="2345">
      <c r="A2345" s="1" t="inlineStr">
        <is>
          <t>E11</t>
        </is>
      </c>
      <c r="B2345" s="1" t="n">
        <v>59</v>
      </c>
      <c r="C2345" s="2">
        <f>_xlfn.XLOOKUP(B2345,Results!$B$23:$B$119,Results!$D$23:$D$119)</f>
        <v/>
      </c>
      <c r="D2345" s="1" t="n">
        <v>2</v>
      </c>
      <c r="E2345" s="1" t="inlineStr">
        <is>
          <t>CHO</t>
        </is>
      </c>
      <c r="F2345" s="1" t="n">
        <v>2.3027</v>
      </c>
      <c r="G2345" s="1" t="n">
        <v>0.000973</v>
      </c>
    </row>
    <row r="2346">
      <c r="A2346" s="2" t="inlineStr">
        <is>
          <t>E11</t>
        </is>
      </c>
      <c r="B2346" s="2" t="n">
        <v>59</v>
      </c>
      <c r="C2346" s="2">
        <f>_xlfn.XLOOKUP(B2346,Results!$B$23:$B$119,Results!$D$23:$D$119)</f>
        <v/>
      </c>
      <c r="D2346" s="2" t="n">
        <v>3</v>
      </c>
      <c r="E2346" s="2" t="inlineStr">
        <is>
          <t>CHO</t>
        </is>
      </c>
      <c r="F2346" s="2" t="n">
        <v>2.3077</v>
      </c>
      <c r="G2346" s="2" t="n">
        <v>0.000574</v>
      </c>
    </row>
    <row r="2347">
      <c r="A2347" s="1" t="inlineStr">
        <is>
          <t>E11</t>
        </is>
      </c>
      <c r="B2347" s="1" t="n">
        <v>59</v>
      </c>
      <c r="C2347" s="2">
        <f>_xlfn.XLOOKUP(B2347,Results!$B$23:$B$119,Results!$D$23:$D$119)</f>
        <v/>
      </c>
      <c r="D2347" s="1" t="n">
        <v>4</v>
      </c>
      <c r="E2347" s="1" t="inlineStr">
        <is>
          <t>CHO</t>
        </is>
      </c>
      <c r="F2347" s="1" t="n">
        <v>2.3124</v>
      </c>
      <c r="G2347" s="1" t="n">
        <v>-4e-05</v>
      </c>
    </row>
    <row r="2348">
      <c r="A2348" s="2" t="inlineStr">
        <is>
          <t>E11</t>
        </is>
      </c>
      <c r="B2348" s="2" t="n">
        <v>59</v>
      </c>
      <c r="C2348" s="2">
        <f>_xlfn.XLOOKUP(B2348,Results!$B$23:$B$119,Results!$D$23:$D$119)</f>
        <v/>
      </c>
      <c r="D2348" s="2" t="n">
        <v>5</v>
      </c>
      <c r="E2348" s="2" t="inlineStr">
        <is>
          <t>CHO</t>
        </is>
      </c>
      <c r="F2348" s="2" t="n">
        <v>2.3191</v>
      </c>
      <c r="G2348" s="2" t="n">
        <v>0.00143</v>
      </c>
    </row>
    <row r="2349">
      <c r="A2349" s="1" t="inlineStr">
        <is>
          <t>E11</t>
        </is>
      </c>
      <c r="B2349" s="1" t="n">
        <v>59</v>
      </c>
      <c r="C2349" s="2">
        <f>_xlfn.XLOOKUP(B2349,Results!$B$23:$B$119,Results!$D$23:$D$119)</f>
        <v/>
      </c>
      <c r="D2349" s="1" t="n">
        <v>6</v>
      </c>
      <c r="E2349" s="1" t="inlineStr">
        <is>
          <t>CHO</t>
        </is>
      </c>
      <c r="F2349" s="1" t="n">
        <v>2.3228</v>
      </c>
      <c r="G2349" s="1" t="n">
        <v>-0.000186</v>
      </c>
    </row>
    <row r="2350">
      <c r="A2350" s="2" t="inlineStr">
        <is>
          <t>E11</t>
        </is>
      </c>
      <c r="B2350" s="2" t="n">
        <v>59</v>
      </c>
      <c r="C2350" s="2">
        <f>_xlfn.XLOOKUP(B2350,Results!$B$23:$B$119,Results!$D$23:$D$119)</f>
        <v/>
      </c>
      <c r="D2350" s="2" t="n">
        <v>7</v>
      </c>
      <c r="E2350" s="2" t="inlineStr">
        <is>
          <t>CHO</t>
        </is>
      </c>
      <c r="F2350" s="2" t="n">
        <v>2.3284</v>
      </c>
      <c r="G2350" s="2" t="n">
        <v>2.2e-05</v>
      </c>
    </row>
    <row r="2351">
      <c r="A2351" s="1" t="inlineStr">
        <is>
          <t>E11</t>
        </is>
      </c>
      <c r="B2351" s="1" t="n">
        <v>59</v>
      </c>
      <c r="C2351" s="2">
        <f>_xlfn.XLOOKUP(B2351,Results!$B$23:$B$119,Results!$D$23:$D$119)</f>
        <v/>
      </c>
      <c r="D2351" s="1" t="n">
        <v>8</v>
      </c>
      <c r="E2351" s="1" t="inlineStr">
        <is>
          <t>CHO</t>
        </is>
      </c>
      <c r="F2351" s="1" t="n">
        <v>2.3331</v>
      </c>
      <c r="G2351" s="1" t="n">
        <v>-0.0005910000000000001</v>
      </c>
    </row>
    <row r="2352">
      <c r="A2352" s="2" t="inlineStr">
        <is>
          <t>E11</t>
        </is>
      </c>
      <c r="B2352" s="2" t="n">
        <v>59</v>
      </c>
      <c r="C2352" s="2">
        <f>_xlfn.XLOOKUP(B2352,Results!$B$23:$B$119,Results!$D$23:$D$119)</f>
        <v/>
      </c>
      <c r="D2352" s="2" t="n">
        <v>9</v>
      </c>
      <c r="E2352" s="2" t="inlineStr">
        <is>
          <t>CHO</t>
        </is>
      </c>
      <c r="F2352" s="2" t="n">
        <v>2.337</v>
      </c>
      <c r="G2352" s="2" t="n">
        <v>-0.001918</v>
      </c>
    </row>
    <row r="2353">
      <c r="A2353" s="1" t="inlineStr">
        <is>
          <t>E11</t>
        </is>
      </c>
      <c r="B2353" s="1" t="n">
        <v>59</v>
      </c>
      <c r="C2353" s="2">
        <f>_xlfn.XLOOKUP(B2353,Results!$B$23:$B$119,Results!$D$23:$D$119)</f>
        <v/>
      </c>
      <c r="D2353" s="1" t="n">
        <v>10</v>
      </c>
      <c r="E2353" s="1" t="inlineStr">
        <is>
          <t>CHO</t>
        </is>
      </c>
      <c r="F2353" s="1" t="n">
        <v>2.3404</v>
      </c>
      <c r="G2353" s="1" t="n">
        <v>-0.003879</v>
      </c>
    </row>
    <row r="2354">
      <c r="A2354" s="2" t="inlineStr">
        <is>
          <t>E11</t>
        </is>
      </c>
      <c r="B2354" s="2" t="n">
        <v>59</v>
      </c>
      <c r="C2354" s="2">
        <f>_xlfn.XLOOKUP(B2354,Results!$B$23:$B$119,Results!$D$23:$D$119)</f>
        <v/>
      </c>
      <c r="D2354" s="2" t="n">
        <v>11</v>
      </c>
      <c r="E2354" s="2" t="inlineStr">
        <is>
          <t>CHO</t>
        </is>
      </c>
      <c r="F2354" s="2" t="n">
        <v>2.3491</v>
      </c>
      <c r="G2354" s="2" t="n">
        <v>-0.000461</v>
      </c>
    </row>
    <row r="2355">
      <c r="A2355" s="1" t="inlineStr">
        <is>
          <t>E11</t>
        </is>
      </c>
      <c r="B2355" s="1" t="n">
        <v>59</v>
      </c>
      <c r="C2355" s="2">
        <f>_xlfn.XLOOKUP(B2355,Results!$B$23:$B$119,Results!$D$23:$D$119)</f>
        <v/>
      </c>
      <c r="D2355" s="1" t="n">
        <v>12</v>
      </c>
      <c r="E2355" s="1" t="inlineStr">
        <is>
          <t>CHO</t>
        </is>
      </c>
      <c r="F2355" s="1" t="n">
        <v>2.357</v>
      </c>
      <c r="G2355" s="1" t="n">
        <v>0.002123</v>
      </c>
    </row>
    <row r="2356">
      <c r="A2356" s="2" t="inlineStr">
        <is>
          <t>E11</t>
        </is>
      </c>
      <c r="B2356" s="2" t="n">
        <v>59</v>
      </c>
      <c r="C2356" s="2">
        <f>_xlfn.XLOOKUP(B2356,Results!$B$23:$B$119,Results!$D$23:$D$119)</f>
        <v/>
      </c>
      <c r="D2356" s="2" t="n">
        <v>13</v>
      </c>
      <c r="E2356" s="2" t="inlineStr">
        <is>
          <t>CHO</t>
        </is>
      </c>
      <c r="F2356" s="2" t="n">
        <v>2.3626</v>
      </c>
      <c r="G2356" s="2" t="n">
        <v>0.002405</v>
      </c>
    </row>
    <row r="2357">
      <c r="A2357" s="1" t="inlineStr">
        <is>
          <t>E11</t>
        </is>
      </c>
      <c r="B2357" s="1" t="n">
        <v>59</v>
      </c>
      <c r="C2357" s="2">
        <f>_xlfn.XLOOKUP(B2357,Results!$B$23:$B$119,Results!$D$23:$D$119)</f>
        <v/>
      </c>
      <c r="D2357" s="1" t="n">
        <v>14</v>
      </c>
      <c r="E2357" s="1" t="inlineStr">
        <is>
          <t>CHO</t>
        </is>
      </c>
      <c r="F2357" s="1" t="n">
        <v>2.3693</v>
      </c>
      <c r="G2357" s="1" t="n">
        <v>0.003768</v>
      </c>
    </row>
    <row r="2358">
      <c r="A2358" s="2" t="inlineStr">
        <is>
          <t>E11</t>
        </is>
      </c>
      <c r="B2358" s="2" t="n">
        <v>59</v>
      </c>
      <c r="C2358" s="2">
        <f>_xlfn.XLOOKUP(B2358,Results!$B$23:$B$119,Results!$D$23:$D$119)</f>
        <v/>
      </c>
      <c r="D2358" s="2" t="n">
        <v>15</v>
      </c>
      <c r="E2358" s="2" t="inlineStr">
        <is>
          <t>CHO</t>
        </is>
      </c>
      <c r="F2358" s="2" t="n">
        <v>2.3715</v>
      </c>
      <c r="G2358" s="2" t="n">
        <v>0.000718</v>
      </c>
    </row>
    <row r="2359">
      <c r="A2359" s="1" t="inlineStr">
        <is>
          <t>E11</t>
        </is>
      </c>
      <c r="B2359" s="1" t="n">
        <v>59</v>
      </c>
      <c r="C2359" s="2">
        <f>_xlfn.XLOOKUP(B2359,Results!$B$23:$B$119,Results!$D$23:$D$119)</f>
        <v/>
      </c>
      <c r="D2359" s="1" t="n">
        <v>16</v>
      </c>
      <c r="E2359" s="1" t="inlineStr">
        <is>
          <t>CHO</t>
        </is>
      </c>
      <c r="F2359" s="1" t="n">
        <v>2.3739</v>
      </c>
      <c r="G2359" s="1" t="n">
        <v>-0.00219</v>
      </c>
    </row>
    <row r="2360">
      <c r="A2360" s="2" t="inlineStr">
        <is>
          <t>E11</t>
        </is>
      </c>
      <c r="B2360" s="2" t="n">
        <v>59</v>
      </c>
      <c r="C2360" s="2">
        <f>_xlfn.XLOOKUP(B2360,Results!$B$23:$B$119,Results!$D$23:$D$119)</f>
        <v/>
      </c>
      <c r="D2360" s="2" t="n">
        <v>17</v>
      </c>
      <c r="E2360" s="2" t="inlineStr">
        <is>
          <t>CHO</t>
        </is>
      </c>
      <c r="F2360" s="2" t="n">
        <v>2.3772</v>
      </c>
      <c r="G2360" s="2" t="n">
        <v>-0.004215</v>
      </c>
    </row>
    <row r="2361">
      <c r="A2361" s="1" t="inlineStr">
        <is>
          <t>E11</t>
        </is>
      </c>
      <c r="B2361" s="1" t="n">
        <v>59</v>
      </c>
      <c r="C2361" s="2">
        <f>_xlfn.XLOOKUP(B2361,Results!$B$23:$B$119,Results!$D$23:$D$119)</f>
        <v/>
      </c>
      <c r="D2361" s="1" t="n">
        <v>18</v>
      </c>
      <c r="E2361" s="1" t="inlineStr">
        <is>
          <t>CHO</t>
        </is>
      </c>
      <c r="F2361" s="1" t="n">
        <v>2.3882</v>
      </c>
      <c r="G2361" s="1" t="n">
        <v>0.001443</v>
      </c>
    </row>
    <row r="2362">
      <c r="A2362" s="2" t="inlineStr">
        <is>
          <t>E11</t>
        </is>
      </c>
      <c r="B2362" s="2" t="n">
        <v>59</v>
      </c>
      <c r="C2362" s="2">
        <f>_xlfn.XLOOKUP(B2362,Results!$B$23:$B$119,Results!$D$23:$D$119)</f>
        <v/>
      </c>
      <c r="D2362" s="2" t="n">
        <v>19</v>
      </c>
      <c r="E2362" s="2" t="inlineStr">
        <is>
          <t>CHO</t>
        </is>
      </c>
      <c r="F2362" s="2" t="n">
        <v>2.3935</v>
      </c>
      <c r="G2362" s="2" t="n">
        <v>0.001384</v>
      </c>
    </row>
    <row r="2363">
      <c r="A2363" s="1" t="inlineStr">
        <is>
          <t>E11</t>
        </is>
      </c>
      <c r="B2363" s="1" t="n">
        <v>59</v>
      </c>
      <c r="C2363" s="2">
        <f>_xlfn.XLOOKUP(B2363,Results!$B$23:$B$119,Results!$D$23:$D$119)</f>
        <v/>
      </c>
      <c r="D2363" s="1" t="n">
        <v>20</v>
      </c>
      <c r="E2363" s="1" t="inlineStr">
        <is>
          <t>CHO</t>
        </is>
      </c>
      <c r="F2363" s="1" t="n">
        <v>2.397</v>
      </c>
      <c r="G2363" s="1" t="n">
        <v>-0.000387</v>
      </c>
    </row>
    <row r="2364">
      <c r="A2364" s="2" t="inlineStr">
        <is>
          <t>E11</t>
        </is>
      </c>
      <c r="B2364" s="2" t="n">
        <v>59</v>
      </c>
      <c r="C2364" s="2">
        <f>_xlfn.XLOOKUP(B2364,Results!$B$23:$B$119,Results!$D$23:$D$119)</f>
        <v/>
      </c>
      <c r="D2364" s="2" t="n">
        <v>21</v>
      </c>
      <c r="E2364" s="2" t="inlineStr">
        <is>
          <t>CHO</t>
        </is>
      </c>
      <c r="F2364" s="2" t="n">
        <v>2.4099</v>
      </c>
      <c r="G2364" s="2" t="n">
        <v>0.007245</v>
      </c>
    </row>
    <row r="2365">
      <c r="A2365" s="1" t="inlineStr">
        <is>
          <t>E11</t>
        </is>
      </c>
      <c r="B2365" s="1" t="n">
        <v>59</v>
      </c>
      <c r="C2365" s="2">
        <f>_xlfn.XLOOKUP(B2365,Results!$B$23:$B$119,Results!$D$23:$D$119)</f>
        <v/>
      </c>
      <c r="D2365" s="1" t="n">
        <v>22</v>
      </c>
      <c r="E2365" s="1" t="inlineStr">
        <is>
          <t>CHO</t>
        </is>
      </c>
      <c r="F2365" s="1" t="n">
        <v>2.4188</v>
      </c>
      <c r="G2365" s="1" t="n">
        <v>0.010782</v>
      </c>
    </row>
    <row r="2366">
      <c r="A2366" s="2" t="inlineStr">
        <is>
          <t>E11</t>
        </is>
      </c>
      <c r="B2366" s="2" t="n">
        <v>59</v>
      </c>
      <c r="C2366" s="2">
        <f>_xlfn.XLOOKUP(B2366,Results!$B$23:$B$119,Results!$D$23:$D$119)</f>
        <v/>
      </c>
      <c r="D2366" s="2" t="n">
        <v>23</v>
      </c>
      <c r="E2366" s="2" t="inlineStr">
        <is>
          <t>CHO</t>
        </is>
      </c>
      <c r="F2366" s="2" t="n">
        <v>2.4366</v>
      </c>
      <c r="G2366" s="2" t="n">
        <v>0.023264</v>
      </c>
    </row>
    <row r="2367">
      <c r="A2367" s="1" t="inlineStr">
        <is>
          <t>E11</t>
        </is>
      </c>
      <c r="B2367" s="1" t="n">
        <v>59</v>
      </c>
      <c r="C2367" s="2">
        <f>_xlfn.XLOOKUP(B2367,Results!$B$23:$B$119,Results!$D$23:$D$119)</f>
        <v/>
      </c>
      <c r="D2367" s="1" t="n">
        <v>24</v>
      </c>
      <c r="E2367" s="1" t="inlineStr">
        <is>
          <t>CHO</t>
        </is>
      </c>
      <c r="F2367" s="1" t="n">
        <v>2.4743</v>
      </c>
      <c r="G2367" s="1" t="n">
        <v>0.055708</v>
      </c>
    </row>
    <row r="2368">
      <c r="A2368" s="2" t="inlineStr">
        <is>
          <t>E11</t>
        </is>
      </c>
      <c r="B2368" s="2" t="n">
        <v>59</v>
      </c>
      <c r="C2368" s="2">
        <f>_xlfn.XLOOKUP(B2368,Results!$B$23:$B$119,Results!$D$23:$D$119)</f>
        <v/>
      </c>
      <c r="D2368" s="2" t="n">
        <v>25</v>
      </c>
      <c r="E2368" s="2" t="inlineStr">
        <is>
          <t>CHO</t>
        </is>
      </c>
      <c r="F2368" s="2" t="n">
        <v>2.5161</v>
      </c>
      <c r="G2368" s="2" t="n">
        <v>0.09218899999999999</v>
      </c>
    </row>
    <row r="2369">
      <c r="A2369" s="1" t="inlineStr">
        <is>
          <t>E11</t>
        </is>
      </c>
      <c r="B2369" s="1" t="n">
        <v>59</v>
      </c>
      <c r="C2369" s="2">
        <f>_xlfn.XLOOKUP(B2369,Results!$B$23:$B$119,Results!$D$23:$D$119)</f>
        <v/>
      </c>
      <c r="D2369" s="1" t="n">
        <v>26</v>
      </c>
      <c r="E2369" s="1" t="inlineStr">
        <is>
          <t>CHO</t>
        </is>
      </c>
      <c r="F2369" s="1" t="n">
        <v>2.6007</v>
      </c>
      <c r="G2369" s="1" t="n">
        <v>0.171433</v>
      </c>
    </row>
    <row r="2370">
      <c r="A2370" s="2" t="inlineStr">
        <is>
          <t>E11</t>
        </is>
      </c>
      <c r="B2370" s="2" t="n">
        <v>59</v>
      </c>
      <c r="C2370" s="2">
        <f>_xlfn.XLOOKUP(B2370,Results!$B$23:$B$119,Results!$D$23:$D$119)</f>
        <v/>
      </c>
      <c r="D2370" s="2" t="n">
        <v>27</v>
      </c>
      <c r="E2370" s="2" t="inlineStr">
        <is>
          <t>CHO</t>
        </is>
      </c>
      <c r="F2370" s="2" t="n">
        <v>2.7486</v>
      </c>
      <c r="G2370" s="2" t="n">
        <v>0.314047</v>
      </c>
    </row>
    <row r="2371">
      <c r="A2371" s="1" t="inlineStr">
        <is>
          <t>E11</t>
        </is>
      </c>
      <c r="B2371" s="1" t="n">
        <v>59</v>
      </c>
      <c r="C2371" s="2">
        <f>_xlfn.XLOOKUP(B2371,Results!$B$23:$B$119,Results!$D$23:$D$119)</f>
        <v/>
      </c>
      <c r="D2371" s="1" t="n">
        <v>28</v>
      </c>
      <c r="E2371" s="1" t="inlineStr">
        <is>
          <t>CHO</t>
        </is>
      </c>
      <c r="F2371" s="1" t="n">
        <v>2.9762</v>
      </c>
      <c r="G2371" s="1" t="n">
        <v>0.536346</v>
      </c>
    </row>
    <row r="2372">
      <c r="A2372" s="2" t="inlineStr">
        <is>
          <t>E11</t>
        </is>
      </c>
      <c r="B2372" s="2" t="n">
        <v>59</v>
      </c>
      <c r="C2372" s="2">
        <f>_xlfn.XLOOKUP(B2372,Results!$B$23:$B$119,Results!$D$23:$D$119)</f>
        <v/>
      </c>
      <c r="D2372" s="2" t="n">
        <v>29</v>
      </c>
      <c r="E2372" s="2" t="inlineStr">
        <is>
          <t>CHO</t>
        </is>
      </c>
      <c r="F2372" s="2" t="n">
        <v>3.3202</v>
      </c>
      <c r="G2372" s="2" t="n">
        <v>0.875058</v>
      </c>
    </row>
    <row r="2373">
      <c r="A2373" s="1" t="inlineStr">
        <is>
          <t>E11</t>
        </is>
      </c>
      <c r="B2373" s="1" t="n">
        <v>59</v>
      </c>
      <c r="C2373" s="2">
        <f>_xlfn.XLOOKUP(B2373,Results!$B$23:$B$119,Results!$D$23:$D$119)</f>
        <v/>
      </c>
      <c r="D2373" s="1" t="n">
        <v>30</v>
      </c>
      <c r="E2373" s="1" t="inlineStr">
        <is>
          <t>CHO</t>
        </is>
      </c>
      <c r="F2373" s="1" t="n">
        <v>3.7223</v>
      </c>
      <c r="G2373" s="1" t="n">
        <v>1.271777</v>
      </c>
    </row>
    <row r="2374">
      <c r="A2374" s="2" t="inlineStr">
        <is>
          <t>E11</t>
        </is>
      </c>
      <c r="B2374" s="2" t="n">
        <v>59</v>
      </c>
      <c r="C2374" s="2">
        <f>_xlfn.XLOOKUP(B2374,Results!$B$23:$B$119,Results!$D$23:$D$119)</f>
        <v/>
      </c>
      <c r="D2374" s="2" t="n">
        <v>31</v>
      </c>
      <c r="E2374" s="2" t="inlineStr">
        <is>
          <t>CHO</t>
        </is>
      </c>
      <c r="F2374" s="2" t="n">
        <v>4.1666</v>
      </c>
      <c r="G2374" s="2" t="n">
        <v>1.710822</v>
      </c>
    </row>
    <row r="2375">
      <c r="A2375" s="1" t="inlineStr">
        <is>
          <t>E11</t>
        </is>
      </c>
      <c r="B2375" s="1" t="n">
        <v>59</v>
      </c>
      <c r="C2375" s="2">
        <f>_xlfn.XLOOKUP(B2375,Results!$B$23:$B$119,Results!$D$23:$D$119)</f>
        <v/>
      </c>
      <c r="D2375" s="1" t="n">
        <v>32</v>
      </c>
      <c r="E2375" s="1" t="inlineStr">
        <is>
          <t>CHO</t>
        </is>
      </c>
      <c r="F2375" s="1" t="n">
        <v>4.5839</v>
      </c>
      <c r="G2375" s="1" t="n">
        <v>2.122798</v>
      </c>
    </row>
    <row r="2376">
      <c r="A2376" s="2" t="inlineStr">
        <is>
          <t>E11</t>
        </is>
      </c>
      <c r="B2376" s="2" t="n">
        <v>59</v>
      </c>
      <c r="C2376" s="2">
        <f>_xlfn.XLOOKUP(B2376,Results!$B$23:$B$119,Results!$D$23:$D$119)</f>
        <v/>
      </c>
      <c r="D2376" s="2" t="n">
        <v>33</v>
      </c>
      <c r="E2376" s="2" t="inlineStr">
        <is>
          <t>CHO</t>
        </is>
      </c>
      <c r="F2376" s="2" t="n">
        <v>4.9698</v>
      </c>
      <c r="G2376" s="2" t="n">
        <v>2.503389</v>
      </c>
    </row>
    <row r="2377">
      <c r="A2377" s="1" t="inlineStr">
        <is>
          <t>E11</t>
        </is>
      </c>
      <c r="B2377" s="1" t="n">
        <v>59</v>
      </c>
      <c r="C2377" s="2">
        <f>_xlfn.XLOOKUP(B2377,Results!$B$23:$B$119,Results!$D$23:$D$119)</f>
        <v/>
      </c>
      <c r="D2377" s="1" t="n">
        <v>34</v>
      </c>
      <c r="E2377" s="1" t="inlineStr">
        <is>
          <t>CHO</t>
        </is>
      </c>
      <c r="F2377" s="1" t="n">
        <v>5.3311</v>
      </c>
      <c r="G2377" s="1" t="n">
        <v>2.8594</v>
      </c>
    </row>
    <row r="2378">
      <c r="A2378" s="2" t="inlineStr">
        <is>
          <t>E11</t>
        </is>
      </c>
      <c r="B2378" s="2" t="n">
        <v>59</v>
      </c>
      <c r="C2378" s="2">
        <f>_xlfn.XLOOKUP(B2378,Results!$B$23:$B$119,Results!$D$23:$D$119)</f>
        <v/>
      </c>
      <c r="D2378" s="2" t="n">
        <v>35</v>
      </c>
      <c r="E2378" s="2" t="inlineStr">
        <is>
          <t>CHO</t>
        </is>
      </c>
      <c r="F2378" s="2" t="n">
        <v>5.6487</v>
      </c>
      <c r="G2378" s="2" t="n">
        <v>3.17161</v>
      </c>
    </row>
    <row r="2379">
      <c r="A2379" s="1" t="inlineStr">
        <is>
          <t>E11</t>
        </is>
      </c>
      <c r="B2379" s="1" t="n">
        <v>59</v>
      </c>
      <c r="C2379" s="2">
        <f>_xlfn.XLOOKUP(B2379,Results!$B$23:$B$119,Results!$D$23:$D$119)</f>
        <v/>
      </c>
      <c r="D2379" s="1" t="n">
        <v>36</v>
      </c>
      <c r="E2379" s="1" t="inlineStr">
        <is>
          <t>CHO</t>
        </is>
      </c>
      <c r="F2379" s="1" t="n">
        <v>5.9227</v>
      </c>
      <c r="G2379" s="1" t="n">
        <v>3.44033</v>
      </c>
    </row>
    <row r="2380">
      <c r="A2380" s="2" t="inlineStr">
        <is>
          <t>E11</t>
        </is>
      </c>
      <c r="B2380" s="2" t="n">
        <v>59</v>
      </c>
      <c r="C2380" s="2">
        <f>_xlfn.XLOOKUP(B2380,Results!$B$23:$B$119,Results!$D$23:$D$119)</f>
        <v/>
      </c>
      <c r="D2380" s="2" t="n">
        <v>37</v>
      </c>
      <c r="E2380" s="2" t="inlineStr">
        <is>
          <t>CHO</t>
        </is>
      </c>
      <c r="F2380" s="2" t="n">
        <v>6.168</v>
      </c>
      <c r="G2380" s="2" t="n">
        <v>3.680353</v>
      </c>
    </row>
    <row r="2381">
      <c r="A2381" s="1" t="inlineStr">
        <is>
          <t>E11</t>
        </is>
      </c>
      <c r="B2381" s="1" t="n">
        <v>59</v>
      </c>
      <c r="C2381" s="2">
        <f>_xlfn.XLOOKUP(B2381,Results!$B$23:$B$119,Results!$D$23:$D$119)</f>
        <v/>
      </c>
      <c r="D2381" s="1" t="n">
        <v>38</v>
      </c>
      <c r="E2381" s="1" t="inlineStr">
        <is>
          <t>CHO</t>
        </is>
      </c>
      <c r="F2381" s="1" t="n">
        <v>6.3644</v>
      </c>
      <c r="G2381" s="1" t="n">
        <v>3.871376</v>
      </c>
    </row>
    <row r="2382">
      <c r="A2382" s="2" t="inlineStr">
        <is>
          <t>E11</t>
        </is>
      </c>
      <c r="B2382" s="2" t="n">
        <v>59</v>
      </c>
      <c r="C2382" s="2">
        <f>_xlfn.XLOOKUP(B2382,Results!$B$23:$B$119,Results!$D$23:$D$119)</f>
        <v/>
      </c>
      <c r="D2382" s="2" t="n">
        <v>39</v>
      </c>
      <c r="E2382" s="2" t="inlineStr">
        <is>
          <t>CHO</t>
        </is>
      </c>
      <c r="F2382" s="2" t="n">
        <v>6.5354</v>
      </c>
      <c r="G2382" s="2" t="n">
        <v>4.037065</v>
      </c>
    </row>
    <row r="2383">
      <c r="A2383" s="1" t="inlineStr">
        <is>
          <t>E11</t>
        </is>
      </c>
      <c r="B2383" s="1" t="n">
        <v>59</v>
      </c>
      <c r="C2383" s="2">
        <f>_xlfn.XLOOKUP(B2383,Results!$B$23:$B$119,Results!$D$23:$D$119)</f>
        <v/>
      </c>
      <c r="D2383" s="1" t="n">
        <v>40</v>
      </c>
      <c r="E2383" s="1" t="inlineStr">
        <is>
          <t>CHO</t>
        </is>
      </c>
      <c r="F2383" s="1" t="n">
        <v>6.6697</v>
      </c>
      <c r="G2383" s="1" t="n">
        <v>4.166057</v>
      </c>
    </row>
    <row r="2384">
      <c r="A2384" s="2" t="inlineStr">
        <is>
          <t>E12</t>
        </is>
      </c>
      <c r="B2384" s="2" t="n">
        <v>60</v>
      </c>
      <c r="C2384" s="2">
        <f>_xlfn.XLOOKUP(B2384,Results!$B$23:$B$119,Results!$D$23:$D$119)</f>
        <v/>
      </c>
      <c r="D2384" s="2" t="n">
        <v>1</v>
      </c>
      <c r="E2384" s="2" t="inlineStr">
        <is>
          <t>CHO</t>
        </is>
      </c>
      <c r="F2384" s="2" t="n">
        <v>2.2702</v>
      </c>
      <c r="G2384" s="2" t="n">
        <v>0.012143</v>
      </c>
    </row>
    <row r="2385">
      <c r="A2385" s="1" t="inlineStr">
        <is>
          <t>E12</t>
        </is>
      </c>
      <c r="B2385" s="1" t="n">
        <v>60</v>
      </c>
      <c r="C2385" s="2">
        <f>_xlfn.XLOOKUP(B2385,Results!$B$23:$B$119,Results!$D$23:$D$119)</f>
        <v/>
      </c>
      <c r="D2385" s="1" t="n">
        <v>2</v>
      </c>
      <c r="E2385" s="1" t="inlineStr">
        <is>
          <t>CHO</t>
        </is>
      </c>
      <c r="F2385" s="1" t="n">
        <v>2.2679</v>
      </c>
      <c r="G2385" s="1" t="n">
        <v>0.004213</v>
      </c>
    </row>
    <row r="2386">
      <c r="A2386" s="2" t="inlineStr">
        <is>
          <t>E12</t>
        </is>
      </c>
      <c r="B2386" s="2" t="n">
        <v>60</v>
      </c>
      <c r="C2386" s="2">
        <f>_xlfn.XLOOKUP(B2386,Results!$B$23:$B$119,Results!$D$23:$D$119)</f>
        <v/>
      </c>
      <c r="D2386" s="2" t="n">
        <v>3</v>
      </c>
      <c r="E2386" s="2" t="inlineStr">
        <is>
          <t>CHO</t>
        </is>
      </c>
      <c r="F2386" s="2" t="n">
        <v>2.2709</v>
      </c>
      <c r="G2386" s="2" t="n">
        <v>0.001548</v>
      </c>
    </row>
    <row r="2387">
      <c r="A2387" s="1" t="inlineStr">
        <is>
          <t>E12</t>
        </is>
      </c>
      <c r="B2387" s="1" t="n">
        <v>60</v>
      </c>
      <c r="C2387" s="2">
        <f>_xlfn.XLOOKUP(B2387,Results!$B$23:$B$119,Results!$D$23:$D$119)</f>
        <v/>
      </c>
      <c r="D2387" s="1" t="n">
        <v>4</v>
      </c>
      <c r="E2387" s="1" t="inlineStr">
        <is>
          <t>CHO</t>
        </is>
      </c>
      <c r="F2387" s="1" t="n">
        <v>2.276</v>
      </c>
      <c r="G2387" s="1" t="n">
        <v>0.000987</v>
      </c>
    </row>
    <row r="2388">
      <c r="A2388" s="2" t="inlineStr">
        <is>
          <t>E12</t>
        </is>
      </c>
      <c r="B2388" s="2" t="n">
        <v>60</v>
      </c>
      <c r="C2388" s="2">
        <f>_xlfn.XLOOKUP(B2388,Results!$B$23:$B$119,Results!$D$23:$D$119)</f>
        <v/>
      </c>
      <c r="D2388" s="2" t="n">
        <v>5</v>
      </c>
      <c r="E2388" s="2" t="inlineStr">
        <is>
          <t>CHO</t>
        </is>
      </c>
      <c r="F2388" s="2" t="n">
        <v>2.2794</v>
      </c>
      <c r="G2388" s="2" t="n">
        <v>-0.001261</v>
      </c>
    </row>
    <row r="2389">
      <c r="A2389" s="1" t="inlineStr">
        <is>
          <t>E12</t>
        </is>
      </c>
      <c r="B2389" s="1" t="n">
        <v>60</v>
      </c>
      <c r="C2389" s="2">
        <f>_xlfn.XLOOKUP(B2389,Results!$B$23:$B$119,Results!$D$23:$D$119)</f>
        <v/>
      </c>
      <c r="D2389" s="1" t="n">
        <v>6</v>
      </c>
      <c r="E2389" s="1" t="inlineStr">
        <is>
          <t>CHO</t>
        </is>
      </c>
      <c r="F2389" s="1" t="n">
        <v>2.2873</v>
      </c>
      <c r="G2389" s="1" t="n">
        <v>0.0009389999999999999</v>
      </c>
    </row>
    <row r="2390">
      <c r="A2390" s="2" t="inlineStr">
        <is>
          <t>E12</t>
        </is>
      </c>
      <c r="B2390" s="2" t="n">
        <v>60</v>
      </c>
      <c r="C2390" s="2">
        <f>_xlfn.XLOOKUP(B2390,Results!$B$23:$B$119,Results!$D$23:$D$119)</f>
        <v/>
      </c>
      <c r="D2390" s="2" t="n">
        <v>7</v>
      </c>
      <c r="E2390" s="2" t="inlineStr">
        <is>
          <t>CHO</t>
        </is>
      </c>
      <c r="F2390" s="2" t="n">
        <v>2.2923</v>
      </c>
      <c r="G2390" s="2" t="n">
        <v>0.000296</v>
      </c>
    </row>
    <row r="2391">
      <c r="A2391" s="1" t="inlineStr">
        <is>
          <t>E12</t>
        </is>
      </c>
      <c r="B2391" s="1" t="n">
        <v>60</v>
      </c>
      <c r="C2391" s="2">
        <f>_xlfn.XLOOKUP(B2391,Results!$B$23:$B$119,Results!$D$23:$D$119)</f>
        <v/>
      </c>
      <c r="D2391" s="1" t="n">
        <v>8</v>
      </c>
      <c r="E2391" s="1" t="inlineStr">
        <is>
          <t>CHO</t>
        </is>
      </c>
      <c r="F2391" s="1" t="n">
        <v>2.2978</v>
      </c>
      <c r="G2391" s="1" t="n">
        <v>7.4e-05</v>
      </c>
    </row>
    <row r="2392">
      <c r="A2392" s="2" t="inlineStr">
        <is>
          <t>E12</t>
        </is>
      </c>
      <c r="B2392" s="2" t="n">
        <v>60</v>
      </c>
      <c r="C2392" s="2">
        <f>_xlfn.XLOOKUP(B2392,Results!$B$23:$B$119,Results!$D$23:$D$119)</f>
        <v/>
      </c>
      <c r="D2392" s="2" t="n">
        <v>9</v>
      </c>
      <c r="E2392" s="2" t="inlineStr">
        <is>
          <t>CHO</t>
        </is>
      </c>
      <c r="F2392" s="2" t="n">
        <v>2.3013</v>
      </c>
      <c r="G2392" s="2" t="n">
        <v>-0.002075</v>
      </c>
    </row>
    <row r="2393">
      <c r="A2393" s="1" t="inlineStr">
        <is>
          <t>E12</t>
        </is>
      </c>
      <c r="B2393" s="1" t="n">
        <v>60</v>
      </c>
      <c r="C2393" s="2">
        <f>_xlfn.XLOOKUP(B2393,Results!$B$23:$B$119,Results!$D$23:$D$119)</f>
        <v/>
      </c>
      <c r="D2393" s="1" t="n">
        <v>10</v>
      </c>
      <c r="E2393" s="1" t="inlineStr">
        <is>
          <t>CHO</t>
        </is>
      </c>
      <c r="F2393" s="1" t="n">
        <v>2.3053</v>
      </c>
      <c r="G2393" s="1" t="n">
        <v>-0.003715</v>
      </c>
    </row>
    <row r="2394">
      <c r="A2394" s="2" t="inlineStr">
        <is>
          <t>E12</t>
        </is>
      </c>
      <c r="B2394" s="2" t="n">
        <v>60</v>
      </c>
      <c r="C2394" s="2">
        <f>_xlfn.XLOOKUP(B2394,Results!$B$23:$B$119,Results!$D$23:$D$119)</f>
        <v/>
      </c>
      <c r="D2394" s="2" t="n">
        <v>11</v>
      </c>
      <c r="E2394" s="2" t="inlineStr">
        <is>
          <t>CHO</t>
        </is>
      </c>
      <c r="F2394" s="2" t="n">
        <v>2.3138</v>
      </c>
      <c r="G2394" s="2" t="n">
        <v>-0.000903</v>
      </c>
    </row>
    <row r="2395">
      <c r="A2395" s="1" t="inlineStr">
        <is>
          <t>E12</t>
        </is>
      </c>
      <c r="B2395" s="1" t="n">
        <v>60</v>
      </c>
      <c r="C2395" s="2">
        <f>_xlfn.XLOOKUP(B2395,Results!$B$23:$B$119,Results!$D$23:$D$119)</f>
        <v/>
      </c>
      <c r="D2395" s="1" t="n">
        <v>12</v>
      </c>
      <c r="E2395" s="1" t="inlineStr">
        <is>
          <t>CHO</t>
        </is>
      </c>
      <c r="F2395" s="1" t="n">
        <v>2.3194</v>
      </c>
      <c r="G2395" s="1" t="n">
        <v>-0.000992</v>
      </c>
    </row>
    <row r="2396">
      <c r="A2396" s="2" t="inlineStr">
        <is>
          <t>E12</t>
        </is>
      </c>
      <c r="B2396" s="2" t="n">
        <v>60</v>
      </c>
      <c r="C2396" s="2">
        <f>_xlfn.XLOOKUP(B2396,Results!$B$23:$B$119,Results!$D$23:$D$119)</f>
        <v/>
      </c>
      <c r="D2396" s="2" t="n">
        <v>13</v>
      </c>
      <c r="E2396" s="2" t="inlineStr">
        <is>
          <t>CHO</t>
        </is>
      </c>
      <c r="F2396" s="2" t="n">
        <v>2.3286</v>
      </c>
      <c r="G2396" s="2" t="n">
        <v>0.002615</v>
      </c>
    </row>
    <row r="2397">
      <c r="A2397" s="1" t="inlineStr">
        <is>
          <t>E12</t>
        </is>
      </c>
      <c r="B2397" s="1" t="n">
        <v>60</v>
      </c>
      <c r="C2397" s="2">
        <f>_xlfn.XLOOKUP(B2397,Results!$B$23:$B$119,Results!$D$23:$D$119)</f>
        <v/>
      </c>
      <c r="D2397" s="1" t="n">
        <v>14</v>
      </c>
      <c r="E2397" s="1" t="inlineStr">
        <is>
          <t>CHO</t>
        </is>
      </c>
      <c r="F2397" s="1" t="n">
        <v>2.3318</v>
      </c>
      <c r="G2397" s="1" t="n">
        <v>0.000102</v>
      </c>
    </row>
    <row r="2398">
      <c r="A2398" s="2" t="inlineStr">
        <is>
          <t>E12</t>
        </is>
      </c>
      <c r="B2398" s="2" t="n">
        <v>60</v>
      </c>
      <c r="C2398" s="2">
        <f>_xlfn.XLOOKUP(B2398,Results!$B$23:$B$119,Results!$D$23:$D$119)</f>
        <v/>
      </c>
      <c r="D2398" s="2" t="n">
        <v>15</v>
      </c>
      <c r="E2398" s="2" t="inlineStr">
        <is>
          <t>CHO</t>
        </is>
      </c>
      <c r="F2398" s="2" t="n">
        <v>2.3388</v>
      </c>
      <c r="G2398" s="2" t="n">
        <v>0.001415</v>
      </c>
    </row>
    <row r="2399">
      <c r="A2399" s="1" t="inlineStr">
        <is>
          <t>E12</t>
        </is>
      </c>
      <c r="B2399" s="1" t="n">
        <v>60</v>
      </c>
      <c r="C2399" s="2">
        <f>_xlfn.XLOOKUP(B2399,Results!$B$23:$B$119,Results!$D$23:$D$119)</f>
        <v/>
      </c>
      <c r="D2399" s="1" t="n">
        <v>16</v>
      </c>
      <c r="E2399" s="1" t="inlineStr">
        <is>
          <t>CHO</t>
        </is>
      </c>
      <c r="F2399" s="1" t="n">
        <v>2.3449</v>
      </c>
      <c r="G2399" s="1" t="n">
        <v>0.0019</v>
      </c>
    </row>
    <row r="2400">
      <c r="A2400" s="2" t="inlineStr">
        <is>
          <t>E12</t>
        </is>
      </c>
      <c r="B2400" s="2" t="n">
        <v>60</v>
      </c>
      <c r="C2400" s="2">
        <f>_xlfn.XLOOKUP(B2400,Results!$B$23:$B$119,Results!$D$23:$D$119)</f>
        <v/>
      </c>
      <c r="D2400" s="2" t="n">
        <v>17</v>
      </c>
      <c r="E2400" s="2" t="inlineStr">
        <is>
          <t>CHO</t>
        </is>
      </c>
      <c r="F2400" s="2" t="n">
        <v>2.3502</v>
      </c>
      <c r="G2400" s="2" t="n">
        <v>0.001484</v>
      </c>
    </row>
    <row r="2401">
      <c r="A2401" s="1" t="inlineStr">
        <is>
          <t>E12</t>
        </is>
      </c>
      <c r="B2401" s="1" t="n">
        <v>60</v>
      </c>
      <c r="C2401" s="2">
        <f>_xlfn.XLOOKUP(B2401,Results!$B$23:$B$119,Results!$D$23:$D$119)</f>
        <v/>
      </c>
      <c r="D2401" s="1" t="n">
        <v>18</v>
      </c>
      <c r="E2401" s="1" t="inlineStr">
        <is>
          <t>CHO</t>
        </is>
      </c>
      <c r="F2401" s="1" t="n">
        <v>2.3541</v>
      </c>
      <c r="G2401" s="1" t="n">
        <v>-0.000281</v>
      </c>
    </row>
    <row r="2402">
      <c r="A2402" s="2" t="inlineStr">
        <is>
          <t>E12</t>
        </is>
      </c>
      <c r="B2402" s="2" t="n">
        <v>60</v>
      </c>
      <c r="C2402" s="2">
        <f>_xlfn.XLOOKUP(B2402,Results!$B$23:$B$119,Results!$D$23:$D$119)</f>
        <v/>
      </c>
      <c r="D2402" s="2" t="n">
        <v>19</v>
      </c>
      <c r="E2402" s="2" t="inlineStr">
        <is>
          <t>CHO</t>
        </is>
      </c>
      <c r="F2402" s="2" t="n">
        <v>2.3575</v>
      </c>
      <c r="G2402" s="2" t="n">
        <v>-0.002495</v>
      </c>
    </row>
    <row r="2403">
      <c r="A2403" s="1" t="inlineStr">
        <is>
          <t>E12</t>
        </is>
      </c>
      <c r="B2403" s="1" t="n">
        <v>60</v>
      </c>
      <c r="C2403" s="2">
        <f>_xlfn.XLOOKUP(B2403,Results!$B$23:$B$119,Results!$D$23:$D$119)</f>
        <v/>
      </c>
      <c r="D2403" s="1" t="n">
        <v>20</v>
      </c>
      <c r="E2403" s="1" t="inlineStr">
        <is>
          <t>CHO</t>
        </is>
      </c>
      <c r="F2403" s="1" t="n">
        <v>2.366</v>
      </c>
      <c r="G2403" s="1" t="n">
        <v>0.000364</v>
      </c>
    </row>
    <row r="2404">
      <c r="A2404" s="2" t="inlineStr">
        <is>
          <t>E12</t>
        </is>
      </c>
      <c r="B2404" s="2" t="n">
        <v>60</v>
      </c>
      <c r="C2404" s="2">
        <f>_xlfn.XLOOKUP(B2404,Results!$B$23:$B$119,Results!$D$23:$D$119)</f>
        <v/>
      </c>
      <c r="D2404" s="2" t="n">
        <v>21</v>
      </c>
      <c r="E2404" s="2" t="inlineStr">
        <is>
          <t>CHO</t>
        </is>
      </c>
      <c r="F2404" s="2" t="n">
        <v>2.3764</v>
      </c>
      <c r="G2404" s="2" t="n">
        <v>0.005084</v>
      </c>
    </row>
    <row r="2405">
      <c r="A2405" s="1" t="inlineStr">
        <is>
          <t>E12</t>
        </is>
      </c>
      <c r="B2405" s="1" t="n">
        <v>60</v>
      </c>
      <c r="C2405" s="2">
        <f>_xlfn.XLOOKUP(B2405,Results!$B$23:$B$119,Results!$D$23:$D$119)</f>
        <v/>
      </c>
      <c r="D2405" s="1" t="n">
        <v>22</v>
      </c>
      <c r="E2405" s="1" t="inlineStr">
        <is>
          <t>CHO</t>
        </is>
      </c>
      <c r="F2405" s="1" t="n">
        <v>2.3901</v>
      </c>
      <c r="G2405" s="1" t="n">
        <v>0.013111</v>
      </c>
    </row>
    <row r="2406">
      <c r="A2406" s="2" t="inlineStr">
        <is>
          <t>E12</t>
        </is>
      </c>
      <c r="B2406" s="2" t="n">
        <v>60</v>
      </c>
      <c r="C2406" s="2">
        <f>_xlfn.XLOOKUP(B2406,Results!$B$23:$B$119,Results!$D$23:$D$119)</f>
        <v/>
      </c>
      <c r="D2406" s="2" t="n">
        <v>23</v>
      </c>
      <c r="E2406" s="2" t="inlineStr">
        <is>
          <t>CHO</t>
        </is>
      </c>
      <c r="F2406" s="2" t="n">
        <v>2.403</v>
      </c>
      <c r="G2406" s="2" t="n">
        <v>0.02032</v>
      </c>
    </row>
    <row r="2407">
      <c r="A2407" s="1" t="inlineStr">
        <is>
          <t>E12</t>
        </is>
      </c>
      <c r="B2407" s="1" t="n">
        <v>60</v>
      </c>
      <c r="C2407" s="2">
        <f>_xlfn.XLOOKUP(B2407,Results!$B$23:$B$119,Results!$D$23:$D$119)</f>
        <v/>
      </c>
      <c r="D2407" s="1" t="n">
        <v>24</v>
      </c>
      <c r="E2407" s="1" t="inlineStr">
        <is>
          <t>CHO</t>
        </is>
      </c>
      <c r="F2407" s="1" t="n">
        <v>2.4281</v>
      </c>
      <c r="G2407" s="1" t="n">
        <v>0.039791</v>
      </c>
    </row>
    <row r="2408">
      <c r="A2408" s="2" t="inlineStr">
        <is>
          <t>E12</t>
        </is>
      </c>
      <c r="B2408" s="2" t="n">
        <v>60</v>
      </c>
      <c r="C2408" s="2">
        <f>_xlfn.XLOOKUP(B2408,Results!$B$23:$B$119,Results!$D$23:$D$119)</f>
        <v/>
      </c>
      <c r="D2408" s="2" t="n">
        <v>25</v>
      </c>
      <c r="E2408" s="2" t="inlineStr">
        <is>
          <t>CHO</t>
        </is>
      </c>
      <c r="F2408" s="2" t="n">
        <v>2.4858</v>
      </c>
      <c r="G2408" s="2" t="n">
        <v>0.09174</v>
      </c>
    </row>
    <row r="2409">
      <c r="A2409" s="1" t="inlineStr">
        <is>
          <t>E12</t>
        </is>
      </c>
      <c r="B2409" s="1" t="n">
        <v>60</v>
      </c>
      <c r="C2409" s="2">
        <f>_xlfn.XLOOKUP(B2409,Results!$B$23:$B$119,Results!$D$23:$D$119)</f>
        <v/>
      </c>
      <c r="D2409" s="1" t="n">
        <v>26</v>
      </c>
      <c r="E2409" s="1" t="inlineStr">
        <is>
          <t>CHO</t>
        </is>
      </c>
      <c r="F2409" s="1" t="n">
        <v>2.5759</v>
      </c>
      <c r="G2409" s="1" t="n">
        <v>0.176185</v>
      </c>
    </row>
    <row r="2410">
      <c r="A2410" s="2" t="inlineStr">
        <is>
          <t>E12</t>
        </is>
      </c>
      <c r="B2410" s="2" t="n">
        <v>60</v>
      </c>
      <c r="C2410" s="2">
        <f>_xlfn.XLOOKUP(B2410,Results!$B$23:$B$119,Results!$D$23:$D$119)</f>
        <v/>
      </c>
      <c r="D2410" s="2" t="n">
        <v>27</v>
      </c>
      <c r="E2410" s="2" t="inlineStr">
        <is>
          <t>CHO</t>
        </is>
      </c>
      <c r="F2410" s="2" t="n">
        <v>2.723</v>
      </c>
      <c r="G2410" s="2" t="n">
        <v>0.317649</v>
      </c>
    </row>
    <row r="2411">
      <c r="A2411" s="1" t="inlineStr">
        <is>
          <t>E12</t>
        </is>
      </c>
      <c r="B2411" s="1" t="n">
        <v>60</v>
      </c>
      <c r="C2411" s="2">
        <f>_xlfn.XLOOKUP(B2411,Results!$B$23:$B$119,Results!$D$23:$D$119)</f>
        <v/>
      </c>
      <c r="D2411" s="1" t="n">
        <v>28</v>
      </c>
      <c r="E2411" s="1" t="inlineStr">
        <is>
          <t>CHO</t>
        </is>
      </c>
      <c r="F2411" s="1" t="n">
        <v>2.971</v>
      </c>
      <c r="G2411" s="1" t="n">
        <v>0.5600349999999999</v>
      </c>
    </row>
    <row r="2412">
      <c r="A2412" s="2" t="inlineStr">
        <is>
          <t>E12</t>
        </is>
      </c>
      <c r="B2412" s="2" t="n">
        <v>60</v>
      </c>
      <c r="C2412" s="2">
        <f>_xlfn.XLOOKUP(B2412,Results!$B$23:$B$119,Results!$D$23:$D$119)</f>
        <v/>
      </c>
      <c r="D2412" s="2" t="n">
        <v>29</v>
      </c>
      <c r="E2412" s="2" t="inlineStr">
        <is>
          <t>CHO</t>
        </is>
      </c>
      <c r="F2412" s="2" t="n">
        <v>3.2929</v>
      </c>
      <c r="G2412" s="2" t="n">
        <v>0.876241</v>
      </c>
    </row>
    <row r="2413">
      <c r="A2413" s="1" t="inlineStr">
        <is>
          <t>E12</t>
        </is>
      </c>
      <c r="B2413" s="1" t="n">
        <v>60</v>
      </c>
      <c r="C2413" s="2">
        <f>_xlfn.XLOOKUP(B2413,Results!$B$23:$B$119,Results!$D$23:$D$119)</f>
        <v/>
      </c>
      <c r="D2413" s="1" t="n">
        <v>30</v>
      </c>
      <c r="E2413" s="1" t="inlineStr">
        <is>
          <t>CHO</t>
        </is>
      </c>
      <c r="F2413" s="1" t="n">
        <v>3.7098</v>
      </c>
      <c r="G2413" s="1" t="n">
        <v>1.287498</v>
      </c>
    </row>
    <row r="2414">
      <c r="A2414" s="2" t="inlineStr">
        <is>
          <t>E12</t>
        </is>
      </c>
      <c r="B2414" s="2" t="n">
        <v>60</v>
      </c>
      <c r="C2414" s="2">
        <f>_xlfn.XLOOKUP(B2414,Results!$B$23:$B$119,Results!$D$23:$D$119)</f>
        <v/>
      </c>
      <c r="D2414" s="2" t="n">
        <v>31</v>
      </c>
      <c r="E2414" s="2" t="inlineStr">
        <is>
          <t>CHO</t>
        </is>
      </c>
      <c r="F2414" s="2" t="n">
        <v>4.1618</v>
      </c>
      <c r="G2414" s="2" t="n">
        <v>1.733788</v>
      </c>
    </row>
    <row r="2415">
      <c r="A2415" s="1" t="inlineStr">
        <is>
          <t>E12</t>
        </is>
      </c>
      <c r="B2415" s="1" t="n">
        <v>60</v>
      </c>
      <c r="C2415" s="2">
        <f>_xlfn.XLOOKUP(B2415,Results!$B$23:$B$119,Results!$D$23:$D$119)</f>
        <v/>
      </c>
      <c r="D2415" s="1" t="n">
        <v>32</v>
      </c>
      <c r="E2415" s="1" t="inlineStr">
        <is>
          <t>CHO</t>
        </is>
      </c>
      <c r="F2415" s="1" t="n">
        <v>4.5769</v>
      </c>
      <c r="G2415" s="1" t="n">
        <v>2.143198</v>
      </c>
    </row>
    <row r="2416">
      <c r="A2416" s="2" t="inlineStr">
        <is>
          <t>E12</t>
        </is>
      </c>
      <c r="B2416" s="2" t="n">
        <v>60</v>
      </c>
      <c r="C2416" s="2">
        <f>_xlfn.XLOOKUP(B2416,Results!$B$23:$B$119,Results!$D$23:$D$119)</f>
        <v/>
      </c>
      <c r="D2416" s="2" t="n">
        <v>33</v>
      </c>
      <c r="E2416" s="2" t="inlineStr">
        <is>
          <t>CHO</t>
        </is>
      </c>
      <c r="F2416" s="2" t="n">
        <v>4.9705</v>
      </c>
      <c r="G2416" s="2" t="n">
        <v>2.531159</v>
      </c>
    </row>
    <row r="2417">
      <c r="A2417" s="1" t="inlineStr">
        <is>
          <t>E12</t>
        </is>
      </c>
      <c r="B2417" s="1" t="n">
        <v>60</v>
      </c>
      <c r="C2417" s="2">
        <f>_xlfn.XLOOKUP(B2417,Results!$B$23:$B$119,Results!$D$23:$D$119)</f>
        <v/>
      </c>
      <c r="D2417" s="1" t="n">
        <v>34</v>
      </c>
      <c r="E2417" s="1" t="inlineStr">
        <is>
          <t>CHO</t>
        </is>
      </c>
      <c r="F2417" s="1" t="n">
        <v>5.3423</v>
      </c>
      <c r="G2417" s="1" t="n">
        <v>2.897327</v>
      </c>
    </row>
    <row r="2418">
      <c r="A2418" s="2" t="inlineStr">
        <is>
          <t>E12</t>
        </is>
      </c>
      <c r="B2418" s="2" t="n">
        <v>60</v>
      </c>
      <c r="C2418" s="2">
        <f>_xlfn.XLOOKUP(B2418,Results!$B$23:$B$119,Results!$D$23:$D$119)</f>
        <v/>
      </c>
      <c r="D2418" s="2" t="n">
        <v>35</v>
      </c>
      <c r="E2418" s="2" t="inlineStr">
        <is>
          <t>CHO</t>
        </is>
      </c>
      <c r="F2418" s="2" t="n">
        <v>5.6389</v>
      </c>
      <c r="G2418" s="2" t="n">
        <v>3.188185</v>
      </c>
    </row>
    <row r="2419">
      <c r="A2419" s="1" t="inlineStr">
        <is>
          <t>E12</t>
        </is>
      </c>
      <c r="B2419" s="1" t="n">
        <v>60</v>
      </c>
      <c r="C2419" s="2">
        <f>_xlfn.XLOOKUP(B2419,Results!$B$23:$B$119,Results!$D$23:$D$119)</f>
        <v/>
      </c>
      <c r="D2419" s="1" t="n">
        <v>36</v>
      </c>
      <c r="E2419" s="1" t="inlineStr">
        <is>
          <t>CHO</t>
        </is>
      </c>
      <c r="F2419" s="1" t="n">
        <v>5.9307</v>
      </c>
      <c r="G2419" s="1" t="n">
        <v>3.474345</v>
      </c>
    </row>
    <row r="2420">
      <c r="A2420" s="2" t="inlineStr">
        <is>
          <t>E12</t>
        </is>
      </c>
      <c r="B2420" s="2" t="n">
        <v>60</v>
      </c>
      <c r="C2420" s="2">
        <f>_xlfn.XLOOKUP(B2420,Results!$B$23:$B$119,Results!$D$23:$D$119)</f>
        <v/>
      </c>
      <c r="D2420" s="2" t="n">
        <v>37</v>
      </c>
      <c r="E2420" s="2" t="inlineStr">
        <is>
          <t>CHO</t>
        </is>
      </c>
      <c r="F2420" s="2" t="n">
        <v>6.1638</v>
      </c>
      <c r="G2420" s="2" t="n">
        <v>3.701804</v>
      </c>
    </row>
    <row r="2421">
      <c r="A2421" s="1" t="inlineStr">
        <is>
          <t>E12</t>
        </is>
      </c>
      <c r="B2421" s="1" t="n">
        <v>60</v>
      </c>
      <c r="C2421" s="2">
        <f>_xlfn.XLOOKUP(B2421,Results!$B$23:$B$119,Results!$D$23:$D$119)</f>
        <v/>
      </c>
      <c r="D2421" s="1" t="n">
        <v>38</v>
      </c>
      <c r="E2421" s="1" t="inlineStr">
        <is>
          <t>CHO</t>
        </is>
      </c>
      <c r="F2421" s="1" t="n">
        <v>6.3731</v>
      </c>
      <c r="G2421" s="1" t="n">
        <v>3.905431</v>
      </c>
    </row>
    <row r="2422">
      <c r="A2422" s="2" t="inlineStr">
        <is>
          <t>E12</t>
        </is>
      </c>
      <c r="B2422" s="2" t="n">
        <v>60</v>
      </c>
      <c r="C2422" s="2">
        <f>_xlfn.XLOOKUP(B2422,Results!$B$23:$B$119,Results!$D$23:$D$119)</f>
        <v/>
      </c>
      <c r="D2422" s="2" t="n">
        <v>39</v>
      </c>
      <c r="E2422" s="2" t="inlineStr">
        <is>
          <t>CHO</t>
        </is>
      </c>
      <c r="F2422" s="2" t="n">
        <v>6.5378</v>
      </c>
      <c r="G2422" s="2" t="n">
        <v>4.064511</v>
      </c>
    </row>
    <row r="2423">
      <c r="A2423" s="1" t="inlineStr">
        <is>
          <t>E12</t>
        </is>
      </c>
      <c r="B2423" s="1" t="n">
        <v>60</v>
      </c>
      <c r="C2423" s="2">
        <f>_xlfn.XLOOKUP(B2423,Results!$B$23:$B$119,Results!$D$23:$D$119)</f>
        <v/>
      </c>
      <c r="D2423" s="1" t="n">
        <v>40</v>
      </c>
      <c r="E2423" s="1" t="inlineStr">
        <is>
          <t>CHO</t>
        </is>
      </c>
      <c r="F2423" s="1" t="n">
        <v>6.6648</v>
      </c>
      <c r="G2423" s="1" t="n">
        <v>4.185788</v>
      </c>
    </row>
    <row r="2424">
      <c r="A2424" s="2" t="inlineStr">
        <is>
          <t>F1</t>
        </is>
      </c>
      <c r="B2424" s="2" t="n">
        <v>61</v>
      </c>
      <c r="C2424" s="2">
        <f>_xlfn.XLOOKUP(B2424,Results!$B$23:$B$119,Results!$D$23:$D$119)</f>
        <v/>
      </c>
      <c r="D2424" s="2" t="n">
        <v>1</v>
      </c>
      <c r="E2424" s="2" t="inlineStr">
        <is>
          <t>CHO</t>
        </is>
      </c>
      <c r="F2424" s="2" t="n">
        <v>2.268</v>
      </c>
      <c r="G2424" s="2" t="n">
        <v>0.008965000000000001</v>
      </c>
    </row>
    <row r="2425">
      <c r="A2425" s="1" t="inlineStr">
        <is>
          <t>F1</t>
        </is>
      </c>
      <c r="B2425" s="1" t="n">
        <v>61</v>
      </c>
      <c r="C2425" s="2">
        <f>_xlfn.XLOOKUP(B2425,Results!$B$23:$B$119,Results!$D$23:$D$119)</f>
        <v/>
      </c>
      <c r="D2425" s="1" t="n">
        <v>2</v>
      </c>
      <c r="E2425" s="1" t="inlineStr">
        <is>
          <t>CHO</t>
        </is>
      </c>
      <c r="F2425" s="1" t="n">
        <v>2.2691</v>
      </c>
      <c r="G2425" s="1" t="n">
        <v>0.005661</v>
      </c>
    </row>
    <row r="2426">
      <c r="A2426" s="2" t="inlineStr">
        <is>
          <t>F1</t>
        </is>
      </c>
      <c r="B2426" s="2" t="n">
        <v>61</v>
      </c>
      <c r="C2426" s="2">
        <f>_xlfn.XLOOKUP(B2426,Results!$B$23:$B$119,Results!$D$23:$D$119)</f>
        <v/>
      </c>
      <c r="D2426" s="2" t="n">
        <v>3</v>
      </c>
      <c r="E2426" s="2" t="inlineStr">
        <is>
          <t>CHO</t>
        </is>
      </c>
      <c r="F2426" s="2" t="n">
        <v>2.271</v>
      </c>
      <c r="G2426" s="2" t="n">
        <v>0.00316</v>
      </c>
    </row>
    <row r="2427">
      <c r="A2427" s="1" t="inlineStr">
        <is>
          <t>F1</t>
        </is>
      </c>
      <c r="B2427" s="1" t="n">
        <v>61</v>
      </c>
      <c r="C2427" s="2">
        <f>_xlfn.XLOOKUP(B2427,Results!$B$23:$B$119,Results!$D$23:$D$119)</f>
        <v/>
      </c>
      <c r="D2427" s="1" t="n">
        <v>4</v>
      </c>
      <c r="E2427" s="1" t="inlineStr">
        <is>
          <t>CHO</t>
        </is>
      </c>
      <c r="F2427" s="1" t="n">
        <v>2.2744</v>
      </c>
      <c r="G2427" s="1" t="n">
        <v>0.002167</v>
      </c>
    </row>
    <row r="2428">
      <c r="A2428" s="2" t="inlineStr">
        <is>
          <t>F1</t>
        </is>
      </c>
      <c r="B2428" s="2" t="n">
        <v>61</v>
      </c>
      <c r="C2428" s="2">
        <f>_xlfn.XLOOKUP(B2428,Results!$B$23:$B$119,Results!$D$23:$D$119)</f>
        <v/>
      </c>
      <c r="D2428" s="2" t="n">
        <v>5</v>
      </c>
      <c r="E2428" s="2" t="inlineStr">
        <is>
          <t>CHO</t>
        </is>
      </c>
      <c r="F2428" s="2" t="n">
        <v>2.2763</v>
      </c>
      <c r="G2428" s="2" t="n">
        <v>-0.000266</v>
      </c>
    </row>
    <row r="2429">
      <c r="A2429" s="1" t="inlineStr">
        <is>
          <t>F1</t>
        </is>
      </c>
      <c r="B2429" s="1" t="n">
        <v>61</v>
      </c>
      <c r="C2429" s="2">
        <f>_xlfn.XLOOKUP(B2429,Results!$B$23:$B$119,Results!$D$23:$D$119)</f>
        <v/>
      </c>
      <c r="D2429" s="1" t="n">
        <v>6</v>
      </c>
      <c r="E2429" s="1" t="inlineStr">
        <is>
          <t>CHO</t>
        </is>
      </c>
      <c r="F2429" s="1" t="n">
        <v>2.2782</v>
      </c>
      <c r="G2429" s="1" t="n">
        <v>-0.002854</v>
      </c>
    </row>
    <row r="2430">
      <c r="A2430" s="2" t="inlineStr">
        <is>
          <t>F1</t>
        </is>
      </c>
      <c r="B2430" s="2" t="n">
        <v>61</v>
      </c>
      <c r="C2430" s="2">
        <f>_xlfn.XLOOKUP(B2430,Results!$B$23:$B$119,Results!$D$23:$D$119)</f>
        <v/>
      </c>
      <c r="D2430" s="2" t="n">
        <v>7</v>
      </c>
      <c r="E2430" s="2" t="inlineStr">
        <is>
          <t>CHO</t>
        </is>
      </c>
      <c r="F2430" s="2" t="n">
        <v>2.2823</v>
      </c>
      <c r="G2430" s="2" t="n">
        <v>-0.003062</v>
      </c>
    </row>
    <row r="2431">
      <c r="A2431" s="1" t="inlineStr">
        <is>
          <t>F1</t>
        </is>
      </c>
      <c r="B2431" s="1" t="n">
        <v>61</v>
      </c>
      <c r="C2431" s="2">
        <f>_xlfn.XLOOKUP(B2431,Results!$B$23:$B$119,Results!$D$23:$D$119)</f>
        <v/>
      </c>
      <c r="D2431" s="1" t="n">
        <v>8</v>
      </c>
      <c r="E2431" s="1" t="inlineStr">
        <is>
          <t>CHO</t>
        </is>
      </c>
      <c r="F2431" s="1" t="n">
        <v>2.2893</v>
      </c>
      <c r="G2431" s="1" t="n">
        <v>-0.000462</v>
      </c>
    </row>
    <row r="2432">
      <c r="A2432" s="2" t="inlineStr">
        <is>
          <t>F1</t>
        </is>
      </c>
      <c r="B2432" s="2" t="n">
        <v>61</v>
      </c>
      <c r="C2432" s="2">
        <f>_xlfn.XLOOKUP(B2432,Results!$B$23:$B$119,Results!$D$23:$D$119)</f>
        <v/>
      </c>
      <c r="D2432" s="2" t="n">
        <v>9</v>
      </c>
      <c r="E2432" s="2" t="inlineStr">
        <is>
          <t>CHO</t>
        </is>
      </c>
      <c r="F2432" s="2" t="n">
        <v>2.2922</v>
      </c>
      <c r="G2432" s="2" t="n">
        <v>-0.001998</v>
      </c>
    </row>
    <row r="2433">
      <c r="A2433" s="1" t="inlineStr">
        <is>
          <t>F1</t>
        </is>
      </c>
      <c r="B2433" s="1" t="n">
        <v>61</v>
      </c>
      <c r="C2433" s="2">
        <f>_xlfn.XLOOKUP(B2433,Results!$B$23:$B$119,Results!$D$23:$D$119)</f>
        <v/>
      </c>
      <c r="D2433" s="1" t="n">
        <v>10</v>
      </c>
      <c r="E2433" s="1" t="inlineStr">
        <is>
          <t>CHO</t>
        </is>
      </c>
      <c r="F2433" s="1" t="n">
        <v>2.2966</v>
      </c>
      <c r="G2433" s="1" t="n">
        <v>-0.002</v>
      </c>
    </row>
    <row r="2434">
      <c r="A2434" s="2" t="inlineStr">
        <is>
          <t>F1</t>
        </is>
      </c>
      <c r="B2434" s="2" t="n">
        <v>61</v>
      </c>
      <c r="C2434" s="2">
        <f>_xlfn.XLOOKUP(B2434,Results!$B$23:$B$119,Results!$D$23:$D$119)</f>
        <v/>
      </c>
      <c r="D2434" s="2" t="n">
        <v>11</v>
      </c>
      <c r="E2434" s="2" t="inlineStr">
        <is>
          <t>CHO</t>
        </is>
      </c>
      <c r="F2434" s="2" t="n">
        <v>2.3034</v>
      </c>
      <c r="G2434" s="2" t="n">
        <v>0.000371</v>
      </c>
    </row>
    <row r="2435">
      <c r="A2435" s="1" t="inlineStr">
        <is>
          <t>F1</t>
        </is>
      </c>
      <c r="B2435" s="1" t="n">
        <v>61</v>
      </c>
      <c r="C2435" s="2">
        <f>_xlfn.XLOOKUP(B2435,Results!$B$23:$B$119,Results!$D$23:$D$119)</f>
        <v/>
      </c>
      <c r="D2435" s="1" t="n">
        <v>12</v>
      </c>
      <c r="E2435" s="1" t="inlineStr">
        <is>
          <t>CHO</t>
        </is>
      </c>
      <c r="F2435" s="1" t="n">
        <v>2.3123</v>
      </c>
      <c r="G2435" s="1" t="n">
        <v>0.004945</v>
      </c>
    </row>
    <row r="2436">
      <c r="A2436" s="2" t="inlineStr">
        <is>
          <t>F1</t>
        </is>
      </c>
      <c r="B2436" s="2" t="n">
        <v>61</v>
      </c>
      <c r="C2436" s="2">
        <f>_xlfn.XLOOKUP(B2436,Results!$B$23:$B$119,Results!$D$23:$D$119)</f>
        <v/>
      </c>
      <c r="D2436" s="2" t="n">
        <v>13</v>
      </c>
      <c r="E2436" s="2" t="inlineStr">
        <is>
          <t>CHO</t>
        </is>
      </c>
      <c r="F2436" s="2" t="n">
        <v>2.3214</v>
      </c>
      <c r="G2436" s="2" t="n">
        <v>0.009631000000000001</v>
      </c>
    </row>
    <row r="2437">
      <c r="A2437" s="1" t="inlineStr">
        <is>
          <t>F1</t>
        </is>
      </c>
      <c r="B2437" s="1" t="n">
        <v>61</v>
      </c>
      <c r="C2437" s="2">
        <f>_xlfn.XLOOKUP(B2437,Results!$B$23:$B$119,Results!$D$23:$D$119)</f>
        <v/>
      </c>
      <c r="D2437" s="1" t="n">
        <v>14</v>
      </c>
      <c r="E2437" s="1" t="inlineStr">
        <is>
          <t>CHO</t>
        </is>
      </c>
      <c r="F2437" s="1" t="n">
        <v>2.3379</v>
      </c>
      <c r="G2437" s="1" t="n">
        <v>0.021688</v>
      </c>
    </row>
    <row r="2438">
      <c r="A2438" s="2" t="inlineStr">
        <is>
          <t>F1</t>
        </is>
      </c>
      <c r="B2438" s="2" t="n">
        <v>61</v>
      </c>
      <c r="C2438" s="2">
        <f>_xlfn.XLOOKUP(B2438,Results!$B$23:$B$119,Results!$D$23:$D$119)</f>
        <v/>
      </c>
      <c r="D2438" s="2" t="n">
        <v>15</v>
      </c>
      <c r="E2438" s="2" t="inlineStr">
        <is>
          <t>CHO</t>
        </is>
      </c>
      <c r="F2438" s="2" t="n">
        <v>2.3588</v>
      </c>
      <c r="G2438" s="2" t="n">
        <v>0.038187</v>
      </c>
    </row>
    <row r="2439">
      <c r="A2439" s="1" t="inlineStr">
        <is>
          <t>F1</t>
        </is>
      </c>
      <c r="B2439" s="1" t="n">
        <v>61</v>
      </c>
      <c r="C2439" s="2">
        <f>_xlfn.XLOOKUP(B2439,Results!$B$23:$B$119,Results!$D$23:$D$119)</f>
        <v/>
      </c>
      <c r="D2439" s="1" t="n">
        <v>16</v>
      </c>
      <c r="E2439" s="1" t="inlineStr">
        <is>
          <t>CHO</t>
        </is>
      </c>
      <c r="F2439" s="1" t="n">
        <v>2.3934</v>
      </c>
      <c r="G2439" s="1" t="n">
        <v>0.06838900000000001</v>
      </c>
    </row>
    <row r="2440">
      <c r="A2440" s="2" t="inlineStr">
        <is>
          <t>F1</t>
        </is>
      </c>
      <c r="B2440" s="2" t="n">
        <v>61</v>
      </c>
      <c r="C2440" s="2">
        <f>_xlfn.XLOOKUP(B2440,Results!$B$23:$B$119,Results!$D$23:$D$119)</f>
        <v/>
      </c>
      <c r="D2440" s="2" t="n">
        <v>17</v>
      </c>
      <c r="E2440" s="2" t="inlineStr">
        <is>
          <t>CHO</t>
        </is>
      </c>
      <c r="F2440" s="2" t="n">
        <v>2.4455</v>
      </c>
      <c r="G2440" s="2" t="n">
        <v>0.116074</v>
      </c>
    </row>
    <row r="2441">
      <c r="A2441" s="1" t="inlineStr">
        <is>
          <t>F1</t>
        </is>
      </c>
      <c r="B2441" s="1" t="n">
        <v>61</v>
      </c>
      <c r="C2441" s="2">
        <f>_xlfn.XLOOKUP(B2441,Results!$B$23:$B$119,Results!$D$23:$D$119)</f>
        <v/>
      </c>
      <c r="D2441" s="1" t="n">
        <v>18</v>
      </c>
      <c r="E2441" s="1" t="inlineStr">
        <is>
          <t>CHO</t>
        </is>
      </c>
      <c r="F2441" s="1" t="n">
        <v>2.5506</v>
      </c>
      <c r="G2441" s="1" t="n">
        <v>0.2168</v>
      </c>
    </row>
    <row r="2442">
      <c r="A2442" s="2" t="inlineStr">
        <is>
          <t>F1</t>
        </is>
      </c>
      <c r="B2442" s="2" t="n">
        <v>61</v>
      </c>
      <c r="C2442" s="2">
        <f>_xlfn.XLOOKUP(B2442,Results!$B$23:$B$119,Results!$D$23:$D$119)</f>
        <v/>
      </c>
      <c r="D2442" s="2" t="n">
        <v>19</v>
      </c>
      <c r="E2442" s="2" t="inlineStr">
        <is>
          <t>CHO</t>
        </is>
      </c>
      <c r="F2442" s="2" t="n">
        <v>2.7285</v>
      </c>
      <c r="G2442" s="2" t="n">
        <v>0.390322</v>
      </c>
    </row>
    <row r="2443">
      <c r="A2443" s="1" t="inlineStr">
        <is>
          <t>F1</t>
        </is>
      </c>
      <c r="B2443" s="1" t="n">
        <v>61</v>
      </c>
      <c r="C2443" s="2">
        <f>_xlfn.XLOOKUP(B2443,Results!$B$23:$B$119,Results!$D$23:$D$119)</f>
        <v/>
      </c>
      <c r="D2443" s="1" t="n">
        <v>20</v>
      </c>
      <c r="E2443" s="1" t="inlineStr">
        <is>
          <t>CHO</t>
        </is>
      </c>
      <c r="F2443" s="1" t="n">
        <v>3.0046</v>
      </c>
      <c r="G2443" s="1" t="n">
        <v>0.662045</v>
      </c>
    </row>
    <row r="2444">
      <c r="A2444" s="2" t="inlineStr">
        <is>
          <t>F1</t>
        </is>
      </c>
      <c r="B2444" s="2" t="n">
        <v>61</v>
      </c>
      <c r="C2444" s="2">
        <f>_xlfn.XLOOKUP(B2444,Results!$B$23:$B$119,Results!$D$23:$D$119)</f>
        <v/>
      </c>
      <c r="D2444" s="2" t="n">
        <v>21</v>
      </c>
      <c r="E2444" s="2" t="inlineStr">
        <is>
          <t>CHO</t>
        </is>
      </c>
      <c r="F2444" s="2" t="n">
        <v>3.3789</v>
      </c>
      <c r="G2444" s="2" t="n">
        <v>1.031926</v>
      </c>
    </row>
    <row r="2445">
      <c r="A2445" s="1" t="inlineStr">
        <is>
          <t>F1</t>
        </is>
      </c>
      <c r="B2445" s="1" t="n">
        <v>61</v>
      </c>
      <c r="C2445" s="2">
        <f>_xlfn.XLOOKUP(B2445,Results!$B$23:$B$119,Results!$D$23:$D$119)</f>
        <v/>
      </c>
      <c r="D2445" s="1" t="n">
        <v>22</v>
      </c>
      <c r="E2445" s="1" t="inlineStr">
        <is>
          <t>CHO</t>
        </is>
      </c>
      <c r="F2445" s="1" t="n">
        <v>3.8089</v>
      </c>
      <c r="G2445" s="1" t="n">
        <v>1.457524</v>
      </c>
    </row>
    <row r="2446">
      <c r="A2446" s="2" t="inlineStr">
        <is>
          <t>F1</t>
        </is>
      </c>
      <c r="B2446" s="2" t="n">
        <v>61</v>
      </c>
      <c r="C2446" s="2">
        <f>_xlfn.XLOOKUP(B2446,Results!$B$23:$B$119,Results!$D$23:$D$119)</f>
        <v/>
      </c>
      <c r="D2446" s="2" t="n">
        <v>23</v>
      </c>
      <c r="E2446" s="2" t="inlineStr">
        <is>
          <t>CHO</t>
        </is>
      </c>
      <c r="F2446" s="2" t="n">
        <v>4.2447</v>
      </c>
      <c r="G2446" s="2" t="n">
        <v>1.88894</v>
      </c>
    </row>
    <row r="2447">
      <c r="A2447" s="1" t="inlineStr">
        <is>
          <t>F1</t>
        </is>
      </c>
      <c r="B2447" s="1" t="n">
        <v>61</v>
      </c>
      <c r="C2447" s="2">
        <f>_xlfn.XLOOKUP(B2447,Results!$B$23:$B$119,Results!$D$23:$D$119)</f>
        <v/>
      </c>
      <c r="D2447" s="1" t="n">
        <v>24</v>
      </c>
      <c r="E2447" s="1" t="inlineStr">
        <is>
          <t>CHO</t>
        </is>
      </c>
      <c r="F2447" s="1" t="n">
        <v>4.6597</v>
      </c>
      <c r="G2447" s="1" t="n">
        <v>2.299561</v>
      </c>
    </row>
    <row r="2448">
      <c r="A2448" s="2" t="inlineStr">
        <is>
          <t>F1</t>
        </is>
      </c>
      <c r="B2448" s="2" t="n">
        <v>61</v>
      </c>
      <c r="C2448" s="2">
        <f>_xlfn.XLOOKUP(B2448,Results!$B$23:$B$119,Results!$D$23:$D$119)</f>
        <v/>
      </c>
      <c r="D2448" s="2" t="n">
        <v>25</v>
      </c>
      <c r="E2448" s="2" t="inlineStr">
        <is>
          <t>CHO</t>
        </is>
      </c>
      <c r="F2448" s="2" t="n">
        <v>5.044</v>
      </c>
      <c r="G2448" s="2" t="n">
        <v>2.679454</v>
      </c>
    </row>
    <row r="2449">
      <c r="A2449" s="1" t="inlineStr">
        <is>
          <t>F1</t>
        </is>
      </c>
      <c r="B2449" s="1" t="n">
        <v>61</v>
      </c>
      <c r="C2449" s="2">
        <f>_xlfn.XLOOKUP(B2449,Results!$B$23:$B$119,Results!$D$23:$D$119)</f>
        <v/>
      </c>
      <c r="D2449" s="1" t="n">
        <v>26</v>
      </c>
      <c r="E2449" s="1" t="inlineStr">
        <is>
          <t>CHO</t>
        </is>
      </c>
      <c r="F2449" s="1" t="n">
        <v>5.3876</v>
      </c>
      <c r="G2449" s="1" t="n">
        <v>3.01868</v>
      </c>
    </row>
    <row r="2450">
      <c r="A2450" s="2" t="inlineStr">
        <is>
          <t>F1</t>
        </is>
      </c>
      <c r="B2450" s="2" t="n">
        <v>61</v>
      </c>
      <c r="C2450" s="2">
        <f>_xlfn.XLOOKUP(B2450,Results!$B$23:$B$119,Results!$D$23:$D$119)</f>
        <v/>
      </c>
      <c r="D2450" s="2" t="n">
        <v>27</v>
      </c>
      <c r="E2450" s="2" t="inlineStr">
        <is>
          <t>CHO</t>
        </is>
      </c>
      <c r="F2450" s="2" t="n">
        <v>5.6859</v>
      </c>
      <c r="G2450" s="2" t="n">
        <v>3.312521</v>
      </c>
    </row>
    <row r="2451">
      <c r="A2451" s="1" t="inlineStr">
        <is>
          <t>F1</t>
        </is>
      </c>
      <c r="B2451" s="1" t="n">
        <v>61</v>
      </c>
      <c r="C2451" s="2">
        <f>_xlfn.XLOOKUP(B2451,Results!$B$23:$B$119,Results!$D$23:$D$119)</f>
        <v/>
      </c>
      <c r="D2451" s="1" t="n">
        <v>28</v>
      </c>
      <c r="E2451" s="1" t="inlineStr">
        <is>
          <t>CHO</t>
        </is>
      </c>
      <c r="F2451" s="1" t="n">
        <v>5.9487</v>
      </c>
      <c r="G2451" s="1" t="n">
        <v>3.570896</v>
      </c>
    </row>
    <row r="2452">
      <c r="A2452" s="2" t="inlineStr">
        <is>
          <t>F1</t>
        </is>
      </c>
      <c r="B2452" s="2" t="n">
        <v>61</v>
      </c>
      <c r="C2452" s="2">
        <f>_xlfn.XLOOKUP(B2452,Results!$B$23:$B$119,Results!$D$23:$D$119)</f>
        <v/>
      </c>
      <c r="D2452" s="2" t="n">
        <v>29</v>
      </c>
      <c r="E2452" s="2" t="inlineStr">
        <is>
          <t>CHO</t>
        </is>
      </c>
      <c r="F2452" s="2" t="n">
        <v>6.1861</v>
      </c>
      <c r="G2452" s="2" t="n">
        <v>3.803981</v>
      </c>
    </row>
    <row r="2453">
      <c r="A2453" s="1" t="inlineStr">
        <is>
          <t>F1</t>
        </is>
      </c>
      <c r="B2453" s="1" t="n">
        <v>61</v>
      </c>
      <c r="C2453" s="2">
        <f>_xlfn.XLOOKUP(B2453,Results!$B$23:$B$119,Results!$D$23:$D$119)</f>
        <v/>
      </c>
      <c r="D2453" s="1" t="n">
        <v>30</v>
      </c>
      <c r="E2453" s="1" t="inlineStr">
        <is>
          <t>CHO</t>
        </is>
      </c>
      <c r="F2453" s="1" t="n">
        <v>6.3955</v>
      </c>
      <c r="G2453" s="1" t="n">
        <v>4.008918</v>
      </c>
    </row>
    <row r="2454">
      <c r="A2454" s="2" t="inlineStr">
        <is>
          <t>F1</t>
        </is>
      </c>
      <c r="B2454" s="2" t="n">
        <v>61</v>
      </c>
      <c r="C2454" s="2">
        <f>_xlfn.XLOOKUP(B2454,Results!$B$23:$B$119,Results!$D$23:$D$119)</f>
        <v/>
      </c>
      <c r="D2454" s="2" t="n">
        <v>31</v>
      </c>
      <c r="E2454" s="2" t="inlineStr">
        <is>
          <t>CHO</t>
        </is>
      </c>
      <c r="F2454" s="2" t="n">
        <v>6.5631</v>
      </c>
      <c r="G2454" s="2" t="n">
        <v>4.172123</v>
      </c>
    </row>
    <row r="2455">
      <c r="A2455" s="1" t="inlineStr">
        <is>
          <t>F1</t>
        </is>
      </c>
      <c r="B2455" s="1" t="n">
        <v>61</v>
      </c>
      <c r="C2455" s="2">
        <f>_xlfn.XLOOKUP(B2455,Results!$B$23:$B$119,Results!$D$23:$D$119)</f>
        <v/>
      </c>
      <c r="D2455" s="1" t="n">
        <v>32</v>
      </c>
      <c r="E2455" s="1" t="inlineStr">
        <is>
          <t>CHO</t>
        </is>
      </c>
      <c r="F2455" s="1" t="n">
        <v>6.7025</v>
      </c>
      <c r="G2455" s="1" t="n">
        <v>4.307136</v>
      </c>
    </row>
    <row r="2456">
      <c r="A2456" s="2" t="inlineStr">
        <is>
          <t>F1</t>
        </is>
      </c>
      <c r="B2456" s="2" t="n">
        <v>61</v>
      </c>
      <c r="C2456" s="2">
        <f>_xlfn.XLOOKUP(B2456,Results!$B$23:$B$119,Results!$D$23:$D$119)</f>
        <v/>
      </c>
      <c r="D2456" s="2" t="n">
        <v>33</v>
      </c>
      <c r="E2456" s="2" t="inlineStr">
        <is>
          <t>CHO</t>
        </is>
      </c>
      <c r="F2456" s="2" t="n">
        <v>6.8452</v>
      </c>
      <c r="G2456" s="2" t="n">
        <v>4.445413</v>
      </c>
    </row>
    <row r="2457">
      <c r="A2457" s="1" t="inlineStr">
        <is>
          <t>F1</t>
        </is>
      </c>
      <c r="B2457" s="1" t="n">
        <v>61</v>
      </c>
      <c r="C2457" s="2">
        <f>_xlfn.XLOOKUP(B2457,Results!$B$23:$B$119,Results!$D$23:$D$119)</f>
        <v/>
      </c>
      <c r="D2457" s="1" t="n">
        <v>34</v>
      </c>
      <c r="E2457" s="1" t="inlineStr">
        <is>
          <t>CHO</t>
        </is>
      </c>
      <c r="F2457" s="1" t="n">
        <v>6.9544</v>
      </c>
      <c r="G2457" s="1" t="n">
        <v>4.550271</v>
      </c>
    </row>
    <row r="2458">
      <c r="A2458" s="2" t="inlineStr">
        <is>
          <t>F1</t>
        </is>
      </c>
      <c r="B2458" s="2" t="n">
        <v>61</v>
      </c>
      <c r="C2458" s="2">
        <f>_xlfn.XLOOKUP(B2458,Results!$B$23:$B$119,Results!$D$23:$D$119)</f>
        <v/>
      </c>
      <c r="D2458" s="2" t="n">
        <v>35</v>
      </c>
      <c r="E2458" s="2" t="inlineStr">
        <is>
          <t>CHO</t>
        </is>
      </c>
      <c r="F2458" s="2" t="n">
        <v>7.0534</v>
      </c>
      <c r="G2458" s="2" t="n">
        <v>4.644835</v>
      </c>
    </row>
    <row r="2459">
      <c r="A2459" s="1" t="inlineStr">
        <is>
          <t>F1</t>
        </is>
      </c>
      <c r="B2459" s="1" t="n">
        <v>61</v>
      </c>
      <c r="C2459" s="2">
        <f>_xlfn.XLOOKUP(B2459,Results!$B$23:$B$119,Results!$D$23:$D$119)</f>
        <v/>
      </c>
      <c r="D2459" s="1" t="n">
        <v>36</v>
      </c>
      <c r="E2459" s="1" t="inlineStr">
        <is>
          <t>CHO</t>
        </is>
      </c>
      <c r="F2459" s="1" t="n">
        <v>7.1382</v>
      </c>
      <c r="G2459" s="1" t="n">
        <v>4.725226</v>
      </c>
    </row>
    <row r="2460">
      <c r="A2460" s="2" t="inlineStr">
        <is>
          <t>F1</t>
        </is>
      </c>
      <c r="B2460" s="2" t="n">
        <v>61</v>
      </c>
      <c r="C2460" s="2">
        <f>_xlfn.XLOOKUP(B2460,Results!$B$23:$B$119,Results!$D$23:$D$119)</f>
        <v/>
      </c>
      <c r="D2460" s="2" t="n">
        <v>37</v>
      </c>
      <c r="E2460" s="2" t="inlineStr">
        <is>
          <t>CHO</t>
        </is>
      </c>
      <c r="F2460" s="2" t="n">
        <v>7.217</v>
      </c>
      <c r="G2460" s="2" t="n">
        <v>4.799687</v>
      </c>
    </row>
    <row r="2461">
      <c r="A2461" s="1" t="inlineStr">
        <is>
          <t>F1</t>
        </is>
      </c>
      <c r="B2461" s="1" t="n">
        <v>61</v>
      </c>
      <c r="C2461" s="2">
        <f>_xlfn.XLOOKUP(B2461,Results!$B$23:$B$119,Results!$D$23:$D$119)</f>
        <v/>
      </c>
      <c r="D2461" s="1" t="n">
        <v>38</v>
      </c>
      <c r="E2461" s="1" t="inlineStr">
        <is>
          <t>CHO</t>
        </is>
      </c>
      <c r="F2461" s="1" t="n">
        <v>7.2738</v>
      </c>
      <c r="G2461" s="1" t="n">
        <v>4.852071</v>
      </c>
    </row>
    <row r="2462">
      <c r="A2462" s="2" t="inlineStr">
        <is>
          <t>F1</t>
        </is>
      </c>
      <c r="B2462" s="2" t="n">
        <v>61</v>
      </c>
      <c r="C2462" s="2">
        <f>_xlfn.XLOOKUP(B2462,Results!$B$23:$B$119,Results!$D$23:$D$119)</f>
        <v/>
      </c>
      <c r="D2462" s="2" t="n">
        <v>39</v>
      </c>
      <c r="E2462" s="2" t="inlineStr">
        <is>
          <t>CHO</t>
        </is>
      </c>
      <c r="F2462" s="2" t="n">
        <v>7.3431</v>
      </c>
      <c r="G2462" s="2" t="n">
        <v>4.916979</v>
      </c>
    </row>
    <row r="2463">
      <c r="A2463" s="1" t="inlineStr">
        <is>
          <t>F1</t>
        </is>
      </c>
      <c r="B2463" s="1" t="n">
        <v>61</v>
      </c>
      <c r="C2463" s="2">
        <f>_xlfn.XLOOKUP(B2463,Results!$B$23:$B$119,Results!$D$23:$D$119)</f>
        <v/>
      </c>
      <c r="D2463" s="1" t="n">
        <v>40</v>
      </c>
      <c r="E2463" s="1" t="inlineStr">
        <is>
          <t>CHO</t>
        </is>
      </c>
      <c r="F2463" s="1" t="n">
        <v>7.3886</v>
      </c>
      <c r="G2463" s="1" t="n">
        <v>4.95803</v>
      </c>
    </row>
    <row r="2464">
      <c r="A2464" s="2" t="inlineStr">
        <is>
          <t>F2</t>
        </is>
      </c>
      <c r="B2464" s="2" t="n">
        <v>62</v>
      </c>
      <c r="C2464" s="2">
        <f>_xlfn.XLOOKUP(B2464,Results!$B$23:$B$119,Results!$D$23:$D$119)</f>
        <v/>
      </c>
      <c r="D2464" s="2" t="n">
        <v>1</v>
      </c>
      <c r="E2464" s="2" t="inlineStr">
        <is>
          <t>CHO</t>
        </is>
      </c>
      <c r="F2464" s="2" t="n">
        <v>2.2078</v>
      </c>
      <c r="G2464" s="2" t="n">
        <v>0.002984</v>
      </c>
    </row>
    <row r="2465">
      <c r="A2465" s="1" t="inlineStr">
        <is>
          <t>F2</t>
        </is>
      </c>
      <c r="B2465" s="1" t="n">
        <v>62</v>
      </c>
      <c r="C2465" s="2">
        <f>_xlfn.XLOOKUP(B2465,Results!$B$23:$B$119,Results!$D$23:$D$119)</f>
        <v/>
      </c>
      <c r="D2465" s="1" t="n">
        <v>2</v>
      </c>
      <c r="E2465" s="1" t="inlineStr">
        <is>
          <t>CHO</t>
        </is>
      </c>
      <c r="F2465" s="1" t="n">
        <v>2.2187</v>
      </c>
      <c r="G2465" s="1" t="n">
        <v>0.007612</v>
      </c>
    </row>
    <row r="2466">
      <c r="A2466" s="2" t="inlineStr">
        <is>
          <t>F2</t>
        </is>
      </c>
      <c r="B2466" s="2" t="n">
        <v>62</v>
      </c>
      <c r="C2466" s="2">
        <f>_xlfn.XLOOKUP(B2466,Results!$B$23:$B$119,Results!$D$23:$D$119)</f>
        <v/>
      </c>
      <c r="D2466" s="2" t="n">
        <v>3</v>
      </c>
      <c r="E2466" s="2" t="inlineStr">
        <is>
          <t>CHO</t>
        </is>
      </c>
      <c r="F2466" s="2" t="n">
        <v>2.2211</v>
      </c>
      <c r="G2466" s="2" t="n">
        <v>0.003873</v>
      </c>
    </row>
    <row r="2467">
      <c r="A2467" s="1" t="inlineStr">
        <is>
          <t>F2</t>
        </is>
      </c>
      <c r="B2467" s="1" t="n">
        <v>62</v>
      </c>
      <c r="C2467" s="2">
        <f>_xlfn.XLOOKUP(B2467,Results!$B$23:$B$119,Results!$D$23:$D$119)</f>
        <v/>
      </c>
      <c r="D2467" s="1" t="n">
        <v>4</v>
      </c>
      <c r="E2467" s="1" t="inlineStr">
        <is>
          <t>CHO</t>
        </is>
      </c>
      <c r="F2467" s="1" t="n">
        <v>2.2236</v>
      </c>
      <c r="G2467" s="1" t="n">
        <v>0.000154</v>
      </c>
    </row>
    <row r="2468">
      <c r="A2468" s="2" t="inlineStr">
        <is>
          <t>F2</t>
        </is>
      </c>
      <c r="B2468" s="2" t="n">
        <v>62</v>
      </c>
      <c r="C2468" s="2">
        <f>_xlfn.XLOOKUP(B2468,Results!$B$23:$B$119,Results!$D$23:$D$119)</f>
        <v/>
      </c>
      <c r="D2468" s="2" t="n">
        <v>5</v>
      </c>
      <c r="E2468" s="2" t="inlineStr">
        <is>
          <t>CHO</t>
        </is>
      </c>
      <c r="F2468" s="2" t="n">
        <v>2.2293</v>
      </c>
      <c r="G2468" s="2" t="n">
        <v>-0.0004</v>
      </c>
    </row>
    <row r="2469">
      <c r="A2469" s="1" t="inlineStr">
        <is>
          <t>F2</t>
        </is>
      </c>
      <c r="B2469" s="1" t="n">
        <v>62</v>
      </c>
      <c r="C2469" s="2">
        <f>_xlfn.XLOOKUP(B2469,Results!$B$23:$B$119,Results!$D$23:$D$119)</f>
        <v/>
      </c>
      <c r="D2469" s="1" t="n">
        <v>6</v>
      </c>
      <c r="E2469" s="1" t="inlineStr">
        <is>
          <t>CHO</t>
        </is>
      </c>
      <c r="F2469" s="1" t="n">
        <v>2.2357</v>
      </c>
      <c r="G2469" s="1" t="n">
        <v>-0.000262</v>
      </c>
    </row>
    <row r="2470">
      <c r="A2470" s="2" t="inlineStr">
        <is>
          <t>F2</t>
        </is>
      </c>
      <c r="B2470" s="2" t="n">
        <v>62</v>
      </c>
      <c r="C2470" s="2">
        <f>_xlfn.XLOOKUP(B2470,Results!$B$23:$B$119,Results!$D$23:$D$119)</f>
        <v/>
      </c>
      <c r="D2470" s="2" t="n">
        <v>7</v>
      </c>
      <c r="E2470" s="2" t="inlineStr">
        <is>
          <t>CHO</t>
        </is>
      </c>
      <c r="F2470" s="2" t="n">
        <v>2.241</v>
      </c>
      <c r="G2470" s="2" t="n">
        <v>-0.001099</v>
      </c>
    </row>
    <row r="2471">
      <c r="A2471" s="1" t="inlineStr">
        <is>
          <t>F2</t>
        </is>
      </c>
      <c r="B2471" s="1" t="n">
        <v>62</v>
      </c>
      <c r="C2471" s="2">
        <f>_xlfn.XLOOKUP(B2471,Results!$B$23:$B$119,Results!$D$23:$D$119)</f>
        <v/>
      </c>
      <c r="D2471" s="1" t="n">
        <v>8</v>
      </c>
      <c r="E2471" s="1" t="inlineStr">
        <is>
          <t>CHO</t>
        </is>
      </c>
      <c r="F2471" s="1" t="n">
        <v>2.2466</v>
      </c>
      <c r="G2471" s="1" t="n">
        <v>-0.001781</v>
      </c>
    </row>
    <row r="2472">
      <c r="A2472" s="2" t="inlineStr">
        <is>
          <t>F2</t>
        </is>
      </c>
      <c r="B2472" s="2" t="n">
        <v>62</v>
      </c>
      <c r="C2472" s="2">
        <f>_xlfn.XLOOKUP(B2472,Results!$B$23:$B$119,Results!$D$23:$D$119)</f>
        <v/>
      </c>
      <c r="D2472" s="2" t="n">
        <v>9</v>
      </c>
      <c r="E2472" s="2" t="inlineStr">
        <is>
          <t>CHO</t>
        </is>
      </c>
      <c r="F2472" s="2" t="n">
        <v>2.2531</v>
      </c>
      <c r="G2472" s="2" t="n">
        <v>-0.001487</v>
      </c>
    </row>
    <row r="2473">
      <c r="A2473" s="1" t="inlineStr">
        <is>
          <t>F2</t>
        </is>
      </c>
      <c r="B2473" s="1" t="n">
        <v>62</v>
      </c>
      <c r="C2473" s="2">
        <f>_xlfn.XLOOKUP(B2473,Results!$B$23:$B$119,Results!$D$23:$D$119)</f>
        <v/>
      </c>
      <c r="D2473" s="1" t="n">
        <v>10</v>
      </c>
      <c r="E2473" s="1" t="inlineStr">
        <is>
          <t>CHO</t>
        </is>
      </c>
      <c r="F2473" s="1" t="n">
        <v>2.2572</v>
      </c>
      <c r="G2473" s="1" t="n">
        <v>-0.003603</v>
      </c>
    </row>
    <row r="2474">
      <c r="A2474" s="2" t="inlineStr">
        <is>
          <t>F2</t>
        </is>
      </c>
      <c r="B2474" s="2" t="n">
        <v>62</v>
      </c>
      <c r="C2474" s="2">
        <f>_xlfn.XLOOKUP(B2474,Results!$B$23:$B$119,Results!$D$23:$D$119)</f>
        <v/>
      </c>
      <c r="D2474" s="2" t="n">
        <v>11</v>
      </c>
      <c r="E2474" s="2" t="inlineStr">
        <is>
          <t>CHO</t>
        </is>
      </c>
      <c r="F2474" s="2" t="n">
        <v>2.2654</v>
      </c>
      <c r="G2474" s="2" t="n">
        <v>-0.00156</v>
      </c>
    </row>
    <row r="2475">
      <c r="A2475" s="1" t="inlineStr">
        <is>
          <t>F2</t>
        </is>
      </c>
      <c r="B2475" s="1" t="n">
        <v>62</v>
      </c>
      <c r="C2475" s="2">
        <f>_xlfn.XLOOKUP(B2475,Results!$B$23:$B$119,Results!$D$23:$D$119)</f>
        <v/>
      </c>
      <c r="D2475" s="1" t="n">
        <v>12</v>
      </c>
      <c r="E2475" s="1" t="inlineStr">
        <is>
          <t>CHO</t>
        </is>
      </c>
      <c r="F2475" s="1" t="n">
        <v>2.2735</v>
      </c>
      <c r="G2475" s="1" t="n">
        <v>0.000286</v>
      </c>
    </row>
    <row r="2476">
      <c r="A2476" s="2" t="inlineStr">
        <is>
          <t>F2</t>
        </is>
      </c>
      <c r="B2476" s="2" t="n">
        <v>62</v>
      </c>
      <c r="C2476" s="2">
        <f>_xlfn.XLOOKUP(B2476,Results!$B$23:$B$119,Results!$D$23:$D$119)</f>
        <v/>
      </c>
      <c r="D2476" s="2" t="n">
        <v>13</v>
      </c>
      <c r="E2476" s="2" t="inlineStr">
        <is>
          <t>CHO</t>
        </is>
      </c>
      <c r="F2476" s="2" t="n">
        <v>2.2853</v>
      </c>
      <c r="G2476" s="2" t="n">
        <v>0.005878</v>
      </c>
    </row>
    <row r="2477">
      <c r="A2477" s="1" t="inlineStr">
        <is>
          <t>F2</t>
        </is>
      </c>
      <c r="B2477" s="1" t="n">
        <v>62</v>
      </c>
      <c r="C2477" s="2">
        <f>_xlfn.XLOOKUP(B2477,Results!$B$23:$B$119,Results!$D$23:$D$119)</f>
        <v/>
      </c>
      <c r="D2477" s="1" t="n">
        <v>14</v>
      </c>
      <c r="E2477" s="1" t="inlineStr">
        <is>
          <t>CHO</t>
        </is>
      </c>
      <c r="F2477" s="1" t="n">
        <v>2.2927</v>
      </c>
      <c r="G2477" s="1" t="n">
        <v>0.00703</v>
      </c>
    </row>
    <row r="2478">
      <c r="A2478" s="2" t="inlineStr">
        <is>
          <t>F2</t>
        </is>
      </c>
      <c r="B2478" s="2" t="n">
        <v>62</v>
      </c>
      <c r="C2478" s="2">
        <f>_xlfn.XLOOKUP(B2478,Results!$B$23:$B$119,Results!$D$23:$D$119)</f>
        <v/>
      </c>
      <c r="D2478" s="2" t="n">
        <v>15</v>
      </c>
      <c r="E2478" s="2" t="inlineStr">
        <is>
          <t>CHO</t>
        </is>
      </c>
      <c r="F2478" s="2" t="n">
        <v>2.3155</v>
      </c>
      <c r="G2478" s="2" t="n">
        <v>0.023664</v>
      </c>
    </row>
    <row r="2479">
      <c r="A2479" s="1" t="inlineStr">
        <is>
          <t>F2</t>
        </is>
      </c>
      <c r="B2479" s="1" t="n">
        <v>62</v>
      </c>
      <c r="C2479" s="2">
        <f>_xlfn.XLOOKUP(B2479,Results!$B$23:$B$119,Results!$D$23:$D$119)</f>
        <v/>
      </c>
      <c r="D2479" s="1" t="n">
        <v>16</v>
      </c>
      <c r="E2479" s="1" t="inlineStr">
        <is>
          <t>CHO</t>
        </is>
      </c>
      <c r="F2479" s="1" t="n">
        <v>2.3524</v>
      </c>
      <c r="G2479" s="1" t="n">
        <v>0.054299</v>
      </c>
    </row>
    <row r="2480">
      <c r="A2480" s="2" t="inlineStr">
        <is>
          <t>F2</t>
        </is>
      </c>
      <c r="B2480" s="2" t="n">
        <v>62</v>
      </c>
      <c r="C2480" s="2">
        <f>_xlfn.XLOOKUP(B2480,Results!$B$23:$B$119,Results!$D$23:$D$119)</f>
        <v/>
      </c>
      <c r="D2480" s="2" t="n">
        <v>17</v>
      </c>
      <c r="E2480" s="2" t="inlineStr">
        <is>
          <t>CHO</t>
        </is>
      </c>
      <c r="F2480" s="2" t="n">
        <v>2.4109</v>
      </c>
      <c r="G2480" s="2" t="n">
        <v>0.106614</v>
      </c>
    </row>
    <row r="2481">
      <c r="A2481" s="1" t="inlineStr">
        <is>
          <t>F2</t>
        </is>
      </c>
      <c r="B2481" s="1" t="n">
        <v>62</v>
      </c>
      <c r="C2481" s="2">
        <f>_xlfn.XLOOKUP(B2481,Results!$B$23:$B$119,Results!$D$23:$D$119)</f>
        <v/>
      </c>
      <c r="D2481" s="1" t="n">
        <v>18</v>
      </c>
      <c r="E2481" s="1" t="inlineStr">
        <is>
          <t>CHO</t>
        </is>
      </c>
      <c r="F2481" s="1" t="n">
        <v>2.5275</v>
      </c>
      <c r="G2481" s="1" t="n">
        <v>0.216974</v>
      </c>
    </row>
    <row r="2482">
      <c r="A2482" s="2" t="inlineStr">
        <is>
          <t>F2</t>
        </is>
      </c>
      <c r="B2482" s="2" t="n">
        <v>62</v>
      </c>
      <c r="C2482" s="2">
        <f>_xlfn.XLOOKUP(B2482,Results!$B$23:$B$119,Results!$D$23:$D$119)</f>
        <v/>
      </c>
      <c r="D2482" s="2" t="n">
        <v>19</v>
      </c>
      <c r="E2482" s="2" t="inlineStr">
        <is>
          <t>CHO</t>
        </is>
      </c>
      <c r="F2482" s="2" t="n">
        <v>2.7266</v>
      </c>
      <c r="G2482" s="2" t="n">
        <v>0.40983</v>
      </c>
    </row>
    <row r="2483">
      <c r="A2483" s="1" t="inlineStr">
        <is>
          <t>F2</t>
        </is>
      </c>
      <c r="B2483" s="1" t="n">
        <v>62</v>
      </c>
      <c r="C2483" s="2">
        <f>_xlfn.XLOOKUP(B2483,Results!$B$23:$B$119,Results!$D$23:$D$119)</f>
        <v/>
      </c>
      <c r="D2483" s="1" t="n">
        <v>20</v>
      </c>
      <c r="E2483" s="1" t="inlineStr">
        <is>
          <t>CHO</t>
        </is>
      </c>
      <c r="F2483" s="1" t="n">
        <v>3.0229</v>
      </c>
      <c r="G2483" s="1" t="n">
        <v>0.699976</v>
      </c>
    </row>
    <row r="2484">
      <c r="A2484" s="2" t="inlineStr">
        <is>
          <t>F2</t>
        </is>
      </c>
      <c r="B2484" s="2" t="n">
        <v>62</v>
      </c>
      <c r="C2484" s="2">
        <f>_xlfn.XLOOKUP(B2484,Results!$B$23:$B$119,Results!$D$23:$D$119)</f>
        <v/>
      </c>
      <c r="D2484" s="2" t="n">
        <v>21</v>
      </c>
      <c r="E2484" s="2" t="inlineStr">
        <is>
          <t>CHO</t>
        </is>
      </c>
      <c r="F2484" s="2" t="n">
        <v>3.4034</v>
      </c>
      <c r="G2484" s="2" t="n">
        <v>1.074208</v>
      </c>
    </row>
    <row r="2485">
      <c r="A2485" s="1" t="inlineStr">
        <is>
          <t>F2</t>
        </is>
      </c>
      <c r="B2485" s="1" t="n">
        <v>62</v>
      </c>
      <c r="C2485" s="2">
        <f>_xlfn.XLOOKUP(B2485,Results!$B$23:$B$119,Results!$D$23:$D$119)</f>
        <v/>
      </c>
      <c r="D2485" s="1" t="n">
        <v>22</v>
      </c>
      <c r="E2485" s="1" t="inlineStr">
        <is>
          <t>CHO</t>
        </is>
      </c>
      <c r="F2485" s="1" t="n">
        <v>3.8195</v>
      </c>
      <c r="G2485" s="1" t="n">
        <v>1.484093</v>
      </c>
    </row>
    <row r="2486">
      <c r="A2486" s="2" t="inlineStr">
        <is>
          <t>F2</t>
        </is>
      </c>
      <c r="B2486" s="2" t="n">
        <v>62</v>
      </c>
      <c r="C2486" s="2">
        <f>_xlfn.XLOOKUP(B2486,Results!$B$23:$B$119,Results!$D$23:$D$119)</f>
        <v/>
      </c>
      <c r="D2486" s="2" t="n">
        <v>23</v>
      </c>
      <c r="E2486" s="2" t="inlineStr">
        <is>
          <t>CHO</t>
        </is>
      </c>
      <c r="F2486" s="2" t="n">
        <v>4.2618</v>
      </c>
      <c r="G2486" s="2" t="n">
        <v>1.920158</v>
      </c>
    </row>
    <row r="2487">
      <c r="A2487" s="1" t="inlineStr">
        <is>
          <t>F2</t>
        </is>
      </c>
      <c r="B2487" s="1" t="n">
        <v>62</v>
      </c>
      <c r="C2487" s="2">
        <f>_xlfn.XLOOKUP(B2487,Results!$B$23:$B$119,Results!$D$23:$D$119)</f>
        <v/>
      </c>
      <c r="D2487" s="1" t="n">
        <v>24</v>
      </c>
      <c r="E2487" s="1" t="inlineStr">
        <is>
          <t>CHO</t>
        </is>
      </c>
      <c r="F2487" s="1" t="n">
        <v>4.699</v>
      </c>
      <c r="G2487" s="1" t="n">
        <v>2.351172</v>
      </c>
    </row>
    <row r="2488">
      <c r="A2488" s="2" t="inlineStr">
        <is>
          <t>F2</t>
        </is>
      </c>
      <c r="B2488" s="2" t="n">
        <v>62</v>
      </c>
      <c r="C2488" s="2">
        <f>_xlfn.XLOOKUP(B2488,Results!$B$23:$B$119,Results!$D$23:$D$119)</f>
        <v/>
      </c>
      <c r="D2488" s="2" t="n">
        <v>25</v>
      </c>
      <c r="E2488" s="2" t="inlineStr">
        <is>
          <t>CHO</t>
        </is>
      </c>
      <c r="F2488" s="2" t="n">
        <v>5.1012</v>
      </c>
      <c r="G2488" s="2" t="n">
        <v>2.747148</v>
      </c>
    </row>
    <row r="2489">
      <c r="A2489" s="1" t="inlineStr">
        <is>
          <t>F2</t>
        </is>
      </c>
      <c r="B2489" s="1" t="n">
        <v>62</v>
      </c>
      <c r="C2489" s="2">
        <f>_xlfn.XLOOKUP(B2489,Results!$B$23:$B$119,Results!$D$23:$D$119)</f>
        <v/>
      </c>
      <c r="D2489" s="1" t="n">
        <v>26</v>
      </c>
      <c r="E2489" s="1" t="inlineStr">
        <is>
          <t>CHO</t>
        </is>
      </c>
      <c r="F2489" s="1" t="n">
        <v>5.4458</v>
      </c>
      <c r="G2489" s="1" t="n">
        <v>3.085534</v>
      </c>
    </row>
    <row r="2490">
      <c r="A2490" s="2" t="inlineStr">
        <is>
          <t>F2</t>
        </is>
      </c>
      <c r="B2490" s="2" t="n">
        <v>62</v>
      </c>
      <c r="C2490" s="2">
        <f>_xlfn.XLOOKUP(B2490,Results!$B$23:$B$119,Results!$D$23:$D$119)</f>
        <v/>
      </c>
      <c r="D2490" s="2" t="n">
        <v>27</v>
      </c>
      <c r="E2490" s="2" t="inlineStr">
        <is>
          <t>CHO</t>
        </is>
      </c>
      <c r="F2490" s="2" t="n">
        <v>5.751</v>
      </c>
      <c r="G2490" s="2" t="n">
        <v>3.384496</v>
      </c>
    </row>
    <row r="2491">
      <c r="A2491" s="1" t="inlineStr">
        <is>
          <t>F2</t>
        </is>
      </c>
      <c r="B2491" s="1" t="n">
        <v>62</v>
      </c>
      <c r="C2491" s="2">
        <f>_xlfn.XLOOKUP(B2491,Results!$B$23:$B$119,Results!$D$23:$D$119)</f>
        <v/>
      </c>
      <c r="D2491" s="1" t="n">
        <v>28</v>
      </c>
      <c r="E2491" s="1" t="inlineStr">
        <is>
          <t>CHO</t>
        </is>
      </c>
      <c r="F2491" s="1" t="n">
        <v>6.0137</v>
      </c>
      <c r="G2491" s="1" t="n">
        <v>3.64098</v>
      </c>
    </row>
    <row r="2492">
      <c r="A2492" s="2" t="inlineStr">
        <is>
          <t>F2</t>
        </is>
      </c>
      <c r="B2492" s="2" t="n">
        <v>62</v>
      </c>
      <c r="C2492" s="2">
        <f>_xlfn.XLOOKUP(B2492,Results!$B$23:$B$119,Results!$D$23:$D$119)</f>
        <v/>
      </c>
      <c r="D2492" s="2" t="n">
        <v>29</v>
      </c>
      <c r="E2492" s="2" t="inlineStr">
        <is>
          <t>CHO</t>
        </is>
      </c>
      <c r="F2492" s="2" t="n">
        <v>6.2523</v>
      </c>
      <c r="G2492" s="2" t="n">
        <v>3.873362</v>
      </c>
    </row>
    <row r="2493">
      <c r="A2493" s="1" t="inlineStr">
        <is>
          <t>F2</t>
        </is>
      </c>
      <c r="B2493" s="1" t="n">
        <v>62</v>
      </c>
      <c r="C2493" s="2">
        <f>_xlfn.XLOOKUP(B2493,Results!$B$23:$B$119,Results!$D$23:$D$119)</f>
        <v/>
      </c>
      <c r="D2493" s="1" t="n">
        <v>30</v>
      </c>
      <c r="E2493" s="1" t="inlineStr">
        <is>
          <t>CHO</t>
        </is>
      </c>
      <c r="F2493" s="1" t="n">
        <v>6.4524</v>
      </c>
      <c r="G2493" s="1" t="n">
        <v>4.067228</v>
      </c>
    </row>
    <row r="2494">
      <c r="A2494" s="2" t="inlineStr">
        <is>
          <t>F2</t>
        </is>
      </c>
      <c r="B2494" s="2" t="n">
        <v>62</v>
      </c>
      <c r="C2494" s="2">
        <f>_xlfn.XLOOKUP(B2494,Results!$B$23:$B$119,Results!$D$23:$D$119)</f>
        <v/>
      </c>
      <c r="D2494" s="2" t="n">
        <v>31</v>
      </c>
      <c r="E2494" s="2" t="inlineStr">
        <is>
          <t>CHO</t>
        </is>
      </c>
      <c r="F2494" s="2" t="n">
        <v>6.6248</v>
      </c>
      <c r="G2494" s="2" t="n">
        <v>4.233482</v>
      </c>
    </row>
    <row r="2495">
      <c r="A2495" s="1" t="inlineStr">
        <is>
          <t>F2</t>
        </is>
      </c>
      <c r="B2495" s="1" t="n">
        <v>62</v>
      </c>
      <c r="C2495" s="2">
        <f>_xlfn.XLOOKUP(B2495,Results!$B$23:$B$119,Results!$D$23:$D$119)</f>
        <v/>
      </c>
      <c r="D2495" s="1" t="n">
        <v>32</v>
      </c>
      <c r="E2495" s="1" t="inlineStr">
        <is>
          <t>CHO</t>
        </is>
      </c>
      <c r="F2495" s="1" t="n">
        <v>6.7741</v>
      </c>
      <c r="G2495" s="1" t="n">
        <v>4.376518</v>
      </c>
    </row>
    <row r="2496">
      <c r="A2496" s="2" t="inlineStr">
        <is>
          <t>F2</t>
        </is>
      </c>
      <c r="B2496" s="2" t="n">
        <v>62</v>
      </c>
      <c r="C2496" s="2">
        <f>_xlfn.XLOOKUP(B2496,Results!$B$23:$B$119,Results!$D$23:$D$119)</f>
        <v/>
      </c>
      <c r="D2496" s="2" t="n">
        <v>33</v>
      </c>
      <c r="E2496" s="2" t="inlineStr">
        <is>
          <t>CHO</t>
        </is>
      </c>
      <c r="F2496" s="2" t="n">
        <v>6.905</v>
      </c>
      <c r="G2496" s="2" t="n">
        <v>4.501202</v>
      </c>
    </row>
    <row r="2497">
      <c r="A2497" s="1" t="inlineStr">
        <is>
          <t>F2</t>
        </is>
      </c>
      <c r="B2497" s="1" t="n">
        <v>62</v>
      </c>
      <c r="C2497" s="2">
        <f>_xlfn.XLOOKUP(B2497,Results!$B$23:$B$119,Results!$D$23:$D$119)</f>
        <v/>
      </c>
      <c r="D2497" s="1" t="n">
        <v>34</v>
      </c>
      <c r="E2497" s="1" t="inlineStr">
        <is>
          <t>CHO</t>
        </is>
      </c>
      <c r="F2497" s="1" t="n">
        <v>7.0295</v>
      </c>
      <c r="G2497" s="1" t="n">
        <v>4.619488</v>
      </c>
    </row>
    <row r="2498">
      <c r="A2498" s="2" t="inlineStr">
        <is>
          <t>F2</t>
        </is>
      </c>
      <c r="B2498" s="2" t="n">
        <v>62</v>
      </c>
      <c r="C2498" s="2">
        <f>_xlfn.XLOOKUP(B2498,Results!$B$23:$B$119,Results!$D$23:$D$119)</f>
        <v/>
      </c>
      <c r="D2498" s="2" t="n">
        <v>35</v>
      </c>
      <c r="E2498" s="2" t="inlineStr">
        <is>
          <t>CHO</t>
        </is>
      </c>
      <c r="F2498" s="2" t="n">
        <v>7.1359</v>
      </c>
      <c r="G2498" s="2" t="n">
        <v>4.71971</v>
      </c>
    </row>
    <row r="2499">
      <c r="A2499" s="1" t="inlineStr">
        <is>
          <t>F2</t>
        </is>
      </c>
      <c r="B2499" s="1" t="n">
        <v>62</v>
      </c>
      <c r="C2499" s="2">
        <f>_xlfn.XLOOKUP(B2499,Results!$B$23:$B$119,Results!$D$23:$D$119)</f>
        <v/>
      </c>
      <c r="D2499" s="1" t="n">
        <v>36</v>
      </c>
      <c r="E2499" s="1" t="inlineStr">
        <is>
          <t>CHO</t>
        </is>
      </c>
      <c r="F2499" s="1" t="n">
        <v>7.2243</v>
      </c>
      <c r="G2499" s="1" t="n">
        <v>4.801855</v>
      </c>
    </row>
    <row r="2500">
      <c r="A2500" s="2" t="inlineStr">
        <is>
          <t>F2</t>
        </is>
      </c>
      <c r="B2500" s="2" t="n">
        <v>62</v>
      </c>
      <c r="C2500" s="2">
        <f>_xlfn.XLOOKUP(B2500,Results!$B$23:$B$119,Results!$D$23:$D$119)</f>
        <v/>
      </c>
      <c r="D2500" s="2" t="n">
        <v>37</v>
      </c>
      <c r="E2500" s="2" t="inlineStr">
        <is>
          <t>CHO</t>
        </is>
      </c>
      <c r="F2500" s="2" t="n">
        <v>7.2965</v>
      </c>
      <c r="G2500" s="2" t="n">
        <v>4.867901</v>
      </c>
    </row>
    <row r="2501">
      <c r="A2501" s="1" t="inlineStr">
        <is>
          <t>F2</t>
        </is>
      </c>
      <c r="B2501" s="1" t="n">
        <v>62</v>
      </c>
      <c r="C2501" s="2">
        <f>_xlfn.XLOOKUP(B2501,Results!$B$23:$B$119,Results!$D$23:$D$119)</f>
        <v/>
      </c>
      <c r="D2501" s="1" t="n">
        <v>38</v>
      </c>
      <c r="E2501" s="1" t="inlineStr">
        <is>
          <t>CHO</t>
        </is>
      </c>
      <c r="F2501" s="1" t="n">
        <v>7.3647</v>
      </c>
      <c r="G2501" s="1" t="n">
        <v>4.929797</v>
      </c>
    </row>
    <row r="2502">
      <c r="A2502" s="2" t="inlineStr">
        <is>
          <t>F2</t>
        </is>
      </c>
      <c r="B2502" s="2" t="n">
        <v>62</v>
      </c>
      <c r="C2502" s="2">
        <f>_xlfn.XLOOKUP(B2502,Results!$B$23:$B$119,Results!$D$23:$D$119)</f>
        <v/>
      </c>
      <c r="D2502" s="2" t="n">
        <v>39</v>
      </c>
      <c r="E2502" s="2" t="inlineStr">
        <is>
          <t>CHO</t>
        </is>
      </c>
      <c r="F2502" s="2" t="n">
        <v>7.4381</v>
      </c>
      <c r="G2502" s="2" t="n">
        <v>4.996989</v>
      </c>
    </row>
    <row r="2503">
      <c r="A2503" s="1" t="inlineStr">
        <is>
          <t>F2</t>
        </is>
      </c>
      <c r="B2503" s="1" t="n">
        <v>62</v>
      </c>
      <c r="C2503" s="2">
        <f>_xlfn.XLOOKUP(B2503,Results!$B$23:$B$119,Results!$D$23:$D$119)</f>
        <v/>
      </c>
      <c r="D2503" s="1" t="n">
        <v>40</v>
      </c>
      <c r="E2503" s="1" t="inlineStr">
        <is>
          <t>CHO</t>
        </is>
      </c>
      <c r="F2503" s="1" t="n">
        <v>7.5006</v>
      </c>
      <c r="G2503" s="1" t="n">
        <v>5.053255</v>
      </c>
    </row>
    <row r="2504">
      <c r="A2504" s="2" t="inlineStr">
        <is>
          <t>F3</t>
        </is>
      </c>
      <c r="B2504" s="2" t="n">
        <v>63</v>
      </c>
      <c r="C2504" s="2">
        <f>_xlfn.XLOOKUP(B2504,Results!$B$23:$B$119,Results!$D$23:$D$119)</f>
        <v/>
      </c>
      <c r="D2504" s="2" t="n">
        <v>1</v>
      </c>
      <c r="E2504" s="2" t="inlineStr">
        <is>
          <t>CHO</t>
        </is>
      </c>
      <c r="F2504" s="2" t="n">
        <v>2.3279</v>
      </c>
      <c r="G2504" s="2" t="n">
        <v>0.004565</v>
      </c>
    </row>
    <row r="2505">
      <c r="A2505" s="1" t="inlineStr">
        <is>
          <t>F3</t>
        </is>
      </c>
      <c r="B2505" s="1" t="n">
        <v>63</v>
      </c>
      <c r="C2505" s="2">
        <f>_xlfn.XLOOKUP(B2505,Results!$B$23:$B$119,Results!$D$23:$D$119)</f>
        <v/>
      </c>
      <c r="D2505" s="1" t="n">
        <v>2</v>
      </c>
      <c r="E2505" s="1" t="inlineStr">
        <is>
          <t>CHO</t>
        </is>
      </c>
      <c r="F2505" s="1" t="n">
        <v>2.3282</v>
      </c>
      <c r="G2505" s="1" t="n">
        <v>0.00036</v>
      </c>
    </row>
    <row r="2506">
      <c r="A2506" s="2" t="inlineStr">
        <is>
          <t>F3</t>
        </is>
      </c>
      <c r="B2506" s="2" t="n">
        <v>63</v>
      </c>
      <c r="C2506" s="2">
        <f>_xlfn.XLOOKUP(B2506,Results!$B$23:$B$119,Results!$D$23:$D$119)</f>
        <v/>
      </c>
      <c r="D2506" s="2" t="n">
        <v>3</v>
      </c>
      <c r="E2506" s="2" t="inlineStr">
        <is>
          <t>CHO</t>
        </is>
      </c>
      <c r="F2506" s="2" t="n">
        <v>2.3324</v>
      </c>
      <c r="G2506" s="2" t="n">
        <v>2.3e-05</v>
      </c>
    </row>
    <row r="2507">
      <c r="A2507" s="1" t="inlineStr">
        <is>
          <t>F3</t>
        </is>
      </c>
      <c r="B2507" s="1" t="n">
        <v>63</v>
      </c>
      <c r="C2507" s="2">
        <f>_xlfn.XLOOKUP(B2507,Results!$B$23:$B$119,Results!$D$23:$D$119)</f>
        <v/>
      </c>
      <c r="D2507" s="1" t="n">
        <v>4</v>
      </c>
      <c r="E2507" s="1" t="inlineStr">
        <is>
          <t>CHO</t>
        </is>
      </c>
      <c r="F2507" s="1" t="n">
        <v>2.3357</v>
      </c>
      <c r="G2507" s="1" t="n">
        <v>-0.001214</v>
      </c>
    </row>
    <row r="2508">
      <c r="A2508" s="2" t="inlineStr">
        <is>
          <t>F3</t>
        </is>
      </c>
      <c r="B2508" s="2" t="n">
        <v>63</v>
      </c>
      <c r="C2508" s="2">
        <f>_xlfn.XLOOKUP(B2508,Results!$B$23:$B$119,Results!$D$23:$D$119)</f>
        <v/>
      </c>
      <c r="D2508" s="2" t="n">
        <v>5</v>
      </c>
      <c r="E2508" s="2" t="inlineStr">
        <is>
          <t>CHO</t>
        </is>
      </c>
      <c r="F2508" s="2" t="n">
        <v>2.3419</v>
      </c>
      <c r="G2508" s="2" t="n">
        <v>0.000549</v>
      </c>
    </row>
    <row r="2509">
      <c r="A2509" s="1" t="inlineStr">
        <is>
          <t>F3</t>
        </is>
      </c>
      <c r="B2509" s="1" t="n">
        <v>63</v>
      </c>
      <c r="C2509" s="2">
        <f>_xlfn.XLOOKUP(B2509,Results!$B$23:$B$119,Results!$D$23:$D$119)</f>
        <v/>
      </c>
      <c r="D2509" s="1" t="n">
        <v>6</v>
      </c>
      <c r="E2509" s="1" t="inlineStr">
        <is>
          <t>CHO</t>
        </is>
      </c>
      <c r="F2509" s="1" t="n">
        <v>2.3465</v>
      </c>
      <c r="G2509" s="1" t="n">
        <v>0.000604</v>
      </c>
    </row>
    <row r="2510">
      <c r="A2510" s="2" t="inlineStr">
        <is>
          <t>F3</t>
        </is>
      </c>
      <c r="B2510" s="2" t="n">
        <v>63</v>
      </c>
      <c r="C2510" s="2">
        <f>_xlfn.XLOOKUP(B2510,Results!$B$23:$B$119,Results!$D$23:$D$119)</f>
        <v/>
      </c>
      <c r="D2510" s="2" t="n">
        <v>7</v>
      </c>
      <c r="E2510" s="2" t="inlineStr">
        <is>
          <t>CHO</t>
        </is>
      </c>
      <c r="F2510" s="2" t="n">
        <v>2.3512</v>
      </c>
      <c r="G2510" s="2" t="n">
        <v>0.000816</v>
      </c>
    </row>
    <row r="2511">
      <c r="A2511" s="1" t="inlineStr">
        <is>
          <t>F3</t>
        </is>
      </c>
      <c r="B2511" s="1" t="n">
        <v>63</v>
      </c>
      <c r="C2511" s="2">
        <f>_xlfn.XLOOKUP(B2511,Results!$B$23:$B$119,Results!$D$23:$D$119)</f>
        <v/>
      </c>
      <c r="D2511" s="1" t="n">
        <v>8</v>
      </c>
      <c r="E2511" s="1" t="inlineStr">
        <is>
          <t>CHO</t>
        </is>
      </c>
      <c r="F2511" s="1" t="n">
        <v>2.3541</v>
      </c>
      <c r="G2511" s="1" t="n">
        <v>-0.00082</v>
      </c>
    </row>
    <row r="2512">
      <c r="A2512" s="2" t="inlineStr">
        <is>
          <t>F3</t>
        </is>
      </c>
      <c r="B2512" s="2" t="n">
        <v>63</v>
      </c>
      <c r="C2512" s="2">
        <f>_xlfn.XLOOKUP(B2512,Results!$B$23:$B$119,Results!$D$23:$D$119)</f>
        <v/>
      </c>
      <c r="D2512" s="2" t="n">
        <v>9</v>
      </c>
      <c r="E2512" s="2" t="inlineStr">
        <is>
          <t>CHO</t>
        </is>
      </c>
      <c r="F2512" s="2" t="n">
        <v>2.3604</v>
      </c>
      <c r="G2512" s="2" t="n">
        <v>0.000974</v>
      </c>
    </row>
    <row r="2513">
      <c r="A2513" s="1" t="inlineStr">
        <is>
          <t>F3</t>
        </is>
      </c>
      <c r="B2513" s="1" t="n">
        <v>63</v>
      </c>
      <c r="C2513" s="2">
        <f>_xlfn.XLOOKUP(B2513,Results!$B$23:$B$119,Results!$D$23:$D$119)</f>
        <v/>
      </c>
      <c r="D2513" s="1" t="n">
        <v>10</v>
      </c>
      <c r="E2513" s="1" t="inlineStr">
        <is>
          <t>CHO</t>
        </is>
      </c>
      <c r="F2513" s="1" t="n">
        <v>2.3631</v>
      </c>
      <c r="G2513" s="1" t="n">
        <v>-0.000753</v>
      </c>
    </row>
    <row r="2514">
      <c r="A2514" s="2" t="inlineStr">
        <is>
          <t>F3</t>
        </is>
      </c>
      <c r="B2514" s="2" t="n">
        <v>63</v>
      </c>
      <c r="C2514" s="2">
        <f>_xlfn.XLOOKUP(B2514,Results!$B$23:$B$119,Results!$D$23:$D$119)</f>
        <v/>
      </c>
      <c r="D2514" s="2" t="n">
        <v>11</v>
      </c>
      <c r="E2514" s="2" t="inlineStr">
        <is>
          <t>CHO</t>
        </is>
      </c>
      <c r="F2514" s="2" t="n">
        <v>2.3682</v>
      </c>
      <c r="G2514" s="2" t="n">
        <v>-0.000179</v>
      </c>
    </row>
    <row r="2515">
      <c r="A2515" s="1" t="inlineStr">
        <is>
          <t>F3</t>
        </is>
      </c>
      <c r="B2515" s="1" t="n">
        <v>63</v>
      </c>
      <c r="C2515" s="2">
        <f>_xlfn.XLOOKUP(B2515,Results!$B$23:$B$119,Results!$D$23:$D$119)</f>
        <v/>
      </c>
      <c r="D2515" s="1" t="n">
        <v>12</v>
      </c>
      <c r="E2515" s="1" t="inlineStr">
        <is>
          <t>CHO</t>
        </is>
      </c>
      <c r="F2515" s="1" t="n">
        <v>2.3762</v>
      </c>
      <c r="G2515" s="1" t="n">
        <v>0.00333</v>
      </c>
    </row>
    <row r="2516">
      <c r="A2516" s="2" t="inlineStr">
        <is>
          <t>F3</t>
        </is>
      </c>
      <c r="B2516" s="2" t="n">
        <v>63</v>
      </c>
      <c r="C2516" s="2">
        <f>_xlfn.XLOOKUP(B2516,Results!$B$23:$B$119,Results!$D$23:$D$119)</f>
        <v/>
      </c>
      <c r="D2516" s="2" t="n">
        <v>13</v>
      </c>
      <c r="E2516" s="2" t="inlineStr">
        <is>
          <t>CHO</t>
        </is>
      </c>
      <c r="F2516" s="2" t="n">
        <v>2.3906</v>
      </c>
      <c r="G2516" s="2" t="n">
        <v>0.013153</v>
      </c>
    </row>
    <row r="2517">
      <c r="A2517" s="1" t="inlineStr">
        <is>
          <t>F3</t>
        </is>
      </c>
      <c r="B2517" s="1" t="n">
        <v>63</v>
      </c>
      <c r="C2517" s="2">
        <f>_xlfn.XLOOKUP(B2517,Results!$B$23:$B$119,Results!$D$23:$D$119)</f>
        <v/>
      </c>
      <c r="D2517" s="1" t="n">
        <v>14</v>
      </c>
      <c r="E2517" s="1" t="inlineStr">
        <is>
          <t>CHO</t>
        </is>
      </c>
      <c r="F2517" s="1" t="n">
        <v>2.4015</v>
      </c>
      <c r="G2517" s="1" t="n">
        <v>0.019589</v>
      </c>
    </row>
    <row r="2518">
      <c r="A2518" s="2" t="inlineStr">
        <is>
          <t>F3</t>
        </is>
      </c>
      <c r="B2518" s="2" t="n">
        <v>63</v>
      </c>
      <c r="C2518" s="2">
        <f>_xlfn.XLOOKUP(B2518,Results!$B$23:$B$119,Results!$D$23:$D$119)</f>
        <v/>
      </c>
      <c r="D2518" s="2" t="n">
        <v>15</v>
      </c>
      <c r="E2518" s="2" t="inlineStr">
        <is>
          <t>CHO</t>
        </is>
      </c>
      <c r="F2518" s="2" t="n">
        <v>2.4371</v>
      </c>
      <c r="G2518" s="2" t="n">
        <v>0.050699</v>
      </c>
    </row>
    <row r="2519">
      <c r="A2519" s="1" t="inlineStr">
        <is>
          <t>F3</t>
        </is>
      </c>
      <c r="B2519" s="1" t="n">
        <v>63</v>
      </c>
      <c r="C2519" s="2">
        <f>_xlfn.XLOOKUP(B2519,Results!$B$23:$B$119,Results!$D$23:$D$119)</f>
        <v/>
      </c>
      <c r="D2519" s="1" t="n">
        <v>16</v>
      </c>
      <c r="E2519" s="1" t="inlineStr">
        <is>
          <t>CHO</t>
        </is>
      </c>
      <c r="F2519" s="1" t="n">
        <v>2.4622</v>
      </c>
      <c r="G2519" s="1" t="n">
        <v>0.071314</v>
      </c>
    </row>
    <row r="2520">
      <c r="A2520" s="2" t="inlineStr">
        <is>
          <t>F3</t>
        </is>
      </c>
      <c r="B2520" s="2" t="n">
        <v>63</v>
      </c>
      <c r="C2520" s="2">
        <f>_xlfn.XLOOKUP(B2520,Results!$B$23:$B$119,Results!$D$23:$D$119)</f>
        <v/>
      </c>
      <c r="D2520" s="2" t="n">
        <v>17</v>
      </c>
      <c r="E2520" s="2" t="inlineStr">
        <is>
          <t>CHO</t>
        </is>
      </c>
      <c r="F2520" s="2" t="n">
        <v>2.5154</v>
      </c>
      <c r="G2520" s="2" t="n">
        <v>0.119939</v>
      </c>
    </row>
    <row r="2521">
      <c r="A2521" s="1" t="inlineStr">
        <is>
          <t>F3</t>
        </is>
      </c>
      <c r="B2521" s="1" t="n">
        <v>63</v>
      </c>
      <c r="C2521" s="2">
        <f>_xlfn.XLOOKUP(B2521,Results!$B$23:$B$119,Results!$D$23:$D$119)</f>
        <v/>
      </c>
      <c r="D2521" s="1" t="n">
        <v>18</v>
      </c>
      <c r="E2521" s="1" t="inlineStr">
        <is>
          <t>CHO</t>
        </is>
      </c>
      <c r="F2521" s="1" t="n">
        <v>2.6388</v>
      </c>
      <c r="G2521" s="1" t="n">
        <v>0.238834</v>
      </c>
    </row>
    <row r="2522">
      <c r="A2522" s="2" t="inlineStr">
        <is>
          <t>F3</t>
        </is>
      </c>
      <c r="B2522" s="2" t="n">
        <v>63</v>
      </c>
      <c r="C2522" s="2">
        <f>_xlfn.XLOOKUP(B2522,Results!$B$23:$B$119,Results!$D$23:$D$119)</f>
        <v/>
      </c>
      <c r="D2522" s="2" t="n">
        <v>19</v>
      </c>
      <c r="E2522" s="2" t="inlineStr">
        <is>
          <t>CHO</t>
        </is>
      </c>
      <c r="F2522" s="2" t="n">
        <v>2.8315</v>
      </c>
      <c r="G2522" s="2" t="n">
        <v>0.427093</v>
      </c>
    </row>
    <row r="2523">
      <c r="A2523" s="1" t="inlineStr">
        <is>
          <t>F3</t>
        </is>
      </c>
      <c r="B2523" s="1" t="n">
        <v>63</v>
      </c>
      <c r="C2523" s="2">
        <f>_xlfn.XLOOKUP(B2523,Results!$B$23:$B$119,Results!$D$23:$D$119)</f>
        <v/>
      </c>
      <c r="D2523" s="1" t="n">
        <v>20</v>
      </c>
      <c r="E2523" s="1" t="inlineStr">
        <is>
          <t>CHO</t>
        </is>
      </c>
      <c r="F2523" s="1" t="n">
        <v>3.1321</v>
      </c>
      <c r="G2523" s="1" t="n">
        <v>0.72322</v>
      </c>
    </row>
    <row r="2524">
      <c r="A2524" s="2" t="inlineStr">
        <is>
          <t>F3</t>
        </is>
      </c>
      <c r="B2524" s="2" t="n">
        <v>63</v>
      </c>
      <c r="C2524" s="2">
        <f>_xlfn.XLOOKUP(B2524,Results!$B$23:$B$119,Results!$D$23:$D$119)</f>
        <v/>
      </c>
      <c r="D2524" s="2" t="n">
        <v>21</v>
      </c>
      <c r="E2524" s="2" t="inlineStr">
        <is>
          <t>CHO</t>
        </is>
      </c>
      <c r="F2524" s="2" t="n">
        <v>3.5</v>
      </c>
      <c r="G2524" s="2" t="n">
        <v>1.086558</v>
      </c>
    </row>
    <row r="2525">
      <c r="A2525" s="1" t="inlineStr">
        <is>
          <t>F3</t>
        </is>
      </c>
      <c r="B2525" s="1" t="n">
        <v>63</v>
      </c>
      <c r="C2525" s="2">
        <f>_xlfn.XLOOKUP(B2525,Results!$B$23:$B$119,Results!$D$23:$D$119)</f>
        <v/>
      </c>
      <c r="D2525" s="1" t="n">
        <v>22</v>
      </c>
      <c r="E2525" s="1" t="inlineStr">
        <is>
          <t>CHO</t>
        </is>
      </c>
      <c r="F2525" s="1" t="n">
        <v>3.938</v>
      </c>
      <c r="G2525" s="1" t="n">
        <v>1.520045</v>
      </c>
    </row>
    <row r="2526">
      <c r="A2526" s="2" t="inlineStr">
        <is>
          <t>F3</t>
        </is>
      </c>
      <c r="B2526" s="2" t="n">
        <v>63</v>
      </c>
      <c r="C2526" s="2">
        <f>_xlfn.XLOOKUP(B2526,Results!$B$23:$B$119,Results!$D$23:$D$119)</f>
        <v/>
      </c>
      <c r="D2526" s="2" t="n">
        <v>23</v>
      </c>
      <c r="E2526" s="2" t="inlineStr">
        <is>
          <t>CHO</t>
        </is>
      </c>
      <c r="F2526" s="2" t="n">
        <v>4.3857</v>
      </c>
      <c r="G2526" s="2" t="n">
        <v>1.963267</v>
      </c>
    </row>
    <row r="2527">
      <c r="A2527" s="1" t="inlineStr">
        <is>
          <t>F3</t>
        </is>
      </c>
      <c r="B2527" s="1" t="n">
        <v>63</v>
      </c>
      <c r="C2527" s="2">
        <f>_xlfn.XLOOKUP(B2527,Results!$B$23:$B$119,Results!$D$23:$D$119)</f>
        <v/>
      </c>
      <c r="D2527" s="1" t="n">
        <v>24</v>
      </c>
      <c r="E2527" s="1" t="inlineStr">
        <is>
          <t>CHO</t>
        </is>
      </c>
      <c r="F2527" s="1" t="n">
        <v>4.8441</v>
      </c>
      <c r="G2527" s="1" t="n">
        <v>2.417127</v>
      </c>
    </row>
    <row r="2528">
      <c r="A2528" s="2" t="inlineStr">
        <is>
          <t>F3</t>
        </is>
      </c>
      <c r="B2528" s="2" t="n">
        <v>63</v>
      </c>
      <c r="C2528" s="2">
        <f>_xlfn.XLOOKUP(B2528,Results!$B$23:$B$119,Results!$D$23:$D$119)</f>
        <v/>
      </c>
      <c r="D2528" s="2" t="n">
        <v>25</v>
      </c>
      <c r="E2528" s="2" t="inlineStr">
        <is>
          <t>CHO</t>
        </is>
      </c>
      <c r="F2528" s="2" t="n">
        <v>5.2496</v>
      </c>
      <c r="G2528" s="2" t="n">
        <v>2.818193</v>
      </c>
    </row>
    <row r="2529">
      <c r="A2529" s="1" t="inlineStr">
        <is>
          <t>F3</t>
        </is>
      </c>
      <c r="B2529" s="1" t="n">
        <v>63</v>
      </c>
      <c r="C2529" s="2">
        <f>_xlfn.XLOOKUP(B2529,Results!$B$23:$B$119,Results!$D$23:$D$119)</f>
        <v/>
      </c>
      <c r="D2529" s="1" t="n">
        <v>26</v>
      </c>
      <c r="E2529" s="1" t="inlineStr">
        <is>
          <t>CHO</t>
        </is>
      </c>
      <c r="F2529" s="1" t="n">
        <v>5.5832</v>
      </c>
      <c r="G2529" s="1" t="n">
        <v>3.147226</v>
      </c>
    </row>
    <row r="2530">
      <c r="A2530" s="2" t="inlineStr">
        <is>
          <t>F3</t>
        </is>
      </c>
      <c r="B2530" s="2" t="n">
        <v>63</v>
      </c>
      <c r="C2530" s="2">
        <f>_xlfn.XLOOKUP(B2530,Results!$B$23:$B$119,Results!$D$23:$D$119)</f>
        <v/>
      </c>
      <c r="D2530" s="2" t="n">
        <v>27</v>
      </c>
      <c r="E2530" s="2" t="inlineStr">
        <is>
          <t>CHO</t>
        </is>
      </c>
      <c r="F2530" s="2" t="n">
        <v>5.8757</v>
      </c>
      <c r="G2530" s="2" t="n">
        <v>3.4352</v>
      </c>
    </row>
    <row r="2531">
      <c r="A2531" s="1" t="inlineStr">
        <is>
          <t>F3</t>
        </is>
      </c>
      <c r="B2531" s="1" t="n">
        <v>63</v>
      </c>
      <c r="C2531" s="2">
        <f>_xlfn.XLOOKUP(B2531,Results!$B$23:$B$119,Results!$D$23:$D$119)</f>
        <v/>
      </c>
      <c r="D2531" s="1" t="n">
        <v>28</v>
      </c>
      <c r="E2531" s="1" t="inlineStr">
        <is>
          <t>CHO</t>
        </is>
      </c>
      <c r="F2531" s="1" t="n">
        <v>6.1471</v>
      </c>
      <c r="G2531" s="1" t="n">
        <v>3.702186</v>
      </c>
    </row>
    <row r="2532">
      <c r="A2532" s="2" t="inlineStr">
        <is>
          <t>F3</t>
        </is>
      </c>
      <c r="B2532" s="2" t="n">
        <v>63</v>
      </c>
      <c r="C2532" s="2">
        <f>_xlfn.XLOOKUP(B2532,Results!$B$23:$B$119,Results!$D$23:$D$119)</f>
        <v/>
      </c>
      <c r="D2532" s="2" t="n">
        <v>29</v>
      </c>
      <c r="E2532" s="2" t="inlineStr">
        <is>
          <t>CHO</t>
        </is>
      </c>
      <c r="F2532" s="2" t="n">
        <v>6.3861</v>
      </c>
      <c r="G2532" s="2" t="n">
        <v>3.936603</v>
      </c>
    </row>
    <row r="2533">
      <c r="A2533" s="1" t="inlineStr">
        <is>
          <t>F3</t>
        </is>
      </c>
      <c r="B2533" s="1" t="n">
        <v>63</v>
      </c>
      <c r="C2533" s="2">
        <f>_xlfn.XLOOKUP(B2533,Results!$B$23:$B$119,Results!$D$23:$D$119)</f>
        <v/>
      </c>
      <c r="D2533" s="1" t="n">
        <v>30</v>
      </c>
      <c r="E2533" s="1" t="inlineStr">
        <is>
          <t>CHO</t>
        </is>
      </c>
      <c r="F2533" s="1" t="n">
        <v>6.5779</v>
      </c>
      <c r="G2533" s="1" t="n">
        <v>4.123889</v>
      </c>
    </row>
    <row r="2534">
      <c r="A2534" s="2" t="inlineStr">
        <is>
          <t>F3</t>
        </is>
      </c>
      <c r="B2534" s="2" t="n">
        <v>63</v>
      </c>
      <c r="C2534" s="2">
        <f>_xlfn.XLOOKUP(B2534,Results!$B$23:$B$119,Results!$D$23:$D$119)</f>
        <v/>
      </c>
      <c r="D2534" s="2" t="n">
        <v>31</v>
      </c>
      <c r="E2534" s="2" t="inlineStr">
        <is>
          <t>CHO</t>
        </is>
      </c>
      <c r="F2534" s="2" t="n">
        <v>6.7541</v>
      </c>
      <c r="G2534" s="2" t="n">
        <v>4.295598</v>
      </c>
    </row>
    <row r="2535">
      <c r="A2535" s="1" t="inlineStr">
        <is>
          <t>F3</t>
        </is>
      </c>
      <c r="B2535" s="1" t="n">
        <v>63</v>
      </c>
      <c r="C2535" s="2">
        <f>_xlfn.XLOOKUP(B2535,Results!$B$23:$B$119,Results!$D$23:$D$119)</f>
        <v/>
      </c>
      <c r="D2535" s="1" t="n">
        <v>32</v>
      </c>
      <c r="E2535" s="1" t="inlineStr">
        <is>
          <t>CHO</t>
        </is>
      </c>
      <c r="F2535" s="1" t="n">
        <v>6.9053</v>
      </c>
      <c r="G2535" s="1" t="n">
        <v>4.442314</v>
      </c>
    </row>
    <row r="2536">
      <c r="A2536" s="2" t="inlineStr">
        <is>
          <t>F3</t>
        </is>
      </c>
      <c r="B2536" s="2" t="n">
        <v>63</v>
      </c>
      <c r="C2536" s="2">
        <f>_xlfn.XLOOKUP(B2536,Results!$B$23:$B$119,Results!$D$23:$D$119)</f>
        <v/>
      </c>
      <c r="D2536" s="2" t="n">
        <v>33</v>
      </c>
      <c r="E2536" s="2" t="inlineStr">
        <is>
          <t>CHO</t>
        </is>
      </c>
      <c r="F2536" s="2" t="n">
        <v>7.043</v>
      </c>
      <c r="G2536" s="2" t="n">
        <v>4.575483</v>
      </c>
    </row>
    <row r="2537">
      <c r="A2537" s="1" t="inlineStr">
        <is>
          <t>F3</t>
        </is>
      </c>
      <c r="B2537" s="1" t="n">
        <v>63</v>
      </c>
      <c r="C2537" s="2">
        <f>_xlfn.XLOOKUP(B2537,Results!$B$23:$B$119,Results!$D$23:$D$119)</f>
        <v/>
      </c>
      <c r="D2537" s="1" t="n">
        <v>34</v>
      </c>
      <c r="E2537" s="1" t="inlineStr">
        <is>
          <t>CHO</t>
        </is>
      </c>
      <c r="F2537" s="1" t="n">
        <v>7.1593</v>
      </c>
      <c r="G2537" s="1" t="n">
        <v>4.687303</v>
      </c>
    </row>
    <row r="2538">
      <c r="A2538" s="2" t="inlineStr">
        <is>
          <t>F3</t>
        </is>
      </c>
      <c r="B2538" s="2" t="n">
        <v>63</v>
      </c>
      <c r="C2538" s="2">
        <f>_xlfn.XLOOKUP(B2538,Results!$B$23:$B$119,Results!$D$23:$D$119)</f>
        <v/>
      </c>
      <c r="D2538" s="2" t="n">
        <v>35</v>
      </c>
      <c r="E2538" s="2" t="inlineStr">
        <is>
          <t>CHO</t>
        </is>
      </c>
      <c r="F2538" s="2" t="n">
        <v>7.2631</v>
      </c>
      <c r="G2538" s="2" t="n">
        <v>4.78658</v>
      </c>
    </row>
    <row r="2539">
      <c r="A2539" s="1" t="inlineStr">
        <is>
          <t>F3</t>
        </is>
      </c>
      <c r="B2539" s="1" t="n">
        <v>63</v>
      </c>
      <c r="C2539" s="2">
        <f>_xlfn.XLOOKUP(B2539,Results!$B$23:$B$119,Results!$D$23:$D$119)</f>
        <v/>
      </c>
      <c r="D2539" s="1" t="n">
        <v>36</v>
      </c>
      <c r="E2539" s="1" t="inlineStr">
        <is>
          <t>CHO</t>
        </is>
      </c>
      <c r="F2539" s="1" t="n">
        <v>7.347</v>
      </c>
      <c r="G2539" s="1" t="n">
        <v>4.865969</v>
      </c>
    </row>
    <row r="2540">
      <c r="A2540" s="2" t="inlineStr">
        <is>
          <t>F3</t>
        </is>
      </c>
      <c r="B2540" s="2" t="n">
        <v>63</v>
      </c>
      <c r="C2540" s="2">
        <f>_xlfn.XLOOKUP(B2540,Results!$B$23:$B$119,Results!$D$23:$D$119)</f>
        <v/>
      </c>
      <c r="D2540" s="2" t="n">
        <v>37</v>
      </c>
      <c r="E2540" s="2" t="inlineStr">
        <is>
          <t>CHO</t>
        </is>
      </c>
      <c r="F2540" s="2" t="n">
        <v>7.4221</v>
      </c>
      <c r="G2540" s="2" t="n">
        <v>4.93662</v>
      </c>
    </row>
    <row r="2541">
      <c r="A2541" s="1" t="inlineStr">
        <is>
          <t>F3</t>
        </is>
      </c>
      <c r="B2541" s="1" t="n">
        <v>63</v>
      </c>
      <c r="C2541" s="2">
        <f>_xlfn.XLOOKUP(B2541,Results!$B$23:$B$119,Results!$D$23:$D$119)</f>
        <v/>
      </c>
      <c r="D2541" s="1" t="n">
        <v>38</v>
      </c>
      <c r="E2541" s="1" t="inlineStr">
        <is>
          <t>CHO</t>
        </is>
      </c>
      <c r="F2541" s="1" t="n">
        <v>7.4945</v>
      </c>
      <c r="G2541" s="1" t="n">
        <v>5.004536</v>
      </c>
    </row>
    <row r="2542">
      <c r="A2542" s="2" t="inlineStr">
        <is>
          <t>F3</t>
        </is>
      </c>
      <c r="B2542" s="2" t="n">
        <v>63</v>
      </c>
      <c r="C2542" s="2">
        <f>_xlfn.XLOOKUP(B2542,Results!$B$23:$B$119,Results!$D$23:$D$119)</f>
        <v/>
      </c>
      <c r="D2542" s="2" t="n">
        <v>39</v>
      </c>
      <c r="E2542" s="2" t="inlineStr">
        <is>
          <t>CHO</t>
        </is>
      </c>
      <c r="F2542" s="2" t="n">
        <v>7.5689</v>
      </c>
      <c r="G2542" s="2" t="n">
        <v>5.074396</v>
      </c>
    </row>
    <row r="2543">
      <c r="A2543" s="1" t="inlineStr">
        <is>
          <t>F3</t>
        </is>
      </c>
      <c r="B2543" s="1" t="n">
        <v>63</v>
      </c>
      <c r="C2543" s="2">
        <f>_xlfn.XLOOKUP(B2543,Results!$B$23:$B$119,Results!$D$23:$D$119)</f>
        <v/>
      </c>
      <c r="D2543" s="1" t="n">
        <v>40</v>
      </c>
      <c r="E2543" s="1" t="inlineStr">
        <is>
          <t>CHO</t>
        </is>
      </c>
      <c r="F2543" s="1" t="n">
        <v>7.627</v>
      </c>
      <c r="G2543" s="1" t="n">
        <v>5.127967</v>
      </c>
    </row>
    <row r="2544">
      <c r="A2544" s="2" t="inlineStr">
        <is>
          <t>F4</t>
        </is>
      </c>
      <c r="B2544" s="2" t="n">
        <v>64</v>
      </c>
      <c r="C2544" s="2">
        <f>_xlfn.XLOOKUP(B2544,Results!$B$23:$B$119,Results!$D$23:$D$119)</f>
        <v/>
      </c>
      <c r="D2544" s="2" t="n">
        <v>1</v>
      </c>
      <c r="E2544" s="2" t="inlineStr">
        <is>
          <t>CHO</t>
        </is>
      </c>
      <c r="F2544" s="2" t="n">
        <v>2.3069</v>
      </c>
      <c r="G2544" s="2" t="n">
        <v>0.00777</v>
      </c>
    </row>
    <row r="2545">
      <c r="A2545" s="1" t="inlineStr">
        <is>
          <t>F4</t>
        </is>
      </c>
      <c r="B2545" s="1" t="n">
        <v>64</v>
      </c>
      <c r="C2545" s="2">
        <f>_xlfn.XLOOKUP(B2545,Results!$B$23:$B$119,Results!$D$23:$D$119)</f>
        <v/>
      </c>
      <c r="D2545" s="1" t="n">
        <v>2</v>
      </c>
      <c r="E2545" s="1" t="inlineStr">
        <is>
          <t>CHO</t>
        </is>
      </c>
      <c r="F2545" s="1" t="n">
        <v>2.3055</v>
      </c>
      <c r="G2545" s="1" t="n">
        <v>0.000741</v>
      </c>
    </row>
    <row r="2546">
      <c r="A2546" s="2" t="inlineStr">
        <is>
          <t>F4</t>
        </is>
      </c>
      <c r="B2546" s="2" t="n">
        <v>64</v>
      </c>
      <c r="C2546" s="2">
        <f>_xlfn.XLOOKUP(B2546,Results!$B$23:$B$119,Results!$D$23:$D$119)</f>
        <v/>
      </c>
      <c r="D2546" s="2" t="n">
        <v>3</v>
      </c>
      <c r="E2546" s="2" t="inlineStr">
        <is>
          <t>CHO</t>
        </is>
      </c>
      <c r="F2546" s="2" t="n">
        <v>2.3104</v>
      </c>
      <c r="G2546" s="2" t="n">
        <v>9.7e-05</v>
      </c>
    </row>
    <row r="2547">
      <c r="A2547" s="1" t="inlineStr">
        <is>
          <t>F4</t>
        </is>
      </c>
      <c r="B2547" s="1" t="n">
        <v>64</v>
      </c>
      <c r="C2547" s="2">
        <f>_xlfn.XLOOKUP(B2547,Results!$B$23:$B$119,Results!$D$23:$D$119)</f>
        <v/>
      </c>
      <c r="D2547" s="1" t="n">
        <v>4</v>
      </c>
      <c r="E2547" s="1" t="inlineStr">
        <is>
          <t>CHO</t>
        </is>
      </c>
      <c r="F2547" s="1" t="n">
        <v>2.315</v>
      </c>
      <c r="G2547" s="1" t="n">
        <v>-0.000899</v>
      </c>
    </row>
    <row r="2548">
      <c r="A2548" s="2" t="inlineStr">
        <is>
          <t>F4</t>
        </is>
      </c>
      <c r="B2548" s="2" t="n">
        <v>64</v>
      </c>
      <c r="C2548" s="2">
        <f>_xlfn.XLOOKUP(B2548,Results!$B$23:$B$119,Results!$D$23:$D$119)</f>
        <v/>
      </c>
      <c r="D2548" s="2" t="n">
        <v>5</v>
      </c>
      <c r="E2548" s="2" t="inlineStr">
        <is>
          <t>CHO</t>
        </is>
      </c>
      <c r="F2548" s="2" t="n">
        <v>2.3205</v>
      </c>
      <c r="G2548" s="2" t="n">
        <v>-0.000943</v>
      </c>
    </row>
    <row r="2549">
      <c r="A2549" s="1" t="inlineStr">
        <is>
          <t>F4</t>
        </is>
      </c>
      <c r="B2549" s="1" t="n">
        <v>64</v>
      </c>
      <c r="C2549" s="2">
        <f>_xlfn.XLOOKUP(B2549,Results!$B$23:$B$119,Results!$D$23:$D$119)</f>
        <v/>
      </c>
      <c r="D2549" s="1" t="n">
        <v>6</v>
      </c>
      <c r="E2549" s="1" t="inlineStr">
        <is>
          <t>CHO</t>
        </is>
      </c>
      <c r="F2549" s="1" t="n">
        <v>2.3266</v>
      </c>
      <c r="G2549" s="1" t="n">
        <v>-0.000361</v>
      </c>
    </row>
    <row r="2550">
      <c r="A2550" s="2" t="inlineStr">
        <is>
          <t>F4</t>
        </is>
      </c>
      <c r="B2550" s="2" t="n">
        <v>64</v>
      </c>
      <c r="C2550" s="2">
        <f>_xlfn.XLOOKUP(B2550,Results!$B$23:$B$119,Results!$D$23:$D$119)</f>
        <v/>
      </c>
      <c r="D2550" s="2" t="n">
        <v>7</v>
      </c>
      <c r="E2550" s="2" t="inlineStr">
        <is>
          <t>CHO</t>
        </is>
      </c>
      <c r="F2550" s="2" t="n">
        <v>2.3337</v>
      </c>
      <c r="G2550" s="2" t="n">
        <v>0.001165</v>
      </c>
    </row>
    <row r="2551">
      <c r="A2551" s="1" t="inlineStr">
        <is>
          <t>F4</t>
        </is>
      </c>
      <c r="B2551" s="1" t="n">
        <v>64</v>
      </c>
      <c r="C2551" s="2">
        <f>_xlfn.XLOOKUP(B2551,Results!$B$23:$B$119,Results!$D$23:$D$119)</f>
        <v/>
      </c>
      <c r="D2551" s="1" t="n">
        <v>8</v>
      </c>
      <c r="E2551" s="1" t="inlineStr">
        <is>
          <t>CHO</t>
        </is>
      </c>
      <c r="F2551" s="1" t="n">
        <v>2.3402</v>
      </c>
      <c r="G2551" s="1" t="n">
        <v>0.002009</v>
      </c>
    </row>
    <row r="2552">
      <c r="A2552" s="2" t="inlineStr">
        <is>
          <t>F4</t>
        </is>
      </c>
      <c r="B2552" s="2" t="n">
        <v>64</v>
      </c>
      <c r="C2552" s="2">
        <f>_xlfn.XLOOKUP(B2552,Results!$B$23:$B$119,Results!$D$23:$D$119)</f>
        <v/>
      </c>
      <c r="D2552" s="2" t="n">
        <v>9</v>
      </c>
      <c r="E2552" s="2" t="inlineStr">
        <is>
          <t>CHO</t>
        </is>
      </c>
      <c r="F2552" s="2" t="n">
        <v>2.3455</v>
      </c>
      <c r="G2552" s="2" t="n">
        <v>0.001752</v>
      </c>
    </row>
    <row r="2553">
      <c r="A2553" s="1" t="inlineStr">
        <is>
          <t>F4</t>
        </is>
      </c>
      <c r="B2553" s="1" t="n">
        <v>64</v>
      </c>
      <c r="C2553" s="2">
        <f>_xlfn.XLOOKUP(B2553,Results!$B$23:$B$119,Results!$D$23:$D$119)</f>
        <v/>
      </c>
      <c r="D2553" s="1" t="n">
        <v>10</v>
      </c>
      <c r="E2553" s="1" t="inlineStr">
        <is>
          <t>CHO</t>
        </is>
      </c>
      <c r="F2553" s="1" t="n">
        <v>2.3491</v>
      </c>
      <c r="G2553" s="1" t="n">
        <v>-0.000192</v>
      </c>
    </row>
    <row r="2554">
      <c r="A2554" s="2" t="inlineStr">
        <is>
          <t>F4</t>
        </is>
      </c>
      <c r="B2554" s="2" t="n">
        <v>64</v>
      </c>
      <c r="C2554" s="2">
        <f>_xlfn.XLOOKUP(B2554,Results!$B$23:$B$119,Results!$D$23:$D$119)</f>
        <v/>
      </c>
      <c r="D2554" s="2" t="n">
        <v>11</v>
      </c>
      <c r="E2554" s="2" t="inlineStr">
        <is>
          <t>CHO</t>
        </is>
      </c>
      <c r="F2554" s="2" t="n">
        <v>2.3523</v>
      </c>
      <c r="G2554" s="2" t="n">
        <v>-0.002535</v>
      </c>
    </row>
    <row r="2555">
      <c r="A2555" s="1" t="inlineStr">
        <is>
          <t>F4</t>
        </is>
      </c>
      <c r="B2555" s="1" t="n">
        <v>64</v>
      </c>
      <c r="C2555" s="2">
        <f>_xlfn.XLOOKUP(B2555,Results!$B$23:$B$119,Results!$D$23:$D$119)</f>
        <v/>
      </c>
      <c r="D2555" s="1" t="n">
        <v>12</v>
      </c>
      <c r="E2555" s="1" t="inlineStr">
        <is>
          <t>CHO</t>
        </is>
      </c>
      <c r="F2555" s="1" t="n">
        <v>2.3593</v>
      </c>
      <c r="G2555" s="1" t="n">
        <v>-0.001125</v>
      </c>
    </row>
    <row r="2556">
      <c r="A2556" s="2" t="inlineStr">
        <is>
          <t>F4</t>
        </is>
      </c>
      <c r="B2556" s="2" t="n">
        <v>64</v>
      </c>
      <c r="C2556" s="2">
        <f>_xlfn.XLOOKUP(B2556,Results!$B$23:$B$119,Results!$D$23:$D$119)</f>
        <v/>
      </c>
      <c r="D2556" s="2" t="n">
        <v>13</v>
      </c>
      <c r="E2556" s="2" t="inlineStr">
        <is>
          <t>CHO</t>
        </is>
      </c>
      <c r="F2556" s="2" t="n">
        <v>2.3669</v>
      </c>
      <c r="G2556" s="2" t="n">
        <v>0.000941</v>
      </c>
    </row>
    <row r="2557">
      <c r="A2557" s="1" t="inlineStr">
        <is>
          <t>F4</t>
        </is>
      </c>
      <c r="B2557" s="1" t="n">
        <v>64</v>
      </c>
      <c r="C2557" s="2">
        <f>_xlfn.XLOOKUP(B2557,Results!$B$23:$B$119,Results!$D$23:$D$119)</f>
        <v/>
      </c>
      <c r="D2557" s="1" t="n">
        <v>14</v>
      </c>
      <c r="E2557" s="1" t="inlineStr">
        <is>
          <t>CHO</t>
        </is>
      </c>
      <c r="F2557" s="1" t="n">
        <v>2.3716</v>
      </c>
      <c r="G2557" s="1" t="n">
        <v>8.899999999999999e-05</v>
      </c>
    </row>
    <row r="2558">
      <c r="A2558" s="2" t="inlineStr">
        <is>
          <t>F4</t>
        </is>
      </c>
      <c r="B2558" s="2" t="n">
        <v>64</v>
      </c>
      <c r="C2558" s="2">
        <f>_xlfn.XLOOKUP(B2558,Results!$B$23:$B$119,Results!$D$23:$D$119)</f>
        <v/>
      </c>
      <c r="D2558" s="2" t="n">
        <v>15</v>
      </c>
      <c r="E2558" s="2" t="inlineStr">
        <is>
          <t>CHO</t>
        </is>
      </c>
      <c r="F2558" s="2" t="n">
        <v>2.3845</v>
      </c>
      <c r="G2558" s="2" t="n">
        <v>0.007412</v>
      </c>
    </row>
    <row r="2559">
      <c r="A2559" s="1" t="inlineStr">
        <is>
          <t>F4</t>
        </is>
      </c>
      <c r="B2559" s="1" t="n">
        <v>64</v>
      </c>
      <c r="C2559" s="2">
        <f>_xlfn.XLOOKUP(B2559,Results!$B$23:$B$119,Results!$D$23:$D$119)</f>
        <v/>
      </c>
      <c r="D2559" s="1" t="n">
        <v>16</v>
      </c>
      <c r="E2559" s="1" t="inlineStr">
        <is>
          <t>CHO</t>
        </is>
      </c>
      <c r="F2559" s="1" t="n">
        <v>2.4009</v>
      </c>
      <c r="G2559" s="1" t="n">
        <v>0.018204</v>
      </c>
    </row>
    <row r="2560">
      <c r="A2560" s="2" t="inlineStr">
        <is>
          <t>F4</t>
        </is>
      </c>
      <c r="B2560" s="2" t="n">
        <v>64</v>
      </c>
      <c r="C2560" s="2">
        <f>_xlfn.XLOOKUP(B2560,Results!$B$23:$B$119,Results!$D$23:$D$119)</f>
        <v/>
      </c>
      <c r="D2560" s="2" t="n">
        <v>17</v>
      </c>
      <c r="E2560" s="2" t="inlineStr">
        <is>
          <t>CHO</t>
        </is>
      </c>
      <c r="F2560" s="2" t="n">
        <v>2.4222</v>
      </c>
      <c r="G2560" s="2" t="n">
        <v>0.033966</v>
      </c>
    </row>
    <row r="2561">
      <c r="A2561" s="1" t="inlineStr">
        <is>
          <t>F4</t>
        </is>
      </c>
      <c r="B2561" s="1" t="n">
        <v>64</v>
      </c>
      <c r="C2561" s="2">
        <f>_xlfn.XLOOKUP(B2561,Results!$B$23:$B$119,Results!$D$23:$D$119)</f>
        <v/>
      </c>
      <c r="D2561" s="1" t="n">
        <v>18</v>
      </c>
      <c r="E2561" s="1" t="inlineStr">
        <is>
          <t>CHO</t>
        </is>
      </c>
      <c r="F2561" s="1" t="n">
        <v>2.4646</v>
      </c>
      <c r="G2561" s="1" t="n">
        <v>0.070724</v>
      </c>
    </row>
    <row r="2562">
      <c r="A2562" s="2" t="inlineStr">
        <is>
          <t>F4</t>
        </is>
      </c>
      <c r="B2562" s="2" t="n">
        <v>64</v>
      </c>
      <c r="C2562" s="2">
        <f>_xlfn.XLOOKUP(B2562,Results!$B$23:$B$119,Results!$D$23:$D$119)</f>
        <v/>
      </c>
      <c r="D2562" s="2" t="n">
        <v>19</v>
      </c>
      <c r="E2562" s="2" t="inlineStr">
        <is>
          <t>CHO</t>
        </is>
      </c>
      <c r="F2562" s="2" t="n">
        <v>2.5351</v>
      </c>
      <c r="G2562" s="2" t="n">
        <v>0.135731</v>
      </c>
    </row>
    <row r="2563">
      <c r="A2563" s="1" t="inlineStr">
        <is>
          <t>F4</t>
        </is>
      </c>
      <c r="B2563" s="1" t="n">
        <v>64</v>
      </c>
      <c r="C2563" s="2">
        <f>_xlfn.XLOOKUP(B2563,Results!$B$23:$B$119,Results!$D$23:$D$119)</f>
        <v/>
      </c>
      <c r="D2563" s="1" t="n">
        <v>20</v>
      </c>
      <c r="E2563" s="1" t="inlineStr">
        <is>
          <t>CHO</t>
        </is>
      </c>
      <c r="F2563" s="1" t="n">
        <v>2.662</v>
      </c>
      <c r="G2563" s="1" t="n">
        <v>0.257032</v>
      </c>
    </row>
    <row r="2564">
      <c r="A2564" s="2" t="inlineStr">
        <is>
          <t>F4</t>
        </is>
      </c>
      <c r="B2564" s="2" t="n">
        <v>64</v>
      </c>
      <c r="C2564" s="2">
        <f>_xlfn.XLOOKUP(B2564,Results!$B$23:$B$119,Results!$D$23:$D$119)</f>
        <v/>
      </c>
      <c r="D2564" s="2" t="n">
        <v>21</v>
      </c>
      <c r="E2564" s="2" t="inlineStr">
        <is>
          <t>CHO</t>
        </is>
      </c>
      <c r="F2564" s="2" t="n">
        <v>2.8779</v>
      </c>
      <c r="G2564" s="2" t="n">
        <v>0.467371</v>
      </c>
    </row>
    <row r="2565">
      <c r="A2565" s="1" t="inlineStr">
        <is>
          <t>F4</t>
        </is>
      </c>
      <c r="B2565" s="1" t="n">
        <v>64</v>
      </c>
      <c r="C2565" s="2">
        <f>_xlfn.XLOOKUP(B2565,Results!$B$23:$B$119,Results!$D$23:$D$119)</f>
        <v/>
      </c>
      <c r="D2565" s="1" t="n">
        <v>22</v>
      </c>
      <c r="E2565" s="1" t="inlineStr">
        <is>
          <t>CHO</t>
        </is>
      </c>
      <c r="F2565" s="1" t="n">
        <v>3.1916</v>
      </c>
      <c r="G2565" s="1" t="n">
        <v>0.775529</v>
      </c>
    </row>
    <row r="2566">
      <c r="A2566" s="2" t="inlineStr">
        <is>
          <t>F4</t>
        </is>
      </c>
      <c r="B2566" s="2" t="n">
        <v>64</v>
      </c>
      <c r="C2566" s="2">
        <f>_xlfn.XLOOKUP(B2566,Results!$B$23:$B$119,Results!$D$23:$D$119)</f>
        <v/>
      </c>
      <c r="D2566" s="2" t="n">
        <v>23</v>
      </c>
      <c r="E2566" s="2" t="inlineStr">
        <is>
          <t>CHO</t>
        </is>
      </c>
      <c r="F2566" s="2" t="n">
        <v>3.5918</v>
      </c>
      <c r="G2566" s="2" t="n">
        <v>1.170157</v>
      </c>
    </row>
    <row r="2567">
      <c r="A2567" s="1" t="inlineStr">
        <is>
          <t>F4</t>
        </is>
      </c>
      <c r="B2567" s="1" t="n">
        <v>64</v>
      </c>
      <c r="C2567" s="2">
        <f>_xlfn.XLOOKUP(B2567,Results!$B$23:$B$119,Results!$D$23:$D$119)</f>
        <v/>
      </c>
      <c r="D2567" s="1" t="n">
        <v>24</v>
      </c>
      <c r="E2567" s="1" t="inlineStr">
        <is>
          <t>CHO</t>
        </is>
      </c>
      <c r="F2567" s="1" t="n">
        <v>4.0451</v>
      </c>
      <c r="G2567" s="1" t="n">
        <v>1.61782</v>
      </c>
    </row>
    <row r="2568">
      <c r="A2568" s="2" t="inlineStr">
        <is>
          <t>F4</t>
        </is>
      </c>
      <c r="B2568" s="2" t="n">
        <v>64</v>
      </c>
      <c r="C2568" s="2">
        <f>_xlfn.XLOOKUP(B2568,Results!$B$23:$B$119,Results!$D$23:$D$119)</f>
        <v/>
      </c>
      <c r="D2568" s="2" t="n">
        <v>25</v>
      </c>
      <c r="E2568" s="2" t="inlineStr">
        <is>
          <t>CHO</t>
        </is>
      </c>
      <c r="F2568" s="2" t="n">
        <v>4.4929</v>
      </c>
      <c r="G2568" s="2" t="n">
        <v>2.060099</v>
      </c>
    </row>
    <row r="2569">
      <c r="A2569" s="1" t="inlineStr">
        <is>
          <t>F4</t>
        </is>
      </c>
      <c r="B2569" s="1" t="n">
        <v>64</v>
      </c>
      <c r="C2569" s="2">
        <f>_xlfn.XLOOKUP(B2569,Results!$B$23:$B$119,Results!$D$23:$D$119)</f>
        <v/>
      </c>
      <c r="D2569" s="1" t="n">
        <v>26</v>
      </c>
      <c r="E2569" s="1" t="inlineStr">
        <is>
          <t>CHO</t>
        </is>
      </c>
      <c r="F2569" s="1" t="n">
        <v>4.9143</v>
      </c>
      <c r="G2569" s="1" t="n">
        <v>2.475863</v>
      </c>
    </row>
    <row r="2570">
      <c r="A2570" s="2" t="inlineStr">
        <is>
          <t>F4</t>
        </is>
      </c>
      <c r="B2570" s="2" t="n">
        <v>64</v>
      </c>
      <c r="C2570" s="2">
        <f>_xlfn.XLOOKUP(B2570,Results!$B$23:$B$119,Results!$D$23:$D$119)</f>
        <v/>
      </c>
      <c r="D2570" s="2" t="n">
        <v>27</v>
      </c>
      <c r="E2570" s="2" t="inlineStr">
        <is>
          <t>CHO</t>
        </is>
      </c>
      <c r="F2570" s="2" t="n">
        <v>5.3029</v>
      </c>
      <c r="G2570" s="2" t="n">
        <v>2.858891</v>
      </c>
    </row>
    <row r="2571">
      <c r="A2571" s="1" t="inlineStr">
        <is>
          <t>F4</t>
        </is>
      </c>
      <c r="B2571" s="1" t="n">
        <v>64</v>
      </c>
      <c r="C2571" s="2">
        <f>_xlfn.XLOOKUP(B2571,Results!$B$23:$B$119,Results!$D$23:$D$119)</f>
        <v/>
      </c>
      <c r="D2571" s="1" t="n">
        <v>28</v>
      </c>
      <c r="E2571" s="1" t="inlineStr">
        <is>
          <t>CHO</t>
        </is>
      </c>
      <c r="F2571" s="1" t="n">
        <v>5.6461</v>
      </c>
      <c r="G2571" s="1" t="n">
        <v>3.196617</v>
      </c>
    </row>
    <row r="2572">
      <c r="A2572" s="2" t="inlineStr">
        <is>
          <t>F4</t>
        </is>
      </c>
      <c r="B2572" s="2" t="n">
        <v>64</v>
      </c>
      <c r="C2572" s="2">
        <f>_xlfn.XLOOKUP(B2572,Results!$B$23:$B$119,Results!$D$23:$D$119)</f>
        <v/>
      </c>
      <c r="D2572" s="2" t="n">
        <v>29</v>
      </c>
      <c r="E2572" s="2" t="inlineStr">
        <is>
          <t>CHO</t>
        </is>
      </c>
      <c r="F2572" s="2" t="n">
        <v>5.9439</v>
      </c>
      <c r="G2572" s="2" t="n">
        <v>3.488753</v>
      </c>
    </row>
    <row r="2573">
      <c r="A2573" s="1" t="inlineStr">
        <is>
          <t>F4</t>
        </is>
      </c>
      <c r="B2573" s="1" t="n">
        <v>64</v>
      </c>
      <c r="C2573" s="2">
        <f>_xlfn.XLOOKUP(B2573,Results!$B$23:$B$119,Results!$D$23:$D$119)</f>
        <v/>
      </c>
      <c r="D2573" s="1" t="n">
        <v>30</v>
      </c>
      <c r="E2573" s="1" t="inlineStr">
        <is>
          <t>CHO</t>
        </is>
      </c>
      <c r="F2573" s="1" t="n">
        <v>6.1962</v>
      </c>
      <c r="G2573" s="1" t="n">
        <v>3.735516</v>
      </c>
    </row>
    <row r="2574">
      <c r="A2574" s="2" t="inlineStr">
        <is>
          <t>F4</t>
        </is>
      </c>
      <c r="B2574" s="2" t="n">
        <v>64</v>
      </c>
      <c r="C2574" s="2">
        <f>_xlfn.XLOOKUP(B2574,Results!$B$23:$B$119,Results!$D$23:$D$119)</f>
        <v/>
      </c>
      <c r="D2574" s="2" t="n">
        <v>31</v>
      </c>
      <c r="E2574" s="2" t="inlineStr">
        <is>
          <t>CHO</t>
        </is>
      </c>
      <c r="F2574" s="2" t="n">
        <v>6.418</v>
      </c>
      <c r="G2574" s="2" t="n">
        <v>3.951797</v>
      </c>
    </row>
    <row r="2575">
      <c r="A2575" s="1" t="inlineStr">
        <is>
          <t>F4</t>
        </is>
      </c>
      <c r="B2575" s="1" t="n">
        <v>64</v>
      </c>
      <c r="C2575" s="2">
        <f>_xlfn.XLOOKUP(B2575,Results!$B$23:$B$119,Results!$D$23:$D$119)</f>
        <v/>
      </c>
      <c r="D2575" s="1" t="n">
        <v>32</v>
      </c>
      <c r="E2575" s="1" t="inlineStr">
        <is>
          <t>CHO</t>
        </is>
      </c>
      <c r="F2575" s="1" t="n">
        <v>6.6114</v>
      </c>
      <c r="G2575" s="1" t="n">
        <v>4.139622</v>
      </c>
    </row>
    <row r="2576">
      <c r="A2576" s="2" t="inlineStr">
        <is>
          <t>F4</t>
        </is>
      </c>
      <c r="B2576" s="2" t="n">
        <v>64</v>
      </c>
      <c r="C2576" s="2">
        <f>_xlfn.XLOOKUP(B2576,Results!$B$23:$B$119,Results!$D$23:$D$119)</f>
        <v/>
      </c>
      <c r="D2576" s="2" t="n">
        <v>33</v>
      </c>
      <c r="E2576" s="2" t="inlineStr">
        <is>
          <t>CHO</t>
        </is>
      </c>
      <c r="F2576" s="2" t="n">
        <v>6.7766</v>
      </c>
      <c r="G2576" s="2" t="n">
        <v>4.299228</v>
      </c>
    </row>
    <row r="2577">
      <c r="A2577" s="1" t="inlineStr">
        <is>
          <t>F4</t>
        </is>
      </c>
      <c r="B2577" s="1" t="n">
        <v>64</v>
      </c>
      <c r="C2577" s="2">
        <f>_xlfn.XLOOKUP(B2577,Results!$B$23:$B$119,Results!$D$23:$D$119)</f>
        <v/>
      </c>
      <c r="D2577" s="1" t="n">
        <v>34</v>
      </c>
      <c r="E2577" s="1" t="inlineStr">
        <is>
          <t>CHO</t>
        </is>
      </c>
      <c r="F2577" s="1" t="n">
        <v>6.927</v>
      </c>
      <c r="G2577" s="1" t="n">
        <v>4.444007</v>
      </c>
    </row>
    <row r="2578">
      <c r="A2578" s="2" t="inlineStr">
        <is>
          <t>F4</t>
        </is>
      </c>
      <c r="B2578" s="2" t="n">
        <v>64</v>
      </c>
      <c r="C2578" s="2">
        <f>_xlfn.XLOOKUP(B2578,Results!$B$23:$B$119,Results!$D$23:$D$119)</f>
        <v/>
      </c>
      <c r="D2578" s="2" t="n">
        <v>35</v>
      </c>
      <c r="E2578" s="2" t="inlineStr">
        <is>
          <t>CHO</t>
        </is>
      </c>
      <c r="F2578" s="2" t="n">
        <v>7.0457</v>
      </c>
      <c r="G2578" s="2" t="n">
        <v>4.55721</v>
      </c>
    </row>
    <row r="2579">
      <c r="A2579" s="1" t="inlineStr">
        <is>
          <t>F4</t>
        </is>
      </c>
      <c r="B2579" s="1" t="n">
        <v>64</v>
      </c>
      <c r="C2579" s="2">
        <f>_xlfn.XLOOKUP(B2579,Results!$B$23:$B$119,Results!$D$23:$D$119)</f>
        <v/>
      </c>
      <c r="D2579" s="1" t="n">
        <v>36</v>
      </c>
      <c r="E2579" s="1" t="inlineStr">
        <is>
          <t>CHO</t>
        </is>
      </c>
      <c r="F2579" s="1" t="n">
        <v>7.1409</v>
      </c>
      <c r="G2579" s="1" t="n">
        <v>4.646777</v>
      </c>
    </row>
    <row r="2580">
      <c r="A2580" s="2" t="inlineStr">
        <is>
          <t>F4</t>
        </is>
      </c>
      <c r="B2580" s="2" t="n">
        <v>64</v>
      </c>
      <c r="C2580" s="2">
        <f>_xlfn.XLOOKUP(B2580,Results!$B$23:$B$119,Results!$D$23:$D$119)</f>
        <v/>
      </c>
      <c r="D2580" s="2" t="n">
        <v>37</v>
      </c>
      <c r="E2580" s="2" t="inlineStr">
        <is>
          <t>CHO</t>
        </is>
      </c>
      <c r="F2580" s="2" t="n">
        <v>7.233</v>
      </c>
      <c r="G2580" s="2" t="n">
        <v>4.73337</v>
      </c>
    </row>
    <row r="2581">
      <c r="A2581" s="1" t="inlineStr">
        <is>
          <t>F4</t>
        </is>
      </c>
      <c r="B2581" s="1" t="n">
        <v>64</v>
      </c>
      <c r="C2581" s="2">
        <f>_xlfn.XLOOKUP(B2581,Results!$B$23:$B$119,Results!$D$23:$D$119)</f>
        <v/>
      </c>
      <c r="D2581" s="1" t="n">
        <v>38</v>
      </c>
      <c r="E2581" s="1" t="inlineStr">
        <is>
          <t>CHO</t>
        </is>
      </c>
      <c r="F2581" s="1" t="n">
        <v>7.3365</v>
      </c>
      <c r="G2581" s="1" t="n">
        <v>4.831286</v>
      </c>
    </row>
    <row r="2582">
      <c r="A2582" s="2" t="inlineStr">
        <is>
          <t>F4</t>
        </is>
      </c>
      <c r="B2582" s="2" t="n">
        <v>64</v>
      </c>
      <c r="C2582" s="2">
        <f>_xlfn.XLOOKUP(B2582,Results!$B$23:$B$119,Results!$D$23:$D$119)</f>
        <v/>
      </c>
      <c r="D2582" s="2" t="n">
        <v>39</v>
      </c>
      <c r="E2582" s="2" t="inlineStr">
        <is>
          <t>CHO</t>
        </is>
      </c>
      <c r="F2582" s="2" t="n">
        <v>7.4013</v>
      </c>
      <c r="G2582" s="2" t="n">
        <v>4.890557</v>
      </c>
    </row>
    <row r="2583">
      <c r="A2583" s="1" t="inlineStr">
        <is>
          <t>F4</t>
        </is>
      </c>
      <c r="B2583" s="1" t="n">
        <v>64</v>
      </c>
      <c r="C2583" s="2">
        <f>_xlfn.XLOOKUP(B2583,Results!$B$23:$B$119,Results!$D$23:$D$119)</f>
        <v/>
      </c>
      <c r="D2583" s="1" t="n">
        <v>40</v>
      </c>
      <c r="E2583" s="1" t="inlineStr">
        <is>
          <t>CHO</t>
        </is>
      </c>
      <c r="F2583" s="1" t="n">
        <v>7.4577</v>
      </c>
      <c r="G2583" s="1" t="n">
        <v>4.94137</v>
      </c>
    </row>
    <row r="2584">
      <c r="A2584" s="2" t="inlineStr">
        <is>
          <t>F5</t>
        </is>
      </c>
      <c r="B2584" s="2" t="n">
        <v>65</v>
      </c>
      <c r="C2584" s="2">
        <f>_xlfn.XLOOKUP(B2584,Results!$B$23:$B$119,Results!$D$23:$D$119)</f>
        <v/>
      </c>
      <c r="D2584" s="2" t="n">
        <v>1</v>
      </c>
      <c r="E2584" s="2" t="inlineStr">
        <is>
          <t>CHO</t>
        </is>
      </c>
      <c r="F2584" s="2" t="n">
        <v>2.3132</v>
      </c>
      <c r="G2584" s="2" t="n">
        <v>0.015126</v>
      </c>
    </row>
    <row r="2585">
      <c r="A2585" s="1" t="inlineStr">
        <is>
          <t>F5</t>
        </is>
      </c>
      <c r="B2585" s="1" t="n">
        <v>65</v>
      </c>
      <c r="C2585" s="2">
        <f>_xlfn.XLOOKUP(B2585,Results!$B$23:$B$119,Results!$D$23:$D$119)</f>
        <v/>
      </c>
      <c r="D2585" s="1" t="n">
        <v>2</v>
      </c>
      <c r="E2585" s="1" t="inlineStr">
        <is>
          <t>CHO</t>
        </is>
      </c>
      <c r="F2585" s="1" t="n">
        <v>2.3117</v>
      </c>
      <c r="G2585" s="1" t="n">
        <v>0.00726</v>
      </c>
    </row>
    <row r="2586">
      <c r="A2586" s="2" t="inlineStr">
        <is>
          <t>F5</t>
        </is>
      </c>
      <c r="B2586" s="2" t="n">
        <v>65</v>
      </c>
      <c r="C2586" s="2">
        <f>_xlfn.XLOOKUP(B2586,Results!$B$23:$B$119,Results!$D$23:$D$119)</f>
        <v/>
      </c>
      <c r="D2586" s="2" t="n">
        <v>3</v>
      </c>
      <c r="E2586" s="2" t="inlineStr">
        <is>
          <t>CHO</t>
        </is>
      </c>
      <c r="F2586" s="2" t="n">
        <v>2.3162</v>
      </c>
      <c r="G2586" s="2" t="n">
        <v>0.005479</v>
      </c>
    </row>
    <row r="2587">
      <c r="A2587" s="1" t="inlineStr">
        <is>
          <t>F5</t>
        </is>
      </c>
      <c r="B2587" s="1" t="n">
        <v>65</v>
      </c>
      <c r="C2587" s="2">
        <f>_xlfn.XLOOKUP(B2587,Results!$B$23:$B$119,Results!$D$23:$D$119)</f>
        <v/>
      </c>
      <c r="D2587" s="1" t="n">
        <v>4</v>
      </c>
      <c r="E2587" s="1" t="inlineStr">
        <is>
          <t>CHO</t>
        </is>
      </c>
      <c r="F2587" s="1" t="n">
        <v>2.3199</v>
      </c>
      <c r="G2587" s="1" t="n">
        <v>0.002817</v>
      </c>
    </row>
    <row r="2588">
      <c r="A2588" s="2" t="inlineStr">
        <is>
          <t>F5</t>
        </is>
      </c>
      <c r="B2588" s="2" t="n">
        <v>65</v>
      </c>
      <c r="C2588" s="2">
        <f>_xlfn.XLOOKUP(B2588,Results!$B$23:$B$119,Results!$D$23:$D$119)</f>
        <v/>
      </c>
      <c r="D2588" s="2" t="n">
        <v>5</v>
      </c>
      <c r="E2588" s="2" t="inlineStr">
        <is>
          <t>CHO</t>
        </is>
      </c>
      <c r="F2588" s="2" t="n">
        <v>2.3208</v>
      </c>
      <c r="G2588" s="2" t="n">
        <v>-0.002659</v>
      </c>
    </row>
    <row r="2589">
      <c r="A2589" s="1" t="inlineStr">
        <is>
          <t>F5</t>
        </is>
      </c>
      <c r="B2589" s="1" t="n">
        <v>65</v>
      </c>
      <c r="C2589" s="2">
        <f>_xlfn.XLOOKUP(B2589,Results!$B$23:$B$119,Results!$D$23:$D$119)</f>
        <v/>
      </c>
      <c r="D2589" s="1" t="n">
        <v>6</v>
      </c>
      <c r="E2589" s="1" t="inlineStr">
        <is>
          <t>CHO</t>
        </is>
      </c>
      <c r="F2589" s="1" t="n">
        <v>2.3265</v>
      </c>
      <c r="G2589" s="1" t="n">
        <v>-0.003288</v>
      </c>
    </row>
    <row r="2590">
      <c r="A2590" s="2" t="inlineStr">
        <is>
          <t>F5</t>
        </is>
      </c>
      <c r="B2590" s="2" t="n">
        <v>65</v>
      </c>
      <c r="C2590" s="2">
        <f>_xlfn.XLOOKUP(B2590,Results!$B$23:$B$119,Results!$D$23:$D$119)</f>
        <v/>
      </c>
      <c r="D2590" s="2" t="n">
        <v>7</v>
      </c>
      <c r="E2590" s="2" t="inlineStr">
        <is>
          <t>CHO</t>
        </is>
      </c>
      <c r="F2590" s="2" t="n">
        <v>2.334</v>
      </c>
      <c r="G2590" s="2" t="n">
        <v>-0.002064</v>
      </c>
    </row>
    <row r="2591">
      <c r="A2591" s="1" t="inlineStr">
        <is>
          <t>F5</t>
        </is>
      </c>
      <c r="B2591" s="1" t="n">
        <v>65</v>
      </c>
      <c r="C2591" s="2">
        <f>_xlfn.XLOOKUP(B2591,Results!$B$23:$B$119,Results!$D$23:$D$119)</f>
        <v/>
      </c>
      <c r="D2591" s="1" t="n">
        <v>8</v>
      </c>
      <c r="E2591" s="1" t="inlineStr">
        <is>
          <t>CHO</t>
        </is>
      </c>
      <c r="F2591" s="1" t="n">
        <v>2.3429</v>
      </c>
      <c r="G2591" s="1" t="n">
        <v>0.000559</v>
      </c>
    </row>
    <row r="2592">
      <c r="A2592" s="2" t="inlineStr">
        <is>
          <t>F5</t>
        </is>
      </c>
      <c r="B2592" s="2" t="n">
        <v>65</v>
      </c>
      <c r="C2592" s="2">
        <f>_xlfn.XLOOKUP(B2592,Results!$B$23:$B$119,Results!$D$23:$D$119)</f>
        <v/>
      </c>
      <c r="D2592" s="2" t="n">
        <v>9</v>
      </c>
      <c r="E2592" s="2" t="inlineStr">
        <is>
          <t>CHO</t>
        </is>
      </c>
      <c r="F2592" s="2" t="n">
        <v>2.3483</v>
      </c>
      <c r="G2592" s="2" t="n">
        <v>-0.000368</v>
      </c>
    </row>
    <row r="2593">
      <c r="A2593" s="1" t="inlineStr">
        <is>
          <t>F5</t>
        </is>
      </c>
      <c r="B2593" s="1" t="n">
        <v>65</v>
      </c>
      <c r="C2593" s="2">
        <f>_xlfn.XLOOKUP(B2593,Results!$B$23:$B$119,Results!$D$23:$D$119)</f>
        <v/>
      </c>
      <c r="D2593" s="1" t="n">
        <v>10</v>
      </c>
      <c r="E2593" s="1" t="inlineStr">
        <is>
          <t>CHO</t>
        </is>
      </c>
      <c r="F2593" s="1" t="n">
        <v>2.3541</v>
      </c>
      <c r="G2593" s="1" t="n">
        <v>-0.000982</v>
      </c>
    </row>
    <row r="2594">
      <c r="A2594" s="2" t="inlineStr">
        <is>
          <t>F5</t>
        </is>
      </c>
      <c r="B2594" s="2" t="n">
        <v>65</v>
      </c>
      <c r="C2594" s="2">
        <f>_xlfn.XLOOKUP(B2594,Results!$B$23:$B$119,Results!$D$23:$D$119)</f>
        <v/>
      </c>
      <c r="D2594" s="2" t="n">
        <v>11</v>
      </c>
      <c r="E2594" s="2" t="inlineStr">
        <is>
          <t>CHO</t>
        </is>
      </c>
      <c r="F2594" s="2" t="n">
        <v>2.3594</v>
      </c>
      <c r="G2594" s="2" t="n">
        <v>-0.001927</v>
      </c>
    </row>
    <row r="2595">
      <c r="A2595" s="1" t="inlineStr">
        <is>
          <t>F5</t>
        </is>
      </c>
      <c r="B2595" s="1" t="n">
        <v>65</v>
      </c>
      <c r="C2595" s="2">
        <f>_xlfn.XLOOKUP(B2595,Results!$B$23:$B$119,Results!$D$23:$D$119)</f>
        <v/>
      </c>
      <c r="D2595" s="1" t="n">
        <v>12</v>
      </c>
      <c r="E2595" s="1" t="inlineStr">
        <is>
          <t>CHO</t>
        </is>
      </c>
      <c r="F2595" s="1" t="n">
        <v>2.3639</v>
      </c>
      <c r="G2595" s="1" t="n">
        <v>-0.003788</v>
      </c>
    </row>
    <row r="2596">
      <c r="A2596" s="2" t="inlineStr">
        <is>
          <t>F5</t>
        </is>
      </c>
      <c r="B2596" s="2" t="n">
        <v>65</v>
      </c>
      <c r="C2596" s="2">
        <f>_xlfn.XLOOKUP(B2596,Results!$B$23:$B$119,Results!$D$23:$D$119)</f>
        <v/>
      </c>
      <c r="D2596" s="2" t="n">
        <v>13</v>
      </c>
      <c r="E2596" s="2" t="inlineStr">
        <is>
          <t>CHO</t>
        </is>
      </c>
      <c r="F2596" s="2" t="n">
        <v>2.3724</v>
      </c>
      <c r="G2596" s="2" t="n">
        <v>-0.001611</v>
      </c>
    </row>
    <row r="2597">
      <c r="A2597" s="1" t="inlineStr">
        <is>
          <t>F5</t>
        </is>
      </c>
      <c r="B2597" s="1" t="n">
        <v>65</v>
      </c>
      <c r="C2597" s="2">
        <f>_xlfn.XLOOKUP(B2597,Results!$B$23:$B$119,Results!$D$23:$D$119)</f>
        <v/>
      </c>
      <c r="D2597" s="1" t="n">
        <v>14</v>
      </c>
      <c r="E2597" s="1" t="inlineStr">
        <is>
          <t>CHO</t>
        </is>
      </c>
      <c r="F2597" s="1" t="n">
        <v>2.3818</v>
      </c>
      <c r="G2597" s="1" t="n">
        <v>0.001444</v>
      </c>
    </row>
    <row r="2598">
      <c r="A2598" s="2" t="inlineStr">
        <is>
          <t>F5</t>
        </is>
      </c>
      <c r="B2598" s="2" t="n">
        <v>65</v>
      </c>
      <c r="C2598" s="2">
        <f>_xlfn.XLOOKUP(B2598,Results!$B$23:$B$119,Results!$D$23:$D$119)</f>
        <v/>
      </c>
      <c r="D2598" s="2" t="n">
        <v>15</v>
      </c>
      <c r="E2598" s="2" t="inlineStr">
        <is>
          <t>CHO</t>
        </is>
      </c>
      <c r="F2598" s="2" t="n">
        <v>2.393</v>
      </c>
      <c r="G2598" s="2" t="n">
        <v>0.006386</v>
      </c>
    </row>
    <row r="2599">
      <c r="A2599" s="1" t="inlineStr">
        <is>
          <t>F5</t>
        </is>
      </c>
      <c r="B2599" s="1" t="n">
        <v>65</v>
      </c>
      <c r="C2599" s="2">
        <f>_xlfn.XLOOKUP(B2599,Results!$B$23:$B$119,Results!$D$23:$D$119)</f>
        <v/>
      </c>
      <c r="D2599" s="1" t="n">
        <v>16</v>
      </c>
      <c r="E2599" s="1" t="inlineStr">
        <is>
          <t>CHO</t>
        </is>
      </c>
      <c r="F2599" s="1" t="n">
        <v>2.405</v>
      </c>
      <c r="G2599" s="1" t="n">
        <v>0.012027</v>
      </c>
    </row>
    <row r="2600">
      <c r="A2600" s="2" t="inlineStr">
        <is>
          <t>F5</t>
        </is>
      </c>
      <c r="B2600" s="2" t="n">
        <v>65</v>
      </c>
      <c r="C2600" s="2">
        <f>_xlfn.XLOOKUP(B2600,Results!$B$23:$B$119,Results!$D$23:$D$119)</f>
        <v/>
      </c>
      <c r="D2600" s="2" t="n">
        <v>17</v>
      </c>
      <c r="E2600" s="2" t="inlineStr">
        <is>
          <t>CHO</t>
        </is>
      </c>
      <c r="F2600" s="2" t="n">
        <v>2.4279</v>
      </c>
      <c r="G2600" s="2" t="n">
        <v>0.028595</v>
      </c>
    </row>
    <row r="2601">
      <c r="A2601" s="1" t="inlineStr">
        <is>
          <t>F5</t>
        </is>
      </c>
      <c r="B2601" s="1" t="n">
        <v>65</v>
      </c>
      <c r="C2601" s="2">
        <f>_xlfn.XLOOKUP(B2601,Results!$B$23:$B$119,Results!$D$23:$D$119)</f>
        <v/>
      </c>
      <c r="D2601" s="1" t="n">
        <v>18</v>
      </c>
      <c r="E2601" s="1" t="inlineStr">
        <is>
          <t>CHO</t>
        </is>
      </c>
      <c r="F2601" s="1" t="n">
        <v>2.4719</v>
      </c>
      <c r="G2601" s="1" t="n">
        <v>0.066298</v>
      </c>
    </row>
    <row r="2602">
      <c r="A2602" s="2" t="inlineStr">
        <is>
          <t>F5</t>
        </is>
      </c>
      <c r="B2602" s="2" t="n">
        <v>65</v>
      </c>
      <c r="C2602" s="2">
        <f>_xlfn.XLOOKUP(B2602,Results!$B$23:$B$119,Results!$D$23:$D$119)</f>
        <v/>
      </c>
      <c r="D2602" s="2" t="n">
        <v>19</v>
      </c>
      <c r="E2602" s="2" t="inlineStr">
        <is>
          <t>CHO</t>
        </is>
      </c>
      <c r="F2602" s="2" t="n">
        <v>2.5457</v>
      </c>
      <c r="G2602" s="2" t="n">
        <v>0.13374</v>
      </c>
    </row>
    <row r="2603">
      <c r="A2603" s="1" t="inlineStr">
        <is>
          <t>F5</t>
        </is>
      </c>
      <c r="B2603" s="1" t="n">
        <v>65</v>
      </c>
      <c r="C2603" s="2">
        <f>_xlfn.XLOOKUP(B2603,Results!$B$23:$B$119,Results!$D$23:$D$119)</f>
        <v/>
      </c>
      <c r="D2603" s="1" t="n">
        <v>20</v>
      </c>
      <c r="E2603" s="1" t="inlineStr">
        <is>
          <t>CHO</t>
        </is>
      </c>
      <c r="F2603" s="1" t="n">
        <v>2.6749</v>
      </c>
      <c r="G2603" s="1" t="n">
        <v>0.256649</v>
      </c>
    </row>
    <row r="2604">
      <c r="A2604" s="2" t="inlineStr">
        <is>
          <t>F5</t>
        </is>
      </c>
      <c r="B2604" s="2" t="n">
        <v>65</v>
      </c>
      <c r="C2604" s="2">
        <f>_xlfn.XLOOKUP(B2604,Results!$B$23:$B$119,Results!$D$23:$D$119)</f>
        <v/>
      </c>
      <c r="D2604" s="2" t="n">
        <v>21</v>
      </c>
      <c r="E2604" s="2" t="inlineStr">
        <is>
          <t>CHO</t>
        </is>
      </c>
      <c r="F2604" s="2" t="n">
        <v>2.8875</v>
      </c>
      <c r="G2604" s="2" t="n">
        <v>0.462948</v>
      </c>
    </row>
    <row r="2605">
      <c r="A2605" s="1" t="inlineStr">
        <is>
          <t>F5</t>
        </is>
      </c>
      <c r="B2605" s="1" t="n">
        <v>65</v>
      </c>
      <c r="C2605" s="2">
        <f>_xlfn.XLOOKUP(B2605,Results!$B$23:$B$119,Results!$D$23:$D$119)</f>
        <v/>
      </c>
      <c r="D2605" s="1" t="n">
        <v>22</v>
      </c>
      <c r="E2605" s="1" t="inlineStr">
        <is>
          <t>CHO</t>
        </is>
      </c>
      <c r="F2605" s="1" t="n">
        <v>3.2066</v>
      </c>
      <c r="G2605" s="1" t="n">
        <v>0.775643</v>
      </c>
    </row>
    <row r="2606">
      <c r="A2606" s="2" t="inlineStr">
        <is>
          <t>F5</t>
        </is>
      </c>
      <c r="B2606" s="2" t="n">
        <v>65</v>
      </c>
      <c r="C2606" s="2">
        <f>_xlfn.XLOOKUP(B2606,Results!$B$23:$B$119,Results!$D$23:$D$119)</f>
        <v/>
      </c>
      <c r="D2606" s="2" t="n">
        <v>23</v>
      </c>
      <c r="E2606" s="2" t="inlineStr">
        <is>
          <t>CHO</t>
        </is>
      </c>
      <c r="F2606" s="2" t="n">
        <v>3.617</v>
      </c>
      <c r="G2606" s="2" t="n">
        <v>1.179745</v>
      </c>
    </row>
    <row r="2607">
      <c r="A2607" s="1" t="inlineStr">
        <is>
          <t>F5</t>
        </is>
      </c>
      <c r="B2607" s="1" t="n">
        <v>65</v>
      </c>
      <c r="C2607" s="2">
        <f>_xlfn.XLOOKUP(B2607,Results!$B$23:$B$119,Results!$D$23:$D$119)</f>
        <v/>
      </c>
      <c r="D2607" s="1" t="n">
        <v>24</v>
      </c>
      <c r="E2607" s="1" t="inlineStr">
        <is>
          <t>CHO</t>
        </is>
      </c>
      <c r="F2607" s="1" t="n">
        <v>4.071</v>
      </c>
      <c r="G2607" s="1" t="n">
        <v>1.627464</v>
      </c>
    </row>
    <row r="2608">
      <c r="A2608" s="2" t="inlineStr">
        <is>
          <t>F5</t>
        </is>
      </c>
      <c r="B2608" s="2" t="n">
        <v>65</v>
      </c>
      <c r="C2608" s="2">
        <f>_xlfn.XLOOKUP(B2608,Results!$B$23:$B$119,Results!$D$23:$D$119)</f>
        <v/>
      </c>
      <c r="D2608" s="2" t="n">
        <v>25</v>
      </c>
      <c r="E2608" s="2" t="inlineStr">
        <is>
          <t>CHO</t>
        </is>
      </c>
      <c r="F2608" s="2" t="n">
        <v>4.5245</v>
      </c>
      <c r="G2608" s="2" t="n">
        <v>2.074597</v>
      </c>
    </row>
    <row r="2609">
      <c r="A2609" s="1" t="inlineStr">
        <is>
          <t>F5</t>
        </is>
      </c>
      <c r="B2609" s="1" t="n">
        <v>65</v>
      </c>
      <c r="C2609" s="2">
        <f>_xlfn.XLOOKUP(B2609,Results!$B$23:$B$119,Results!$D$23:$D$119)</f>
        <v/>
      </c>
      <c r="D2609" s="1" t="n">
        <v>26</v>
      </c>
      <c r="E2609" s="1" t="inlineStr">
        <is>
          <t>CHO</t>
        </is>
      </c>
      <c r="F2609" s="1" t="n">
        <v>4.9537</v>
      </c>
      <c r="G2609" s="1" t="n">
        <v>2.497513</v>
      </c>
    </row>
    <row r="2610">
      <c r="A2610" s="2" t="inlineStr">
        <is>
          <t>F5</t>
        </is>
      </c>
      <c r="B2610" s="2" t="n">
        <v>65</v>
      </c>
      <c r="C2610" s="2">
        <f>_xlfn.XLOOKUP(B2610,Results!$B$23:$B$119,Results!$D$23:$D$119)</f>
        <v/>
      </c>
      <c r="D2610" s="2" t="n">
        <v>27</v>
      </c>
      <c r="E2610" s="2" t="inlineStr">
        <is>
          <t>CHO</t>
        </is>
      </c>
      <c r="F2610" s="2" t="n">
        <v>5.3365</v>
      </c>
      <c r="G2610" s="2" t="n">
        <v>2.873912</v>
      </c>
    </row>
    <row r="2611">
      <c r="A2611" s="1" t="inlineStr">
        <is>
          <t>F5</t>
        </is>
      </c>
      <c r="B2611" s="1" t="n">
        <v>65</v>
      </c>
      <c r="C2611" s="2">
        <f>_xlfn.XLOOKUP(B2611,Results!$B$23:$B$119,Results!$D$23:$D$119)</f>
        <v/>
      </c>
      <c r="D2611" s="1" t="n">
        <v>28</v>
      </c>
      <c r="E2611" s="1" t="inlineStr">
        <is>
          <t>CHO</t>
        </is>
      </c>
      <c r="F2611" s="1" t="n">
        <v>5.6747</v>
      </c>
      <c r="G2611" s="1" t="n">
        <v>3.205879</v>
      </c>
    </row>
    <row r="2612">
      <c r="A2612" s="2" t="inlineStr">
        <is>
          <t>F5</t>
        </is>
      </c>
      <c r="B2612" s="2" t="n">
        <v>65</v>
      </c>
      <c r="C2612" s="2">
        <f>_xlfn.XLOOKUP(B2612,Results!$B$23:$B$119,Results!$D$23:$D$119)</f>
        <v/>
      </c>
      <c r="D2612" s="2" t="n">
        <v>29</v>
      </c>
      <c r="E2612" s="2" t="inlineStr">
        <is>
          <t>CHO</t>
        </is>
      </c>
      <c r="F2612" s="2" t="n">
        <v>5.9739</v>
      </c>
      <c r="G2612" s="2" t="n">
        <v>3.498753</v>
      </c>
    </row>
    <row r="2613">
      <c r="A2613" s="1" t="inlineStr">
        <is>
          <t>F5</t>
        </is>
      </c>
      <c r="B2613" s="1" t="n">
        <v>65</v>
      </c>
      <c r="C2613" s="2">
        <f>_xlfn.XLOOKUP(B2613,Results!$B$23:$B$119,Results!$D$23:$D$119)</f>
        <v/>
      </c>
      <c r="D2613" s="1" t="n">
        <v>30</v>
      </c>
      <c r="E2613" s="1" t="inlineStr">
        <is>
          <t>CHO</t>
        </is>
      </c>
      <c r="F2613" s="1" t="n">
        <v>6.233</v>
      </c>
      <c r="G2613" s="1" t="n">
        <v>3.751488</v>
      </c>
    </row>
    <row r="2614">
      <c r="A2614" s="2" t="inlineStr">
        <is>
          <t>F5</t>
        </is>
      </c>
      <c r="B2614" s="2" t="n">
        <v>65</v>
      </c>
      <c r="C2614" s="2">
        <f>_xlfn.XLOOKUP(B2614,Results!$B$23:$B$119,Results!$D$23:$D$119)</f>
        <v/>
      </c>
      <c r="D2614" s="2" t="n">
        <v>31</v>
      </c>
      <c r="E2614" s="2" t="inlineStr">
        <is>
          <t>CHO</t>
        </is>
      </c>
      <c r="F2614" s="2" t="n">
        <v>6.4602</v>
      </c>
      <c r="G2614" s="2" t="n">
        <v>3.972346</v>
      </c>
    </row>
    <row r="2615">
      <c r="A2615" s="1" t="inlineStr">
        <is>
          <t>F5</t>
        </is>
      </c>
      <c r="B2615" s="1" t="n">
        <v>65</v>
      </c>
      <c r="C2615" s="2">
        <f>_xlfn.XLOOKUP(B2615,Results!$B$23:$B$119,Results!$D$23:$D$119)</f>
        <v/>
      </c>
      <c r="D2615" s="1" t="n">
        <v>32</v>
      </c>
      <c r="E2615" s="1" t="inlineStr">
        <is>
          <t>CHO</t>
        </is>
      </c>
      <c r="F2615" s="1" t="n">
        <v>6.6591</v>
      </c>
      <c r="G2615" s="1" t="n">
        <v>4.164968</v>
      </c>
    </row>
    <row r="2616">
      <c r="A2616" s="2" t="inlineStr">
        <is>
          <t>F5</t>
        </is>
      </c>
      <c r="B2616" s="2" t="n">
        <v>65</v>
      </c>
      <c r="C2616" s="2">
        <f>_xlfn.XLOOKUP(B2616,Results!$B$23:$B$119,Results!$D$23:$D$119)</f>
        <v/>
      </c>
      <c r="D2616" s="2" t="n">
        <v>33</v>
      </c>
      <c r="E2616" s="2" t="inlineStr">
        <is>
          <t>CHO</t>
        </is>
      </c>
      <c r="F2616" s="2" t="n">
        <v>6.8198</v>
      </c>
      <c r="G2616" s="2" t="n">
        <v>4.319349</v>
      </c>
    </row>
    <row r="2617">
      <c r="A2617" s="1" t="inlineStr">
        <is>
          <t>F5</t>
        </is>
      </c>
      <c r="B2617" s="1" t="n">
        <v>65</v>
      </c>
      <c r="C2617" s="2">
        <f>_xlfn.XLOOKUP(B2617,Results!$B$23:$B$119,Results!$D$23:$D$119)</f>
        <v/>
      </c>
      <c r="D2617" s="1" t="n">
        <v>34</v>
      </c>
      <c r="E2617" s="1" t="inlineStr">
        <is>
          <t>CHO</t>
        </is>
      </c>
      <c r="F2617" s="1" t="n">
        <v>6.9673</v>
      </c>
      <c r="G2617" s="1" t="n">
        <v>4.460539</v>
      </c>
    </row>
    <row r="2618">
      <c r="A2618" s="2" t="inlineStr">
        <is>
          <t>F5</t>
        </is>
      </c>
      <c r="B2618" s="2" t="n">
        <v>65</v>
      </c>
      <c r="C2618" s="2">
        <f>_xlfn.XLOOKUP(B2618,Results!$B$23:$B$119,Results!$D$23:$D$119)</f>
        <v/>
      </c>
      <c r="D2618" s="2" t="n">
        <v>35</v>
      </c>
      <c r="E2618" s="2" t="inlineStr">
        <is>
          <t>CHO</t>
        </is>
      </c>
      <c r="F2618" s="2" t="n">
        <v>7.094</v>
      </c>
      <c r="G2618" s="2" t="n">
        <v>4.580828</v>
      </c>
    </row>
    <row r="2619">
      <c r="A2619" s="1" t="inlineStr">
        <is>
          <t>F5</t>
        </is>
      </c>
      <c r="B2619" s="1" t="n">
        <v>65</v>
      </c>
      <c r="C2619" s="2">
        <f>_xlfn.XLOOKUP(B2619,Results!$B$23:$B$119,Results!$D$23:$D$119)</f>
        <v/>
      </c>
      <c r="D2619" s="1" t="n">
        <v>36</v>
      </c>
      <c r="E2619" s="1" t="inlineStr">
        <is>
          <t>CHO</t>
        </is>
      </c>
      <c r="F2619" s="1" t="n">
        <v>7.1888</v>
      </c>
      <c r="G2619" s="1" t="n">
        <v>4.669305</v>
      </c>
    </row>
    <row r="2620">
      <c r="A2620" s="2" t="inlineStr">
        <is>
          <t>F5</t>
        </is>
      </c>
      <c r="B2620" s="2" t="n">
        <v>65</v>
      </c>
      <c r="C2620" s="2">
        <f>_xlfn.XLOOKUP(B2620,Results!$B$23:$B$119,Results!$D$23:$D$119)</f>
        <v/>
      </c>
      <c r="D2620" s="2" t="n">
        <v>37</v>
      </c>
      <c r="E2620" s="2" t="inlineStr">
        <is>
          <t>CHO</t>
        </is>
      </c>
      <c r="F2620" s="2" t="n">
        <v>7.2834</v>
      </c>
      <c r="G2620" s="2" t="n">
        <v>4.757613</v>
      </c>
    </row>
    <row r="2621">
      <c r="A2621" s="1" t="inlineStr">
        <is>
          <t>F5</t>
        </is>
      </c>
      <c r="B2621" s="1" t="n">
        <v>65</v>
      </c>
      <c r="C2621" s="2">
        <f>_xlfn.XLOOKUP(B2621,Results!$B$23:$B$119,Results!$D$23:$D$119)</f>
        <v/>
      </c>
      <c r="D2621" s="1" t="n">
        <v>38</v>
      </c>
      <c r="E2621" s="1" t="inlineStr">
        <is>
          <t>CHO</t>
        </is>
      </c>
      <c r="F2621" s="1" t="n">
        <v>7.3695</v>
      </c>
      <c r="G2621" s="1" t="n">
        <v>4.837446</v>
      </c>
    </row>
    <row r="2622">
      <c r="A2622" s="2" t="inlineStr">
        <is>
          <t>F5</t>
        </is>
      </c>
      <c r="B2622" s="2" t="n">
        <v>65</v>
      </c>
      <c r="C2622" s="2">
        <f>_xlfn.XLOOKUP(B2622,Results!$B$23:$B$119,Results!$D$23:$D$119)</f>
        <v/>
      </c>
      <c r="D2622" s="2" t="n">
        <v>39</v>
      </c>
      <c r="E2622" s="2" t="inlineStr">
        <is>
          <t>CHO</t>
        </is>
      </c>
      <c r="F2622" s="2" t="n">
        <v>7.4387</v>
      </c>
      <c r="G2622" s="2" t="n">
        <v>4.900259</v>
      </c>
    </row>
    <row r="2623">
      <c r="A2623" s="1" t="inlineStr">
        <is>
          <t>F5</t>
        </is>
      </c>
      <c r="B2623" s="1" t="n">
        <v>65</v>
      </c>
      <c r="C2623" s="2">
        <f>_xlfn.XLOOKUP(B2623,Results!$B$23:$B$119,Results!$D$23:$D$119)</f>
        <v/>
      </c>
      <c r="D2623" s="1" t="n">
        <v>40</v>
      </c>
      <c r="E2623" s="1" t="inlineStr">
        <is>
          <t>CHO</t>
        </is>
      </c>
      <c r="F2623" s="1" t="n">
        <v>7.488</v>
      </c>
      <c r="G2623" s="1" t="n">
        <v>4.943238</v>
      </c>
    </row>
    <row r="2624">
      <c r="A2624" s="2" t="inlineStr">
        <is>
          <t>F6</t>
        </is>
      </c>
      <c r="B2624" s="2" t="n">
        <v>66</v>
      </c>
      <c r="C2624" s="2">
        <f>_xlfn.XLOOKUP(B2624,Results!$B$23:$B$119,Results!$D$23:$D$119)</f>
        <v/>
      </c>
      <c r="D2624" s="2" t="n">
        <v>1</v>
      </c>
      <c r="E2624" s="2" t="inlineStr">
        <is>
          <t>CHO</t>
        </is>
      </c>
      <c r="F2624" s="2" t="n">
        <v>2.2949</v>
      </c>
      <c r="G2624" s="2" t="n">
        <v>0.002765</v>
      </c>
    </row>
    <row r="2625">
      <c r="A2625" s="1" t="inlineStr">
        <is>
          <t>F6</t>
        </is>
      </c>
      <c r="B2625" s="1" t="n">
        <v>66</v>
      </c>
      <c r="C2625" s="2">
        <f>_xlfn.XLOOKUP(B2625,Results!$B$23:$B$119,Results!$D$23:$D$119)</f>
        <v/>
      </c>
      <c r="D2625" s="1" t="n">
        <v>2</v>
      </c>
      <c r="E2625" s="1" t="inlineStr">
        <is>
          <t>CHO</t>
        </is>
      </c>
      <c r="F2625" s="1" t="n">
        <v>2.2979</v>
      </c>
      <c r="G2625" s="1" t="n">
        <v>-0.001573</v>
      </c>
    </row>
    <row r="2626">
      <c r="A2626" s="2" t="inlineStr">
        <is>
          <t>F6</t>
        </is>
      </c>
      <c r="B2626" s="2" t="n">
        <v>66</v>
      </c>
      <c r="C2626" s="2">
        <f>_xlfn.XLOOKUP(B2626,Results!$B$23:$B$119,Results!$D$23:$D$119)</f>
        <v/>
      </c>
      <c r="D2626" s="2" t="n">
        <v>3</v>
      </c>
      <c r="E2626" s="2" t="inlineStr">
        <is>
          <t>CHO</t>
        </is>
      </c>
      <c r="F2626" s="2" t="n">
        <v>2.3037</v>
      </c>
      <c r="G2626" s="2" t="n">
        <v>-0.003069</v>
      </c>
    </row>
    <row r="2627">
      <c r="A2627" s="1" t="inlineStr">
        <is>
          <t>F6</t>
        </is>
      </c>
      <c r="B2627" s="1" t="n">
        <v>66</v>
      </c>
      <c r="C2627" s="2">
        <f>_xlfn.XLOOKUP(B2627,Results!$B$23:$B$119,Results!$D$23:$D$119)</f>
        <v/>
      </c>
      <c r="D2627" s="1" t="n">
        <v>4</v>
      </c>
      <c r="E2627" s="1" t="inlineStr">
        <is>
          <t>CHO</t>
        </is>
      </c>
      <c r="F2627" s="1" t="n">
        <v>2.3112</v>
      </c>
      <c r="G2627" s="1" t="n">
        <v>-0.002865</v>
      </c>
    </row>
    <row r="2628">
      <c r="A2628" s="2" t="inlineStr">
        <is>
          <t>F6</t>
        </is>
      </c>
      <c r="B2628" s="2" t="n">
        <v>66</v>
      </c>
      <c r="C2628" s="2">
        <f>_xlfn.XLOOKUP(B2628,Results!$B$23:$B$119,Results!$D$23:$D$119)</f>
        <v/>
      </c>
      <c r="D2628" s="2" t="n">
        <v>5</v>
      </c>
      <c r="E2628" s="2" t="inlineStr">
        <is>
          <t>CHO</t>
        </is>
      </c>
      <c r="F2628" s="2" t="n">
        <v>2.3205</v>
      </c>
      <c r="G2628" s="2" t="n">
        <v>-0.000867</v>
      </c>
    </row>
    <row r="2629">
      <c r="A2629" s="1" t="inlineStr">
        <is>
          <t>F6</t>
        </is>
      </c>
      <c r="B2629" s="1" t="n">
        <v>66</v>
      </c>
      <c r="C2629" s="2">
        <f>_xlfn.XLOOKUP(B2629,Results!$B$23:$B$119,Results!$D$23:$D$119)</f>
        <v/>
      </c>
      <c r="D2629" s="1" t="n">
        <v>6</v>
      </c>
      <c r="E2629" s="1" t="inlineStr">
        <is>
          <t>CHO</t>
        </is>
      </c>
      <c r="F2629" s="1" t="n">
        <v>2.3305</v>
      </c>
      <c r="G2629" s="1" t="n">
        <v>0.001852</v>
      </c>
    </row>
    <row r="2630">
      <c r="A2630" s="2" t="inlineStr">
        <is>
          <t>F6</t>
        </is>
      </c>
      <c r="B2630" s="2" t="n">
        <v>66</v>
      </c>
      <c r="C2630" s="2">
        <f>_xlfn.XLOOKUP(B2630,Results!$B$23:$B$119,Results!$D$23:$D$119)</f>
        <v/>
      </c>
      <c r="D2630" s="2" t="n">
        <v>7</v>
      </c>
      <c r="E2630" s="2" t="inlineStr">
        <is>
          <t>CHO</t>
        </is>
      </c>
      <c r="F2630" s="2" t="n">
        <v>2.3384</v>
      </c>
      <c r="G2630" s="2" t="n">
        <v>0.002423</v>
      </c>
    </row>
    <row r="2631">
      <c r="A2631" s="1" t="inlineStr">
        <is>
          <t>F6</t>
        </is>
      </c>
      <c r="B2631" s="1" t="n">
        <v>66</v>
      </c>
      <c r="C2631" s="2">
        <f>_xlfn.XLOOKUP(B2631,Results!$B$23:$B$119,Results!$D$23:$D$119)</f>
        <v/>
      </c>
      <c r="D2631" s="1" t="n">
        <v>8</v>
      </c>
      <c r="E2631" s="1" t="inlineStr">
        <is>
          <t>CHO</t>
        </is>
      </c>
      <c r="F2631" s="1" t="n">
        <v>2.3461</v>
      </c>
      <c r="G2631" s="1" t="n">
        <v>0.002824</v>
      </c>
    </row>
    <row r="2632">
      <c r="A2632" s="2" t="inlineStr">
        <is>
          <t>F6</t>
        </is>
      </c>
      <c r="B2632" s="2" t="n">
        <v>66</v>
      </c>
      <c r="C2632" s="2">
        <f>_xlfn.XLOOKUP(B2632,Results!$B$23:$B$119,Results!$D$23:$D$119)</f>
        <v/>
      </c>
      <c r="D2632" s="2" t="n">
        <v>9</v>
      </c>
      <c r="E2632" s="2" t="inlineStr">
        <is>
          <t>CHO</t>
        </is>
      </c>
      <c r="F2632" s="2" t="n">
        <v>2.353</v>
      </c>
      <c r="G2632" s="2" t="n">
        <v>0.002399</v>
      </c>
    </row>
    <row r="2633">
      <c r="A2633" s="1" t="inlineStr">
        <is>
          <t>F6</t>
        </is>
      </c>
      <c r="B2633" s="1" t="n">
        <v>66</v>
      </c>
      <c r="C2633" s="2">
        <f>_xlfn.XLOOKUP(B2633,Results!$B$23:$B$119,Results!$D$23:$D$119)</f>
        <v/>
      </c>
      <c r="D2633" s="1" t="n">
        <v>10</v>
      </c>
      <c r="E2633" s="1" t="inlineStr">
        <is>
          <t>CHO</t>
        </is>
      </c>
      <c r="F2633" s="1" t="n">
        <v>2.3606</v>
      </c>
      <c r="G2633" s="1" t="n">
        <v>0.002735</v>
      </c>
    </row>
    <row r="2634">
      <c r="A2634" s="2" t="inlineStr">
        <is>
          <t>F6</t>
        </is>
      </c>
      <c r="B2634" s="2" t="n">
        <v>66</v>
      </c>
      <c r="C2634" s="2">
        <f>_xlfn.XLOOKUP(B2634,Results!$B$23:$B$119,Results!$D$23:$D$119)</f>
        <v/>
      </c>
      <c r="D2634" s="2" t="n">
        <v>11</v>
      </c>
      <c r="E2634" s="2" t="inlineStr">
        <is>
          <t>CHO</t>
        </is>
      </c>
      <c r="F2634" s="2" t="n">
        <v>2.3661</v>
      </c>
      <c r="G2634" s="2" t="n">
        <v>0.000884</v>
      </c>
    </row>
    <row r="2635">
      <c r="A2635" s="1" t="inlineStr">
        <is>
          <t>F6</t>
        </is>
      </c>
      <c r="B2635" s="1" t="n">
        <v>66</v>
      </c>
      <c r="C2635" s="2">
        <f>_xlfn.XLOOKUP(B2635,Results!$B$23:$B$119,Results!$D$23:$D$119)</f>
        <v/>
      </c>
      <c r="D2635" s="1" t="n">
        <v>12</v>
      </c>
      <c r="E2635" s="1" t="inlineStr">
        <is>
          <t>CHO</t>
        </is>
      </c>
      <c r="F2635" s="1" t="n">
        <v>2.3712</v>
      </c>
      <c r="G2635" s="1" t="n">
        <v>-0.001278</v>
      </c>
    </row>
    <row r="2636">
      <c r="A2636" s="2" t="inlineStr">
        <is>
          <t>F6</t>
        </is>
      </c>
      <c r="B2636" s="2" t="n">
        <v>66</v>
      </c>
      <c r="C2636" s="2">
        <f>_xlfn.XLOOKUP(B2636,Results!$B$23:$B$119,Results!$D$23:$D$119)</f>
        <v/>
      </c>
      <c r="D2636" s="2" t="n">
        <v>13</v>
      </c>
      <c r="E2636" s="2" t="inlineStr">
        <is>
          <t>CHO</t>
        </is>
      </c>
      <c r="F2636" s="2" t="n">
        <v>2.3783</v>
      </c>
      <c r="G2636" s="2" t="n">
        <v>-0.001544</v>
      </c>
    </row>
    <row r="2637">
      <c r="A2637" s="1" t="inlineStr">
        <is>
          <t>F6</t>
        </is>
      </c>
      <c r="B2637" s="1" t="n">
        <v>66</v>
      </c>
      <c r="C2637" s="2">
        <f>_xlfn.XLOOKUP(B2637,Results!$B$23:$B$119,Results!$D$23:$D$119)</f>
        <v/>
      </c>
      <c r="D2637" s="1" t="n">
        <v>14</v>
      </c>
      <c r="E2637" s="1" t="inlineStr">
        <is>
          <t>CHO</t>
        </is>
      </c>
      <c r="F2637" s="1" t="n">
        <v>2.3836</v>
      </c>
      <c r="G2637" s="1" t="n">
        <v>-0.003495</v>
      </c>
    </row>
    <row r="2638">
      <c r="A2638" s="2" t="inlineStr">
        <is>
          <t>F6</t>
        </is>
      </c>
      <c r="B2638" s="2" t="n">
        <v>66</v>
      </c>
      <c r="C2638" s="2">
        <f>_xlfn.XLOOKUP(B2638,Results!$B$23:$B$119,Results!$D$23:$D$119)</f>
        <v/>
      </c>
      <c r="D2638" s="2" t="n">
        <v>15</v>
      </c>
      <c r="E2638" s="2" t="inlineStr">
        <is>
          <t>CHO</t>
        </is>
      </c>
      <c r="F2638" s="2" t="n">
        <v>2.394</v>
      </c>
      <c r="G2638" s="2" t="n">
        <v>-0.00041</v>
      </c>
    </row>
    <row r="2639">
      <c r="A2639" s="1" t="inlineStr">
        <is>
          <t>F6</t>
        </is>
      </c>
      <c r="B2639" s="1" t="n">
        <v>66</v>
      </c>
      <c r="C2639" s="2">
        <f>_xlfn.XLOOKUP(B2639,Results!$B$23:$B$119,Results!$D$23:$D$119)</f>
        <v/>
      </c>
      <c r="D2639" s="1" t="n">
        <v>16</v>
      </c>
      <c r="E2639" s="1" t="inlineStr">
        <is>
          <t>CHO</t>
        </is>
      </c>
      <c r="F2639" s="1" t="n">
        <v>2.4093</v>
      </c>
      <c r="G2639" s="1" t="n">
        <v>0.007607</v>
      </c>
    </row>
    <row r="2640">
      <c r="A2640" s="2" t="inlineStr">
        <is>
          <t>F6</t>
        </is>
      </c>
      <c r="B2640" s="2" t="n">
        <v>66</v>
      </c>
      <c r="C2640" s="2">
        <f>_xlfn.XLOOKUP(B2640,Results!$B$23:$B$119,Results!$D$23:$D$119)</f>
        <v/>
      </c>
      <c r="D2640" s="2" t="n">
        <v>17</v>
      </c>
      <c r="E2640" s="2" t="inlineStr">
        <is>
          <t>CHO</t>
        </is>
      </c>
      <c r="F2640" s="2" t="n">
        <v>2.4319</v>
      </c>
      <c r="G2640" s="2" t="n">
        <v>0.022886</v>
      </c>
    </row>
    <row r="2641">
      <c r="A2641" s="1" t="inlineStr">
        <is>
          <t>F6</t>
        </is>
      </c>
      <c r="B2641" s="1" t="n">
        <v>66</v>
      </c>
      <c r="C2641" s="2">
        <f>_xlfn.XLOOKUP(B2641,Results!$B$23:$B$119,Results!$D$23:$D$119)</f>
        <v/>
      </c>
      <c r="D2641" s="1" t="n">
        <v>18</v>
      </c>
      <c r="E2641" s="1" t="inlineStr">
        <is>
          <t>CHO</t>
        </is>
      </c>
      <c r="F2641" s="1" t="n">
        <v>2.4739</v>
      </c>
      <c r="G2641" s="1" t="n">
        <v>0.057629</v>
      </c>
    </row>
    <row r="2642">
      <c r="A2642" s="2" t="inlineStr">
        <is>
          <t>F6</t>
        </is>
      </c>
      <c r="B2642" s="2" t="n">
        <v>66</v>
      </c>
      <c r="C2642" s="2">
        <f>_xlfn.XLOOKUP(B2642,Results!$B$23:$B$119,Results!$D$23:$D$119)</f>
        <v/>
      </c>
      <c r="D2642" s="2" t="n">
        <v>19</v>
      </c>
      <c r="E2642" s="2" t="inlineStr">
        <is>
          <t>CHO</t>
        </is>
      </c>
      <c r="F2642" s="2" t="n">
        <v>2.5491</v>
      </c>
      <c r="G2642" s="2" t="n">
        <v>0.125476</v>
      </c>
    </row>
    <row r="2643">
      <c r="A2643" s="1" t="inlineStr">
        <is>
          <t>F6</t>
        </is>
      </c>
      <c r="B2643" s="1" t="n">
        <v>66</v>
      </c>
      <c r="C2643" s="2">
        <f>_xlfn.XLOOKUP(B2643,Results!$B$23:$B$119,Results!$D$23:$D$119)</f>
        <v/>
      </c>
      <c r="D2643" s="1" t="n">
        <v>20</v>
      </c>
      <c r="E2643" s="1" t="inlineStr">
        <is>
          <t>CHO</t>
        </is>
      </c>
      <c r="F2643" s="1" t="n">
        <v>2.6793</v>
      </c>
      <c r="G2643" s="1" t="n">
        <v>0.248372</v>
      </c>
    </row>
    <row r="2644">
      <c r="A2644" s="2" t="inlineStr">
        <is>
          <t>F6</t>
        </is>
      </c>
      <c r="B2644" s="2" t="n">
        <v>66</v>
      </c>
      <c r="C2644" s="2">
        <f>_xlfn.XLOOKUP(B2644,Results!$B$23:$B$119,Results!$D$23:$D$119)</f>
        <v/>
      </c>
      <c r="D2644" s="2" t="n">
        <v>21</v>
      </c>
      <c r="E2644" s="2" t="inlineStr">
        <is>
          <t>CHO</t>
        </is>
      </c>
      <c r="F2644" s="2" t="n">
        <v>2.8968</v>
      </c>
      <c r="G2644" s="2" t="n">
        <v>0.458538</v>
      </c>
    </row>
    <row r="2645">
      <c r="A2645" s="1" t="inlineStr">
        <is>
          <t>F6</t>
        </is>
      </c>
      <c r="B2645" s="1" t="n">
        <v>66</v>
      </c>
      <c r="C2645" s="2">
        <f>_xlfn.XLOOKUP(B2645,Results!$B$23:$B$119,Results!$D$23:$D$119)</f>
        <v/>
      </c>
      <c r="D2645" s="1" t="n">
        <v>22</v>
      </c>
      <c r="E2645" s="1" t="inlineStr">
        <is>
          <t>CHO</t>
        </is>
      </c>
      <c r="F2645" s="1" t="n">
        <v>3.2177</v>
      </c>
      <c r="G2645" s="1" t="n">
        <v>0.772182</v>
      </c>
    </row>
    <row r="2646">
      <c r="A2646" s="2" t="inlineStr">
        <is>
          <t>F6</t>
        </is>
      </c>
      <c r="B2646" s="2" t="n">
        <v>66</v>
      </c>
      <c r="C2646" s="2">
        <f>_xlfn.XLOOKUP(B2646,Results!$B$23:$B$119,Results!$D$23:$D$119)</f>
        <v/>
      </c>
      <c r="D2646" s="2" t="n">
        <v>23</v>
      </c>
      <c r="E2646" s="2" t="inlineStr">
        <is>
          <t>CHO</t>
        </is>
      </c>
      <c r="F2646" s="2" t="n">
        <v>3.618</v>
      </c>
      <c r="G2646" s="2" t="n">
        <v>1.165208</v>
      </c>
    </row>
    <row r="2647">
      <c r="A2647" s="1" t="inlineStr">
        <is>
          <t>F6</t>
        </is>
      </c>
      <c r="B2647" s="1" t="n">
        <v>66</v>
      </c>
      <c r="C2647" s="2">
        <f>_xlfn.XLOOKUP(B2647,Results!$B$23:$B$119,Results!$D$23:$D$119)</f>
        <v/>
      </c>
      <c r="D2647" s="1" t="n">
        <v>24</v>
      </c>
      <c r="E2647" s="1" t="inlineStr">
        <is>
          <t>CHO</t>
        </is>
      </c>
      <c r="F2647" s="1" t="n">
        <v>4.0699</v>
      </c>
      <c r="G2647" s="1" t="n">
        <v>1.609778</v>
      </c>
    </row>
    <row r="2648">
      <c r="A2648" s="2" t="inlineStr">
        <is>
          <t>F6</t>
        </is>
      </c>
      <c r="B2648" s="2" t="n">
        <v>66</v>
      </c>
      <c r="C2648" s="2">
        <f>_xlfn.XLOOKUP(B2648,Results!$B$23:$B$119,Results!$D$23:$D$119)</f>
        <v/>
      </c>
      <c r="D2648" s="2" t="n">
        <v>25</v>
      </c>
      <c r="E2648" s="2" t="inlineStr">
        <is>
          <t>CHO</t>
        </is>
      </c>
      <c r="F2648" s="2" t="n">
        <v>4.5312</v>
      </c>
      <c r="G2648" s="2" t="n">
        <v>2.063749</v>
      </c>
    </row>
    <row r="2649">
      <c r="A2649" s="1" t="inlineStr">
        <is>
          <t>F6</t>
        </is>
      </c>
      <c r="B2649" s="1" t="n">
        <v>66</v>
      </c>
      <c r="C2649" s="2">
        <f>_xlfn.XLOOKUP(B2649,Results!$B$23:$B$119,Results!$D$23:$D$119)</f>
        <v/>
      </c>
      <c r="D2649" s="1" t="n">
        <v>26</v>
      </c>
      <c r="E2649" s="1" t="inlineStr">
        <is>
          <t>CHO</t>
        </is>
      </c>
      <c r="F2649" s="1" t="n">
        <v>4.9598</v>
      </c>
      <c r="G2649" s="1" t="n">
        <v>2.48508</v>
      </c>
    </row>
    <row r="2650">
      <c r="A2650" s="2" t="inlineStr">
        <is>
          <t>F6</t>
        </is>
      </c>
      <c r="B2650" s="2" t="n">
        <v>66</v>
      </c>
      <c r="C2650" s="2">
        <f>_xlfn.XLOOKUP(B2650,Results!$B$23:$B$119,Results!$D$23:$D$119)</f>
        <v/>
      </c>
      <c r="D2650" s="2" t="n">
        <v>27</v>
      </c>
      <c r="E2650" s="2" t="inlineStr">
        <is>
          <t>CHO</t>
        </is>
      </c>
      <c r="F2650" s="2" t="n">
        <v>5.3439</v>
      </c>
      <c r="G2650" s="2" t="n">
        <v>2.861869</v>
      </c>
    </row>
    <row r="2651">
      <c r="A2651" s="1" t="inlineStr">
        <is>
          <t>F6</t>
        </is>
      </c>
      <c r="B2651" s="1" t="n">
        <v>66</v>
      </c>
      <c r="C2651" s="2">
        <f>_xlfn.XLOOKUP(B2651,Results!$B$23:$B$119,Results!$D$23:$D$119)</f>
        <v/>
      </c>
      <c r="D2651" s="1" t="n">
        <v>28</v>
      </c>
      <c r="E2651" s="1" t="inlineStr">
        <is>
          <t>CHO</t>
        </is>
      </c>
      <c r="F2651" s="1" t="n">
        <v>5.679</v>
      </c>
      <c r="G2651" s="1" t="n">
        <v>3.189654</v>
      </c>
    </row>
    <row r="2652">
      <c r="A2652" s="2" t="inlineStr">
        <is>
          <t>F6</t>
        </is>
      </c>
      <c r="B2652" s="2" t="n">
        <v>66</v>
      </c>
      <c r="C2652" s="2">
        <f>_xlfn.XLOOKUP(B2652,Results!$B$23:$B$119,Results!$D$23:$D$119)</f>
        <v/>
      </c>
      <c r="D2652" s="2" t="n">
        <v>29</v>
      </c>
      <c r="E2652" s="2" t="inlineStr">
        <is>
          <t>CHO</t>
        </is>
      </c>
      <c r="F2652" s="2" t="n">
        <v>5.9813</v>
      </c>
      <c r="G2652" s="2" t="n">
        <v>3.484638</v>
      </c>
    </row>
    <row r="2653">
      <c r="A2653" s="1" t="inlineStr">
        <is>
          <t>F6</t>
        </is>
      </c>
      <c r="B2653" s="1" t="n">
        <v>66</v>
      </c>
      <c r="C2653" s="2">
        <f>_xlfn.XLOOKUP(B2653,Results!$B$23:$B$119,Results!$D$23:$D$119)</f>
        <v/>
      </c>
      <c r="D2653" s="1" t="n">
        <v>30</v>
      </c>
      <c r="E2653" s="1" t="inlineStr">
        <is>
          <t>CHO</t>
        </is>
      </c>
      <c r="F2653" s="1" t="n">
        <v>6.2359</v>
      </c>
      <c r="G2653" s="1" t="n">
        <v>3.732006</v>
      </c>
    </row>
    <row r="2654">
      <c r="A2654" s="2" t="inlineStr">
        <is>
          <t>F6</t>
        </is>
      </c>
      <c r="B2654" s="2" t="n">
        <v>66</v>
      </c>
      <c r="C2654" s="2">
        <f>_xlfn.XLOOKUP(B2654,Results!$B$23:$B$119,Results!$D$23:$D$119)</f>
        <v/>
      </c>
      <c r="D2654" s="2" t="n">
        <v>31</v>
      </c>
      <c r="E2654" s="2" t="inlineStr">
        <is>
          <t>CHO</t>
        </is>
      </c>
      <c r="F2654" s="2" t="n">
        <v>6.4772</v>
      </c>
      <c r="G2654" s="2" t="n">
        <v>3.965998</v>
      </c>
    </row>
    <row r="2655">
      <c r="A2655" s="1" t="inlineStr">
        <is>
          <t>F6</t>
        </is>
      </c>
      <c r="B2655" s="1" t="n">
        <v>66</v>
      </c>
      <c r="C2655" s="2">
        <f>_xlfn.XLOOKUP(B2655,Results!$B$23:$B$119,Results!$D$23:$D$119)</f>
        <v/>
      </c>
      <c r="D2655" s="1" t="n">
        <v>32</v>
      </c>
      <c r="E2655" s="1" t="inlineStr">
        <is>
          <t>CHO</t>
        </is>
      </c>
      <c r="F2655" s="1" t="n">
        <v>6.6676</v>
      </c>
      <c r="G2655" s="1" t="n">
        <v>4.149093</v>
      </c>
    </row>
    <row r="2656">
      <c r="A2656" s="2" t="inlineStr">
        <is>
          <t>F6</t>
        </is>
      </c>
      <c r="B2656" s="2" t="n">
        <v>66</v>
      </c>
      <c r="C2656" s="2">
        <f>_xlfn.XLOOKUP(B2656,Results!$B$23:$B$119,Results!$D$23:$D$119)</f>
        <v/>
      </c>
      <c r="D2656" s="2" t="n">
        <v>33</v>
      </c>
      <c r="E2656" s="2" t="inlineStr">
        <is>
          <t>CHO</t>
        </is>
      </c>
      <c r="F2656" s="2" t="n">
        <v>6.834</v>
      </c>
      <c r="G2656" s="2" t="n">
        <v>4.308147</v>
      </c>
    </row>
    <row r="2657">
      <c r="A2657" s="1" t="inlineStr">
        <is>
          <t>F6</t>
        </is>
      </c>
      <c r="B2657" s="1" t="n">
        <v>66</v>
      </c>
      <c r="C2657" s="2">
        <f>_xlfn.XLOOKUP(B2657,Results!$B$23:$B$119,Results!$D$23:$D$119)</f>
        <v/>
      </c>
      <c r="D2657" s="1" t="n">
        <v>34</v>
      </c>
      <c r="E2657" s="1" t="inlineStr">
        <is>
          <t>CHO</t>
        </is>
      </c>
      <c r="F2657" s="1" t="n">
        <v>6.9796</v>
      </c>
      <c r="G2657" s="1" t="n">
        <v>4.446481</v>
      </c>
    </row>
    <row r="2658">
      <c r="A2658" s="2" t="inlineStr">
        <is>
          <t>F6</t>
        </is>
      </c>
      <c r="B2658" s="2" t="n">
        <v>66</v>
      </c>
      <c r="C2658" s="2">
        <f>_xlfn.XLOOKUP(B2658,Results!$B$23:$B$119,Results!$D$23:$D$119)</f>
        <v/>
      </c>
      <c r="D2658" s="2" t="n">
        <v>35</v>
      </c>
      <c r="E2658" s="2" t="inlineStr">
        <is>
          <t>CHO</t>
        </is>
      </c>
      <c r="F2658" s="2" t="n">
        <v>7.1151</v>
      </c>
      <c r="G2658" s="2" t="n">
        <v>4.574697</v>
      </c>
    </row>
    <row r="2659">
      <c r="A2659" s="1" t="inlineStr">
        <is>
          <t>F6</t>
        </is>
      </c>
      <c r="B2659" s="1" t="n">
        <v>66</v>
      </c>
      <c r="C2659" s="2">
        <f>_xlfn.XLOOKUP(B2659,Results!$B$23:$B$119,Results!$D$23:$D$119)</f>
        <v/>
      </c>
      <c r="D2659" s="1" t="n">
        <v>36</v>
      </c>
      <c r="E2659" s="1" t="inlineStr">
        <is>
          <t>CHO</t>
        </is>
      </c>
      <c r="F2659" s="1" t="n">
        <v>7.222</v>
      </c>
      <c r="G2659" s="1" t="n">
        <v>4.67424</v>
      </c>
    </row>
    <row r="2660">
      <c r="A2660" s="2" t="inlineStr">
        <is>
          <t>F6</t>
        </is>
      </c>
      <c r="B2660" s="2" t="n">
        <v>66</v>
      </c>
      <c r="C2660" s="2">
        <f>_xlfn.XLOOKUP(B2660,Results!$B$23:$B$119,Results!$D$23:$D$119)</f>
        <v/>
      </c>
      <c r="D2660" s="2" t="n">
        <v>37</v>
      </c>
      <c r="E2660" s="2" t="inlineStr">
        <is>
          <t>CHO</t>
        </is>
      </c>
      <c r="F2660" s="2" t="n">
        <v>7.3094</v>
      </c>
      <c r="G2660" s="2" t="n">
        <v>4.754374</v>
      </c>
    </row>
    <row r="2661">
      <c r="A2661" s="1" t="inlineStr">
        <is>
          <t>F6</t>
        </is>
      </c>
      <c r="B2661" s="1" t="n">
        <v>66</v>
      </c>
      <c r="C2661" s="2">
        <f>_xlfn.XLOOKUP(B2661,Results!$B$23:$B$119,Results!$D$23:$D$119)</f>
        <v/>
      </c>
      <c r="D2661" s="1" t="n">
        <v>38</v>
      </c>
      <c r="E2661" s="1" t="inlineStr">
        <is>
          <t>CHO</t>
        </is>
      </c>
      <c r="F2661" s="1" t="n">
        <v>7.3937</v>
      </c>
      <c r="G2661" s="1" t="n">
        <v>4.831345</v>
      </c>
    </row>
    <row r="2662">
      <c r="A2662" s="2" t="inlineStr">
        <is>
          <t>F6</t>
        </is>
      </c>
      <c r="B2662" s="2" t="n">
        <v>66</v>
      </c>
      <c r="C2662" s="2">
        <f>_xlfn.XLOOKUP(B2662,Results!$B$23:$B$119,Results!$D$23:$D$119)</f>
        <v/>
      </c>
      <c r="D2662" s="2" t="n">
        <v>39</v>
      </c>
      <c r="E2662" s="2" t="inlineStr">
        <is>
          <t>CHO</t>
        </is>
      </c>
      <c r="F2662" s="2" t="n">
        <v>7.4676</v>
      </c>
      <c r="G2662" s="2" t="n">
        <v>4.897991</v>
      </c>
    </row>
    <row r="2663">
      <c r="A2663" s="1" t="inlineStr">
        <is>
          <t>F6</t>
        </is>
      </c>
      <c r="B2663" s="1" t="n">
        <v>66</v>
      </c>
      <c r="C2663" s="2">
        <f>_xlfn.XLOOKUP(B2663,Results!$B$23:$B$119,Results!$D$23:$D$119)</f>
        <v/>
      </c>
      <c r="D2663" s="1" t="n">
        <v>40</v>
      </c>
      <c r="E2663" s="1" t="inlineStr">
        <is>
          <t>CHO</t>
        </is>
      </c>
      <c r="F2663" s="1" t="n">
        <v>7.5271</v>
      </c>
      <c r="G2663" s="1" t="n">
        <v>4.950159</v>
      </c>
    </row>
    <row r="2664">
      <c r="A2664" s="2" t="inlineStr">
        <is>
          <t>F7</t>
        </is>
      </c>
      <c r="B2664" s="2" t="n">
        <v>67</v>
      </c>
      <c r="C2664" s="2">
        <f>_xlfn.XLOOKUP(B2664,Results!$B$23:$B$119,Results!$D$23:$D$119)</f>
        <v/>
      </c>
      <c r="D2664" s="2" t="n">
        <v>1</v>
      </c>
      <c r="E2664" s="2" t="inlineStr"/>
      <c r="F2664" s="2" t="inlineStr"/>
      <c r="G2664" s="2" t="inlineStr"/>
    </row>
    <row r="2665">
      <c r="A2665" s="1" t="inlineStr">
        <is>
          <t>F7</t>
        </is>
      </c>
      <c r="B2665" s="1" t="n">
        <v>67</v>
      </c>
      <c r="C2665" s="2">
        <f>_xlfn.XLOOKUP(B2665,Results!$B$23:$B$119,Results!$D$23:$D$119)</f>
        <v/>
      </c>
      <c r="D2665" s="1" t="n">
        <v>2</v>
      </c>
      <c r="E2665" s="1" t="inlineStr"/>
      <c r="F2665" s="1" t="inlineStr"/>
      <c r="G2665" s="1" t="inlineStr"/>
    </row>
    <row r="2666">
      <c r="A2666" s="2" t="inlineStr">
        <is>
          <t>F7</t>
        </is>
      </c>
      <c r="B2666" s="2" t="n">
        <v>67</v>
      </c>
      <c r="C2666" s="2">
        <f>_xlfn.XLOOKUP(B2666,Results!$B$23:$B$119,Results!$D$23:$D$119)</f>
        <v/>
      </c>
      <c r="D2666" s="2" t="n">
        <v>3</v>
      </c>
      <c r="E2666" s="2" t="inlineStr"/>
      <c r="F2666" s="2" t="inlineStr"/>
      <c r="G2666" s="2" t="inlineStr"/>
    </row>
    <row r="2667">
      <c r="A2667" s="1" t="inlineStr">
        <is>
          <t>F7</t>
        </is>
      </c>
      <c r="B2667" s="1" t="n">
        <v>67</v>
      </c>
      <c r="C2667" s="2">
        <f>_xlfn.XLOOKUP(B2667,Results!$B$23:$B$119,Results!$D$23:$D$119)</f>
        <v/>
      </c>
      <c r="D2667" s="1" t="n">
        <v>4</v>
      </c>
      <c r="E2667" s="1" t="inlineStr"/>
      <c r="F2667" s="1" t="inlineStr"/>
      <c r="G2667" s="1" t="inlineStr"/>
    </row>
    <row r="2668">
      <c r="A2668" s="2" t="inlineStr">
        <is>
          <t>F7</t>
        </is>
      </c>
      <c r="B2668" s="2" t="n">
        <v>67</v>
      </c>
      <c r="C2668" s="2">
        <f>_xlfn.XLOOKUP(B2668,Results!$B$23:$B$119,Results!$D$23:$D$119)</f>
        <v/>
      </c>
      <c r="D2668" s="2" t="n">
        <v>5</v>
      </c>
      <c r="E2668" s="2" t="inlineStr"/>
      <c r="F2668" s="2" t="inlineStr"/>
      <c r="G2668" s="2" t="inlineStr"/>
    </row>
    <row r="2669">
      <c r="A2669" s="1" t="inlineStr">
        <is>
          <t>F7</t>
        </is>
      </c>
      <c r="B2669" s="1" t="n">
        <v>67</v>
      </c>
      <c r="C2669" s="2">
        <f>_xlfn.XLOOKUP(B2669,Results!$B$23:$B$119,Results!$D$23:$D$119)</f>
        <v/>
      </c>
      <c r="D2669" s="1" t="n">
        <v>6</v>
      </c>
      <c r="E2669" s="1" t="inlineStr"/>
      <c r="F2669" s="1" t="inlineStr"/>
      <c r="G2669" s="1" t="inlineStr"/>
    </row>
    <row r="2670">
      <c r="A2670" s="2" t="inlineStr">
        <is>
          <t>F7</t>
        </is>
      </c>
      <c r="B2670" s="2" t="n">
        <v>67</v>
      </c>
      <c r="C2670" s="2">
        <f>_xlfn.XLOOKUP(B2670,Results!$B$23:$B$119,Results!$D$23:$D$119)</f>
        <v/>
      </c>
      <c r="D2670" s="2" t="n">
        <v>7</v>
      </c>
      <c r="E2670" s="2" t="inlineStr"/>
      <c r="F2670" s="2" t="inlineStr"/>
      <c r="G2670" s="2" t="inlineStr"/>
    </row>
    <row r="2671">
      <c r="A2671" s="1" t="inlineStr">
        <is>
          <t>F7</t>
        </is>
      </c>
      <c r="B2671" s="1" t="n">
        <v>67</v>
      </c>
      <c r="C2671" s="2">
        <f>_xlfn.XLOOKUP(B2671,Results!$B$23:$B$119,Results!$D$23:$D$119)</f>
        <v/>
      </c>
      <c r="D2671" s="1" t="n">
        <v>8</v>
      </c>
      <c r="E2671" s="1" t="inlineStr"/>
      <c r="F2671" s="1" t="inlineStr"/>
      <c r="G2671" s="1" t="inlineStr"/>
    </row>
    <row r="2672">
      <c r="A2672" s="2" t="inlineStr">
        <is>
          <t>F7</t>
        </is>
      </c>
      <c r="B2672" s="2" t="n">
        <v>67</v>
      </c>
      <c r="C2672" s="2">
        <f>_xlfn.XLOOKUP(B2672,Results!$B$23:$B$119,Results!$D$23:$D$119)</f>
        <v/>
      </c>
      <c r="D2672" s="2" t="n">
        <v>9</v>
      </c>
      <c r="E2672" s="2" t="inlineStr"/>
      <c r="F2672" s="2" t="inlineStr"/>
      <c r="G2672" s="2" t="inlineStr"/>
    </row>
    <row r="2673">
      <c r="A2673" s="1" t="inlineStr">
        <is>
          <t>F7</t>
        </is>
      </c>
      <c r="B2673" s="1" t="n">
        <v>67</v>
      </c>
      <c r="C2673" s="2">
        <f>_xlfn.XLOOKUP(B2673,Results!$B$23:$B$119,Results!$D$23:$D$119)</f>
        <v/>
      </c>
      <c r="D2673" s="1" t="n">
        <v>10</v>
      </c>
      <c r="E2673" s="1" t="inlineStr"/>
      <c r="F2673" s="1" t="inlineStr"/>
      <c r="G2673" s="1" t="inlineStr"/>
    </row>
    <row r="2674">
      <c r="A2674" s="2" t="inlineStr">
        <is>
          <t>F7</t>
        </is>
      </c>
      <c r="B2674" s="2" t="n">
        <v>67</v>
      </c>
      <c r="C2674" s="2">
        <f>_xlfn.XLOOKUP(B2674,Results!$B$23:$B$119,Results!$D$23:$D$119)</f>
        <v/>
      </c>
      <c r="D2674" s="2" t="n">
        <v>11</v>
      </c>
      <c r="E2674" s="2" t="inlineStr"/>
      <c r="F2674" s="2" t="inlineStr"/>
      <c r="G2674" s="2" t="inlineStr"/>
    </row>
    <row r="2675">
      <c r="A2675" s="1" t="inlineStr">
        <is>
          <t>F7</t>
        </is>
      </c>
      <c r="B2675" s="1" t="n">
        <v>67</v>
      </c>
      <c r="C2675" s="2">
        <f>_xlfn.XLOOKUP(B2675,Results!$B$23:$B$119,Results!$D$23:$D$119)</f>
        <v/>
      </c>
      <c r="D2675" s="1" t="n">
        <v>12</v>
      </c>
      <c r="E2675" s="1" t="inlineStr"/>
      <c r="F2675" s="1" t="inlineStr"/>
      <c r="G2675" s="1" t="inlineStr"/>
    </row>
    <row r="2676">
      <c r="A2676" s="2" t="inlineStr">
        <is>
          <t>F7</t>
        </is>
      </c>
      <c r="B2676" s="2" t="n">
        <v>67</v>
      </c>
      <c r="C2676" s="2">
        <f>_xlfn.XLOOKUP(B2676,Results!$B$23:$B$119,Results!$D$23:$D$119)</f>
        <v/>
      </c>
      <c r="D2676" s="2" t="n">
        <v>13</v>
      </c>
      <c r="E2676" s="2" t="inlineStr"/>
      <c r="F2676" s="2" t="inlineStr"/>
      <c r="G2676" s="2" t="inlineStr"/>
    </row>
    <row r="2677">
      <c r="A2677" s="1" t="inlineStr">
        <is>
          <t>F7</t>
        </is>
      </c>
      <c r="B2677" s="1" t="n">
        <v>67</v>
      </c>
      <c r="C2677" s="2">
        <f>_xlfn.XLOOKUP(B2677,Results!$B$23:$B$119,Results!$D$23:$D$119)</f>
        <v/>
      </c>
      <c r="D2677" s="1" t="n">
        <v>14</v>
      </c>
      <c r="E2677" s="1" t="inlineStr"/>
      <c r="F2677" s="1" t="inlineStr"/>
      <c r="G2677" s="1" t="inlineStr"/>
    </row>
    <row r="2678">
      <c r="A2678" s="2" t="inlineStr">
        <is>
          <t>F7</t>
        </is>
      </c>
      <c r="B2678" s="2" t="n">
        <v>67</v>
      </c>
      <c r="C2678" s="2">
        <f>_xlfn.XLOOKUP(B2678,Results!$B$23:$B$119,Results!$D$23:$D$119)</f>
        <v/>
      </c>
      <c r="D2678" s="2" t="n">
        <v>15</v>
      </c>
      <c r="E2678" s="2" t="inlineStr"/>
      <c r="F2678" s="2" t="inlineStr"/>
      <c r="G2678" s="2" t="inlineStr"/>
    </row>
    <row r="2679">
      <c r="A2679" s="1" t="inlineStr">
        <is>
          <t>F7</t>
        </is>
      </c>
      <c r="B2679" s="1" t="n">
        <v>67</v>
      </c>
      <c r="C2679" s="2">
        <f>_xlfn.XLOOKUP(B2679,Results!$B$23:$B$119,Results!$D$23:$D$119)</f>
        <v/>
      </c>
      <c r="D2679" s="1" t="n">
        <v>16</v>
      </c>
      <c r="E2679" s="1" t="inlineStr"/>
      <c r="F2679" s="1" t="inlineStr"/>
      <c r="G2679" s="1" t="inlineStr"/>
    </row>
    <row r="2680">
      <c r="A2680" s="2" t="inlineStr">
        <is>
          <t>F7</t>
        </is>
      </c>
      <c r="B2680" s="2" t="n">
        <v>67</v>
      </c>
      <c r="C2680" s="2">
        <f>_xlfn.XLOOKUP(B2680,Results!$B$23:$B$119,Results!$D$23:$D$119)</f>
        <v/>
      </c>
      <c r="D2680" s="2" t="n">
        <v>17</v>
      </c>
      <c r="E2680" s="2" t="inlineStr"/>
      <c r="F2680" s="2" t="inlineStr"/>
      <c r="G2680" s="2" t="inlineStr"/>
    </row>
    <row r="2681">
      <c r="A2681" s="1" t="inlineStr">
        <is>
          <t>F7</t>
        </is>
      </c>
      <c r="B2681" s="1" t="n">
        <v>67</v>
      </c>
      <c r="C2681" s="2">
        <f>_xlfn.XLOOKUP(B2681,Results!$B$23:$B$119,Results!$D$23:$D$119)</f>
        <v/>
      </c>
      <c r="D2681" s="1" t="n">
        <v>18</v>
      </c>
      <c r="E2681" s="1" t="inlineStr"/>
      <c r="F2681" s="1" t="inlineStr"/>
      <c r="G2681" s="1" t="inlineStr"/>
    </row>
    <row r="2682">
      <c r="A2682" s="2" t="inlineStr">
        <is>
          <t>F7</t>
        </is>
      </c>
      <c r="B2682" s="2" t="n">
        <v>67</v>
      </c>
      <c r="C2682" s="2">
        <f>_xlfn.XLOOKUP(B2682,Results!$B$23:$B$119,Results!$D$23:$D$119)</f>
        <v/>
      </c>
      <c r="D2682" s="2" t="n">
        <v>19</v>
      </c>
      <c r="E2682" s="2" t="inlineStr"/>
      <c r="F2682" s="2" t="inlineStr"/>
      <c r="G2682" s="2" t="inlineStr"/>
    </row>
    <row r="2683">
      <c r="A2683" s="1" t="inlineStr">
        <is>
          <t>F7</t>
        </is>
      </c>
      <c r="B2683" s="1" t="n">
        <v>67</v>
      </c>
      <c r="C2683" s="2">
        <f>_xlfn.XLOOKUP(B2683,Results!$B$23:$B$119,Results!$D$23:$D$119)</f>
        <v/>
      </c>
      <c r="D2683" s="1" t="n">
        <v>20</v>
      </c>
      <c r="E2683" s="1" t="inlineStr"/>
      <c r="F2683" s="1" t="inlineStr"/>
      <c r="G2683" s="1" t="inlineStr"/>
    </row>
    <row r="2684">
      <c r="A2684" s="2" t="inlineStr">
        <is>
          <t>F7</t>
        </is>
      </c>
      <c r="B2684" s="2" t="n">
        <v>67</v>
      </c>
      <c r="C2684" s="2">
        <f>_xlfn.XLOOKUP(B2684,Results!$B$23:$B$119,Results!$D$23:$D$119)</f>
        <v/>
      </c>
      <c r="D2684" s="2" t="n">
        <v>21</v>
      </c>
      <c r="E2684" s="2" t="inlineStr"/>
      <c r="F2684" s="2" t="inlineStr"/>
      <c r="G2684" s="2" t="inlineStr"/>
    </row>
    <row r="2685">
      <c r="A2685" s="1" t="inlineStr">
        <is>
          <t>F7</t>
        </is>
      </c>
      <c r="B2685" s="1" t="n">
        <v>67</v>
      </c>
      <c r="C2685" s="2">
        <f>_xlfn.XLOOKUP(B2685,Results!$B$23:$B$119,Results!$D$23:$D$119)</f>
        <v/>
      </c>
      <c r="D2685" s="1" t="n">
        <v>22</v>
      </c>
      <c r="E2685" s="1" t="inlineStr"/>
      <c r="F2685" s="1" t="inlineStr"/>
      <c r="G2685" s="1" t="inlineStr"/>
    </row>
    <row r="2686">
      <c r="A2686" s="2" t="inlineStr">
        <is>
          <t>F7</t>
        </is>
      </c>
      <c r="B2686" s="2" t="n">
        <v>67</v>
      </c>
      <c r="C2686" s="2">
        <f>_xlfn.XLOOKUP(B2686,Results!$B$23:$B$119,Results!$D$23:$D$119)</f>
        <v/>
      </c>
      <c r="D2686" s="2" t="n">
        <v>23</v>
      </c>
      <c r="E2686" s="2" t="inlineStr"/>
      <c r="F2686" s="2" t="inlineStr"/>
      <c r="G2686" s="2" t="inlineStr"/>
    </row>
    <row r="2687">
      <c r="A2687" s="1" t="inlineStr">
        <is>
          <t>F7</t>
        </is>
      </c>
      <c r="B2687" s="1" t="n">
        <v>67</v>
      </c>
      <c r="C2687" s="2">
        <f>_xlfn.XLOOKUP(B2687,Results!$B$23:$B$119,Results!$D$23:$D$119)</f>
        <v/>
      </c>
      <c r="D2687" s="1" t="n">
        <v>24</v>
      </c>
      <c r="E2687" s="1" t="inlineStr"/>
      <c r="F2687" s="1" t="inlineStr"/>
      <c r="G2687" s="1" t="inlineStr"/>
    </row>
    <row r="2688">
      <c r="A2688" s="2" t="inlineStr">
        <is>
          <t>F7</t>
        </is>
      </c>
      <c r="B2688" s="2" t="n">
        <v>67</v>
      </c>
      <c r="C2688" s="2">
        <f>_xlfn.XLOOKUP(B2688,Results!$B$23:$B$119,Results!$D$23:$D$119)</f>
        <v/>
      </c>
      <c r="D2688" s="2" t="n">
        <v>25</v>
      </c>
      <c r="E2688" s="2" t="inlineStr"/>
      <c r="F2688" s="2" t="inlineStr"/>
      <c r="G2688" s="2" t="inlineStr"/>
    </row>
    <row r="2689">
      <c r="A2689" s="1" t="inlineStr">
        <is>
          <t>F7</t>
        </is>
      </c>
      <c r="B2689" s="1" t="n">
        <v>67</v>
      </c>
      <c r="C2689" s="2">
        <f>_xlfn.XLOOKUP(B2689,Results!$B$23:$B$119,Results!$D$23:$D$119)</f>
        <v/>
      </c>
      <c r="D2689" s="1" t="n">
        <v>26</v>
      </c>
      <c r="E2689" s="1" t="inlineStr"/>
      <c r="F2689" s="1" t="inlineStr"/>
      <c r="G2689" s="1" t="inlineStr"/>
    </row>
    <row r="2690">
      <c r="A2690" s="2" t="inlineStr">
        <is>
          <t>F7</t>
        </is>
      </c>
      <c r="B2690" s="2" t="n">
        <v>67</v>
      </c>
      <c r="C2690" s="2">
        <f>_xlfn.XLOOKUP(B2690,Results!$B$23:$B$119,Results!$D$23:$D$119)</f>
        <v/>
      </c>
      <c r="D2690" s="2" t="n">
        <v>27</v>
      </c>
      <c r="E2690" s="2" t="inlineStr"/>
      <c r="F2690" s="2" t="inlineStr"/>
      <c r="G2690" s="2" t="inlineStr"/>
    </row>
    <row r="2691">
      <c r="A2691" s="1" t="inlineStr">
        <is>
          <t>F7</t>
        </is>
      </c>
      <c r="B2691" s="1" t="n">
        <v>67</v>
      </c>
      <c r="C2691" s="2">
        <f>_xlfn.XLOOKUP(B2691,Results!$B$23:$B$119,Results!$D$23:$D$119)</f>
        <v/>
      </c>
      <c r="D2691" s="1" t="n">
        <v>28</v>
      </c>
      <c r="E2691" s="1" t="inlineStr"/>
      <c r="F2691" s="1" t="inlineStr"/>
      <c r="G2691" s="1" t="inlineStr"/>
    </row>
    <row r="2692">
      <c r="A2692" s="2" t="inlineStr">
        <is>
          <t>F7</t>
        </is>
      </c>
      <c r="B2692" s="2" t="n">
        <v>67</v>
      </c>
      <c r="C2692" s="2">
        <f>_xlfn.XLOOKUP(B2692,Results!$B$23:$B$119,Results!$D$23:$D$119)</f>
        <v/>
      </c>
      <c r="D2692" s="2" t="n">
        <v>29</v>
      </c>
      <c r="E2692" s="2" t="inlineStr"/>
      <c r="F2692" s="2" t="inlineStr"/>
      <c r="G2692" s="2" t="inlineStr"/>
    </row>
    <row r="2693">
      <c r="A2693" s="1" t="inlineStr">
        <is>
          <t>F7</t>
        </is>
      </c>
      <c r="B2693" s="1" t="n">
        <v>67</v>
      </c>
      <c r="C2693" s="2">
        <f>_xlfn.XLOOKUP(B2693,Results!$B$23:$B$119,Results!$D$23:$D$119)</f>
        <v/>
      </c>
      <c r="D2693" s="1" t="n">
        <v>30</v>
      </c>
      <c r="E2693" s="1" t="inlineStr"/>
      <c r="F2693" s="1" t="inlineStr"/>
      <c r="G2693" s="1" t="inlineStr"/>
    </row>
    <row r="2694">
      <c r="A2694" s="2" t="inlineStr">
        <is>
          <t>F7</t>
        </is>
      </c>
      <c r="B2694" s="2" t="n">
        <v>67</v>
      </c>
      <c r="C2694" s="2">
        <f>_xlfn.XLOOKUP(B2694,Results!$B$23:$B$119,Results!$D$23:$D$119)</f>
        <v/>
      </c>
      <c r="D2694" s="2" t="n">
        <v>31</v>
      </c>
      <c r="E2694" s="2" t="inlineStr"/>
      <c r="F2694" s="2" t="inlineStr"/>
      <c r="G2694" s="2" t="inlineStr"/>
    </row>
    <row r="2695">
      <c r="A2695" s="1" t="inlineStr">
        <is>
          <t>F7</t>
        </is>
      </c>
      <c r="B2695" s="1" t="n">
        <v>67</v>
      </c>
      <c r="C2695" s="2">
        <f>_xlfn.XLOOKUP(B2695,Results!$B$23:$B$119,Results!$D$23:$D$119)</f>
        <v/>
      </c>
      <c r="D2695" s="1" t="n">
        <v>32</v>
      </c>
      <c r="E2695" s="1" t="inlineStr"/>
      <c r="F2695" s="1" t="inlineStr"/>
      <c r="G2695" s="1" t="inlineStr"/>
    </row>
    <row r="2696">
      <c r="A2696" s="2" t="inlineStr">
        <is>
          <t>F7</t>
        </is>
      </c>
      <c r="B2696" s="2" t="n">
        <v>67</v>
      </c>
      <c r="C2696" s="2">
        <f>_xlfn.XLOOKUP(B2696,Results!$B$23:$B$119,Results!$D$23:$D$119)</f>
        <v/>
      </c>
      <c r="D2696" s="2" t="n">
        <v>33</v>
      </c>
      <c r="E2696" s="2" t="inlineStr"/>
      <c r="F2696" s="2" t="inlineStr"/>
      <c r="G2696" s="2" t="inlineStr"/>
    </row>
    <row r="2697">
      <c r="A2697" s="1" t="inlineStr">
        <is>
          <t>F7</t>
        </is>
      </c>
      <c r="B2697" s="1" t="n">
        <v>67</v>
      </c>
      <c r="C2697" s="2">
        <f>_xlfn.XLOOKUP(B2697,Results!$B$23:$B$119,Results!$D$23:$D$119)</f>
        <v/>
      </c>
      <c r="D2697" s="1" t="n">
        <v>34</v>
      </c>
      <c r="E2697" s="1" t="inlineStr"/>
      <c r="F2697" s="1" t="inlineStr"/>
      <c r="G2697" s="1" t="inlineStr"/>
    </row>
    <row r="2698">
      <c r="A2698" s="2" t="inlineStr">
        <is>
          <t>F7</t>
        </is>
      </c>
      <c r="B2698" s="2" t="n">
        <v>67</v>
      </c>
      <c r="C2698" s="2">
        <f>_xlfn.XLOOKUP(B2698,Results!$B$23:$B$119,Results!$D$23:$D$119)</f>
        <v/>
      </c>
      <c r="D2698" s="2" t="n">
        <v>35</v>
      </c>
      <c r="E2698" s="2" t="inlineStr"/>
      <c r="F2698" s="2" t="inlineStr"/>
      <c r="G2698" s="2" t="inlineStr"/>
    </row>
    <row r="2699">
      <c r="A2699" s="1" t="inlineStr">
        <is>
          <t>F7</t>
        </is>
      </c>
      <c r="B2699" s="1" t="n">
        <v>67</v>
      </c>
      <c r="C2699" s="2">
        <f>_xlfn.XLOOKUP(B2699,Results!$B$23:$B$119,Results!$D$23:$D$119)</f>
        <v/>
      </c>
      <c r="D2699" s="1" t="n">
        <v>36</v>
      </c>
      <c r="E2699" s="1" t="inlineStr"/>
      <c r="F2699" s="1" t="inlineStr"/>
      <c r="G2699" s="1" t="inlineStr"/>
    </row>
    <row r="2700">
      <c r="A2700" s="2" t="inlineStr">
        <is>
          <t>F7</t>
        </is>
      </c>
      <c r="B2700" s="2" t="n">
        <v>67</v>
      </c>
      <c r="C2700" s="2">
        <f>_xlfn.XLOOKUP(B2700,Results!$B$23:$B$119,Results!$D$23:$D$119)</f>
        <v/>
      </c>
      <c r="D2700" s="2" t="n">
        <v>37</v>
      </c>
      <c r="E2700" s="2" t="inlineStr"/>
      <c r="F2700" s="2" t="inlineStr"/>
      <c r="G2700" s="2" t="inlineStr"/>
    </row>
    <row r="2701">
      <c r="A2701" s="1" t="inlineStr">
        <is>
          <t>F7</t>
        </is>
      </c>
      <c r="B2701" s="1" t="n">
        <v>67</v>
      </c>
      <c r="C2701" s="2">
        <f>_xlfn.XLOOKUP(B2701,Results!$B$23:$B$119,Results!$D$23:$D$119)</f>
        <v/>
      </c>
      <c r="D2701" s="1" t="n">
        <v>38</v>
      </c>
      <c r="E2701" s="1" t="inlineStr"/>
      <c r="F2701" s="1" t="inlineStr"/>
      <c r="G2701" s="1" t="inlineStr"/>
    </row>
    <row r="2702">
      <c r="A2702" s="2" t="inlineStr">
        <is>
          <t>F7</t>
        </is>
      </c>
      <c r="B2702" s="2" t="n">
        <v>67</v>
      </c>
      <c r="C2702" s="2">
        <f>_xlfn.XLOOKUP(B2702,Results!$B$23:$B$119,Results!$D$23:$D$119)</f>
        <v/>
      </c>
      <c r="D2702" s="2" t="n">
        <v>39</v>
      </c>
      <c r="E2702" s="2" t="inlineStr"/>
      <c r="F2702" s="2" t="inlineStr"/>
      <c r="G2702" s="2" t="inlineStr"/>
    </row>
    <row r="2703">
      <c r="A2703" s="1" t="inlineStr">
        <is>
          <t>F7</t>
        </is>
      </c>
      <c r="B2703" s="1" t="n">
        <v>67</v>
      </c>
      <c r="C2703" s="2">
        <f>_xlfn.XLOOKUP(B2703,Results!$B$23:$B$119,Results!$D$23:$D$119)</f>
        <v/>
      </c>
      <c r="D2703" s="1" t="n">
        <v>40</v>
      </c>
      <c r="E2703" s="1" t="inlineStr"/>
      <c r="F2703" s="1" t="inlineStr"/>
      <c r="G2703" s="1" t="inlineStr"/>
    </row>
    <row r="2704">
      <c r="A2704" s="2" t="inlineStr">
        <is>
          <t>F8</t>
        </is>
      </c>
      <c r="B2704" s="2" t="n">
        <v>68</v>
      </c>
      <c r="C2704" s="2">
        <f>_xlfn.XLOOKUP(B2704,Results!$B$23:$B$119,Results!$D$23:$D$119)</f>
        <v/>
      </c>
      <c r="D2704" s="2" t="n">
        <v>1</v>
      </c>
      <c r="E2704" s="2" t="inlineStr"/>
      <c r="F2704" s="2" t="inlineStr"/>
      <c r="G2704" s="2" t="inlineStr"/>
    </row>
    <row r="2705">
      <c r="A2705" s="1" t="inlineStr">
        <is>
          <t>F8</t>
        </is>
      </c>
      <c r="B2705" s="1" t="n">
        <v>68</v>
      </c>
      <c r="C2705" s="2">
        <f>_xlfn.XLOOKUP(B2705,Results!$B$23:$B$119,Results!$D$23:$D$119)</f>
        <v/>
      </c>
      <c r="D2705" s="1" t="n">
        <v>2</v>
      </c>
      <c r="E2705" s="1" t="inlineStr"/>
      <c r="F2705" s="1" t="inlineStr"/>
      <c r="G2705" s="1" t="inlineStr"/>
    </row>
    <row r="2706">
      <c r="A2706" s="2" t="inlineStr">
        <is>
          <t>F8</t>
        </is>
      </c>
      <c r="B2706" s="2" t="n">
        <v>68</v>
      </c>
      <c r="C2706" s="2">
        <f>_xlfn.XLOOKUP(B2706,Results!$B$23:$B$119,Results!$D$23:$D$119)</f>
        <v/>
      </c>
      <c r="D2706" s="2" t="n">
        <v>3</v>
      </c>
      <c r="E2706" s="2" t="inlineStr"/>
      <c r="F2706" s="2" t="inlineStr"/>
      <c r="G2706" s="2" t="inlineStr"/>
    </row>
    <row r="2707">
      <c r="A2707" s="1" t="inlineStr">
        <is>
          <t>F8</t>
        </is>
      </c>
      <c r="B2707" s="1" t="n">
        <v>68</v>
      </c>
      <c r="C2707" s="2">
        <f>_xlfn.XLOOKUP(B2707,Results!$B$23:$B$119,Results!$D$23:$D$119)</f>
        <v/>
      </c>
      <c r="D2707" s="1" t="n">
        <v>4</v>
      </c>
      <c r="E2707" s="1" t="inlineStr"/>
      <c r="F2707" s="1" t="inlineStr"/>
      <c r="G2707" s="1" t="inlineStr"/>
    </row>
    <row r="2708">
      <c r="A2708" s="2" t="inlineStr">
        <is>
          <t>F8</t>
        </is>
      </c>
      <c r="B2708" s="2" t="n">
        <v>68</v>
      </c>
      <c r="C2708" s="2">
        <f>_xlfn.XLOOKUP(B2708,Results!$B$23:$B$119,Results!$D$23:$D$119)</f>
        <v/>
      </c>
      <c r="D2708" s="2" t="n">
        <v>5</v>
      </c>
      <c r="E2708" s="2" t="inlineStr"/>
      <c r="F2708" s="2" t="inlineStr"/>
      <c r="G2708" s="2" t="inlineStr"/>
    </row>
    <row r="2709">
      <c r="A2709" s="1" t="inlineStr">
        <is>
          <t>F8</t>
        </is>
      </c>
      <c r="B2709" s="1" t="n">
        <v>68</v>
      </c>
      <c r="C2709" s="2">
        <f>_xlfn.XLOOKUP(B2709,Results!$B$23:$B$119,Results!$D$23:$D$119)</f>
        <v/>
      </c>
      <c r="D2709" s="1" t="n">
        <v>6</v>
      </c>
      <c r="E2709" s="1" t="inlineStr"/>
      <c r="F2709" s="1" t="inlineStr"/>
      <c r="G2709" s="1" t="inlineStr"/>
    </row>
    <row r="2710">
      <c r="A2710" s="2" t="inlineStr">
        <is>
          <t>F8</t>
        </is>
      </c>
      <c r="B2710" s="2" t="n">
        <v>68</v>
      </c>
      <c r="C2710" s="2">
        <f>_xlfn.XLOOKUP(B2710,Results!$B$23:$B$119,Results!$D$23:$D$119)</f>
        <v/>
      </c>
      <c r="D2710" s="2" t="n">
        <v>7</v>
      </c>
      <c r="E2710" s="2" t="inlineStr"/>
      <c r="F2710" s="2" t="inlineStr"/>
      <c r="G2710" s="2" t="inlineStr"/>
    </row>
    <row r="2711">
      <c r="A2711" s="1" t="inlineStr">
        <is>
          <t>F8</t>
        </is>
      </c>
      <c r="B2711" s="1" t="n">
        <v>68</v>
      </c>
      <c r="C2711" s="2">
        <f>_xlfn.XLOOKUP(B2711,Results!$B$23:$B$119,Results!$D$23:$D$119)</f>
        <v/>
      </c>
      <c r="D2711" s="1" t="n">
        <v>8</v>
      </c>
      <c r="E2711" s="1" t="inlineStr"/>
      <c r="F2711" s="1" t="inlineStr"/>
      <c r="G2711" s="1" t="inlineStr"/>
    </row>
    <row r="2712">
      <c r="A2712" s="2" t="inlineStr">
        <is>
          <t>F8</t>
        </is>
      </c>
      <c r="B2712" s="2" t="n">
        <v>68</v>
      </c>
      <c r="C2712" s="2">
        <f>_xlfn.XLOOKUP(B2712,Results!$B$23:$B$119,Results!$D$23:$D$119)</f>
        <v/>
      </c>
      <c r="D2712" s="2" t="n">
        <v>9</v>
      </c>
      <c r="E2712" s="2" t="inlineStr"/>
      <c r="F2712" s="2" t="inlineStr"/>
      <c r="G2712" s="2" t="inlineStr"/>
    </row>
    <row r="2713">
      <c r="A2713" s="1" t="inlineStr">
        <is>
          <t>F8</t>
        </is>
      </c>
      <c r="B2713" s="1" t="n">
        <v>68</v>
      </c>
      <c r="C2713" s="2">
        <f>_xlfn.XLOOKUP(B2713,Results!$B$23:$B$119,Results!$D$23:$D$119)</f>
        <v/>
      </c>
      <c r="D2713" s="1" t="n">
        <v>10</v>
      </c>
      <c r="E2713" s="1" t="inlineStr"/>
      <c r="F2713" s="1" t="inlineStr"/>
      <c r="G2713" s="1" t="inlineStr"/>
    </row>
    <row r="2714">
      <c r="A2714" s="2" t="inlineStr">
        <is>
          <t>F8</t>
        </is>
      </c>
      <c r="B2714" s="2" t="n">
        <v>68</v>
      </c>
      <c r="C2714" s="2">
        <f>_xlfn.XLOOKUP(B2714,Results!$B$23:$B$119,Results!$D$23:$D$119)</f>
        <v/>
      </c>
      <c r="D2714" s="2" t="n">
        <v>11</v>
      </c>
      <c r="E2714" s="2" t="inlineStr"/>
      <c r="F2714" s="2" t="inlineStr"/>
      <c r="G2714" s="2" t="inlineStr"/>
    </row>
    <row r="2715">
      <c r="A2715" s="1" t="inlineStr">
        <is>
          <t>F8</t>
        </is>
      </c>
      <c r="B2715" s="1" t="n">
        <v>68</v>
      </c>
      <c r="C2715" s="2">
        <f>_xlfn.XLOOKUP(B2715,Results!$B$23:$B$119,Results!$D$23:$D$119)</f>
        <v/>
      </c>
      <c r="D2715" s="1" t="n">
        <v>12</v>
      </c>
      <c r="E2715" s="1" t="inlineStr"/>
      <c r="F2715" s="1" t="inlineStr"/>
      <c r="G2715" s="1" t="inlineStr"/>
    </row>
    <row r="2716">
      <c r="A2716" s="2" t="inlineStr">
        <is>
          <t>F8</t>
        </is>
      </c>
      <c r="B2716" s="2" t="n">
        <v>68</v>
      </c>
      <c r="C2716" s="2">
        <f>_xlfn.XLOOKUP(B2716,Results!$B$23:$B$119,Results!$D$23:$D$119)</f>
        <v/>
      </c>
      <c r="D2716" s="2" t="n">
        <v>13</v>
      </c>
      <c r="E2716" s="2" t="inlineStr"/>
      <c r="F2716" s="2" t="inlineStr"/>
      <c r="G2716" s="2" t="inlineStr"/>
    </row>
    <row r="2717">
      <c r="A2717" s="1" t="inlineStr">
        <is>
          <t>F8</t>
        </is>
      </c>
      <c r="B2717" s="1" t="n">
        <v>68</v>
      </c>
      <c r="C2717" s="2">
        <f>_xlfn.XLOOKUP(B2717,Results!$B$23:$B$119,Results!$D$23:$D$119)</f>
        <v/>
      </c>
      <c r="D2717" s="1" t="n">
        <v>14</v>
      </c>
      <c r="E2717" s="1" t="inlineStr"/>
      <c r="F2717" s="1" t="inlineStr"/>
      <c r="G2717" s="1" t="inlineStr"/>
    </row>
    <row r="2718">
      <c r="A2718" s="2" t="inlineStr">
        <is>
          <t>F8</t>
        </is>
      </c>
      <c r="B2718" s="2" t="n">
        <v>68</v>
      </c>
      <c r="C2718" s="2">
        <f>_xlfn.XLOOKUP(B2718,Results!$B$23:$B$119,Results!$D$23:$D$119)</f>
        <v/>
      </c>
      <c r="D2718" s="2" t="n">
        <v>15</v>
      </c>
      <c r="E2718" s="2" t="inlineStr"/>
      <c r="F2718" s="2" t="inlineStr"/>
      <c r="G2718" s="2" t="inlineStr"/>
    </row>
    <row r="2719">
      <c r="A2719" s="1" t="inlineStr">
        <is>
          <t>F8</t>
        </is>
      </c>
      <c r="B2719" s="1" t="n">
        <v>68</v>
      </c>
      <c r="C2719" s="2">
        <f>_xlfn.XLOOKUP(B2719,Results!$B$23:$B$119,Results!$D$23:$D$119)</f>
        <v/>
      </c>
      <c r="D2719" s="1" t="n">
        <v>16</v>
      </c>
      <c r="E2719" s="1" t="inlineStr"/>
      <c r="F2719" s="1" t="inlineStr"/>
      <c r="G2719" s="1" t="inlineStr"/>
    </row>
    <row r="2720">
      <c r="A2720" s="2" t="inlineStr">
        <is>
          <t>F8</t>
        </is>
      </c>
      <c r="B2720" s="2" t="n">
        <v>68</v>
      </c>
      <c r="C2720" s="2">
        <f>_xlfn.XLOOKUP(B2720,Results!$B$23:$B$119,Results!$D$23:$D$119)</f>
        <v/>
      </c>
      <c r="D2720" s="2" t="n">
        <v>17</v>
      </c>
      <c r="E2720" s="2" t="inlineStr"/>
      <c r="F2720" s="2" t="inlineStr"/>
      <c r="G2720" s="2" t="inlineStr"/>
    </row>
    <row r="2721">
      <c r="A2721" s="1" t="inlineStr">
        <is>
          <t>F8</t>
        </is>
      </c>
      <c r="B2721" s="1" t="n">
        <v>68</v>
      </c>
      <c r="C2721" s="2">
        <f>_xlfn.XLOOKUP(B2721,Results!$B$23:$B$119,Results!$D$23:$D$119)</f>
        <v/>
      </c>
      <c r="D2721" s="1" t="n">
        <v>18</v>
      </c>
      <c r="E2721" s="1" t="inlineStr"/>
      <c r="F2721" s="1" t="inlineStr"/>
      <c r="G2721" s="1" t="inlineStr"/>
    </row>
    <row r="2722">
      <c r="A2722" s="2" t="inlineStr">
        <is>
          <t>F8</t>
        </is>
      </c>
      <c r="B2722" s="2" t="n">
        <v>68</v>
      </c>
      <c r="C2722" s="2">
        <f>_xlfn.XLOOKUP(B2722,Results!$B$23:$B$119,Results!$D$23:$D$119)</f>
        <v/>
      </c>
      <c r="D2722" s="2" t="n">
        <v>19</v>
      </c>
      <c r="E2722" s="2" t="inlineStr"/>
      <c r="F2722" s="2" t="inlineStr"/>
      <c r="G2722" s="2" t="inlineStr"/>
    </row>
    <row r="2723">
      <c r="A2723" s="1" t="inlineStr">
        <is>
          <t>F8</t>
        </is>
      </c>
      <c r="B2723" s="1" t="n">
        <v>68</v>
      </c>
      <c r="C2723" s="2">
        <f>_xlfn.XLOOKUP(B2723,Results!$B$23:$B$119,Results!$D$23:$D$119)</f>
        <v/>
      </c>
      <c r="D2723" s="1" t="n">
        <v>20</v>
      </c>
      <c r="E2723" s="1" t="inlineStr"/>
      <c r="F2723" s="1" t="inlineStr"/>
      <c r="G2723" s="1" t="inlineStr"/>
    </row>
    <row r="2724">
      <c r="A2724" s="2" t="inlineStr">
        <is>
          <t>F8</t>
        </is>
      </c>
      <c r="B2724" s="2" t="n">
        <v>68</v>
      </c>
      <c r="C2724" s="2">
        <f>_xlfn.XLOOKUP(B2724,Results!$B$23:$B$119,Results!$D$23:$D$119)</f>
        <v/>
      </c>
      <c r="D2724" s="2" t="n">
        <v>21</v>
      </c>
      <c r="E2724" s="2" t="inlineStr"/>
      <c r="F2724" s="2" t="inlineStr"/>
      <c r="G2724" s="2" t="inlineStr"/>
    </row>
    <row r="2725">
      <c r="A2725" s="1" t="inlineStr">
        <is>
          <t>F8</t>
        </is>
      </c>
      <c r="B2725" s="1" t="n">
        <v>68</v>
      </c>
      <c r="C2725" s="2">
        <f>_xlfn.XLOOKUP(B2725,Results!$B$23:$B$119,Results!$D$23:$D$119)</f>
        <v/>
      </c>
      <c r="D2725" s="1" t="n">
        <v>22</v>
      </c>
      <c r="E2725" s="1" t="inlineStr"/>
      <c r="F2725" s="1" t="inlineStr"/>
      <c r="G2725" s="1" t="inlineStr"/>
    </row>
    <row r="2726">
      <c r="A2726" s="2" t="inlineStr">
        <is>
          <t>F8</t>
        </is>
      </c>
      <c r="B2726" s="2" t="n">
        <v>68</v>
      </c>
      <c r="C2726" s="2">
        <f>_xlfn.XLOOKUP(B2726,Results!$B$23:$B$119,Results!$D$23:$D$119)</f>
        <v/>
      </c>
      <c r="D2726" s="2" t="n">
        <v>23</v>
      </c>
      <c r="E2726" s="2" t="inlineStr"/>
      <c r="F2726" s="2" t="inlineStr"/>
      <c r="G2726" s="2" t="inlineStr"/>
    </row>
    <row r="2727">
      <c r="A2727" s="1" t="inlineStr">
        <is>
          <t>F8</t>
        </is>
      </c>
      <c r="B2727" s="1" t="n">
        <v>68</v>
      </c>
      <c r="C2727" s="2">
        <f>_xlfn.XLOOKUP(B2727,Results!$B$23:$B$119,Results!$D$23:$D$119)</f>
        <v/>
      </c>
      <c r="D2727" s="1" t="n">
        <v>24</v>
      </c>
      <c r="E2727" s="1" t="inlineStr"/>
      <c r="F2727" s="1" t="inlineStr"/>
      <c r="G2727" s="1" t="inlineStr"/>
    </row>
    <row r="2728">
      <c r="A2728" s="2" t="inlineStr">
        <is>
          <t>F8</t>
        </is>
      </c>
      <c r="B2728" s="2" t="n">
        <v>68</v>
      </c>
      <c r="C2728" s="2">
        <f>_xlfn.XLOOKUP(B2728,Results!$B$23:$B$119,Results!$D$23:$D$119)</f>
        <v/>
      </c>
      <c r="D2728" s="2" t="n">
        <v>25</v>
      </c>
      <c r="E2728" s="2" t="inlineStr"/>
      <c r="F2728" s="2" t="inlineStr"/>
      <c r="G2728" s="2" t="inlineStr"/>
    </row>
    <row r="2729">
      <c r="A2729" s="1" t="inlineStr">
        <is>
          <t>F8</t>
        </is>
      </c>
      <c r="B2729" s="1" t="n">
        <v>68</v>
      </c>
      <c r="C2729" s="2">
        <f>_xlfn.XLOOKUP(B2729,Results!$B$23:$B$119,Results!$D$23:$D$119)</f>
        <v/>
      </c>
      <c r="D2729" s="1" t="n">
        <v>26</v>
      </c>
      <c r="E2729" s="1" t="inlineStr"/>
      <c r="F2729" s="1" t="inlineStr"/>
      <c r="G2729" s="1" t="inlineStr"/>
    </row>
    <row r="2730">
      <c r="A2730" s="2" t="inlineStr">
        <is>
          <t>F8</t>
        </is>
      </c>
      <c r="B2730" s="2" t="n">
        <v>68</v>
      </c>
      <c r="C2730" s="2">
        <f>_xlfn.XLOOKUP(B2730,Results!$B$23:$B$119,Results!$D$23:$D$119)</f>
        <v/>
      </c>
      <c r="D2730" s="2" t="n">
        <v>27</v>
      </c>
      <c r="E2730" s="2" t="inlineStr"/>
      <c r="F2730" s="2" t="inlineStr"/>
      <c r="G2730" s="2" t="inlineStr"/>
    </row>
    <row r="2731">
      <c r="A2731" s="1" t="inlineStr">
        <is>
          <t>F8</t>
        </is>
      </c>
      <c r="B2731" s="1" t="n">
        <v>68</v>
      </c>
      <c r="C2731" s="2">
        <f>_xlfn.XLOOKUP(B2731,Results!$B$23:$B$119,Results!$D$23:$D$119)</f>
        <v/>
      </c>
      <c r="D2731" s="1" t="n">
        <v>28</v>
      </c>
      <c r="E2731" s="1" t="inlineStr"/>
      <c r="F2731" s="1" t="inlineStr"/>
      <c r="G2731" s="1" t="inlineStr"/>
    </row>
    <row r="2732">
      <c r="A2732" s="2" t="inlineStr">
        <is>
          <t>F8</t>
        </is>
      </c>
      <c r="B2732" s="2" t="n">
        <v>68</v>
      </c>
      <c r="C2732" s="2">
        <f>_xlfn.XLOOKUP(B2732,Results!$B$23:$B$119,Results!$D$23:$D$119)</f>
        <v/>
      </c>
      <c r="D2732" s="2" t="n">
        <v>29</v>
      </c>
      <c r="E2732" s="2" t="inlineStr"/>
      <c r="F2732" s="2" t="inlineStr"/>
      <c r="G2732" s="2" t="inlineStr"/>
    </row>
    <row r="2733">
      <c r="A2733" s="1" t="inlineStr">
        <is>
          <t>F8</t>
        </is>
      </c>
      <c r="B2733" s="1" t="n">
        <v>68</v>
      </c>
      <c r="C2733" s="2">
        <f>_xlfn.XLOOKUP(B2733,Results!$B$23:$B$119,Results!$D$23:$D$119)</f>
        <v/>
      </c>
      <c r="D2733" s="1" t="n">
        <v>30</v>
      </c>
      <c r="E2733" s="1" t="inlineStr"/>
      <c r="F2733" s="1" t="inlineStr"/>
      <c r="G2733" s="1" t="inlineStr"/>
    </row>
    <row r="2734">
      <c r="A2734" s="2" t="inlineStr">
        <is>
          <t>F8</t>
        </is>
      </c>
      <c r="B2734" s="2" t="n">
        <v>68</v>
      </c>
      <c r="C2734" s="2">
        <f>_xlfn.XLOOKUP(B2734,Results!$B$23:$B$119,Results!$D$23:$D$119)</f>
        <v/>
      </c>
      <c r="D2734" s="2" t="n">
        <v>31</v>
      </c>
      <c r="E2734" s="2" t="inlineStr"/>
      <c r="F2734" s="2" t="inlineStr"/>
      <c r="G2734" s="2" t="inlineStr"/>
    </row>
    <row r="2735">
      <c r="A2735" s="1" t="inlineStr">
        <is>
          <t>F8</t>
        </is>
      </c>
      <c r="B2735" s="1" t="n">
        <v>68</v>
      </c>
      <c r="C2735" s="2">
        <f>_xlfn.XLOOKUP(B2735,Results!$B$23:$B$119,Results!$D$23:$D$119)</f>
        <v/>
      </c>
      <c r="D2735" s="1" t="n">
        <v>32</v>
      </c>
      <c r="E2735" s="1" t="inlineStr"/>
      <c r="F2735" s="1" t="inlineStr"/>
      <c r="G2735" s="1" t="inlineStr"/>
    </row>
    <row r="2736">
      <c r="A2736" s="2" t="inlineStr">
        <is>
          <t>F8</t>
        </is>
      </c>
      <c r="B2736" s="2" t="n">
        <v>68</v>
      </c>
      <c r="C2736" s="2">
        <f>_xlfn.XLOOKUP(B2736,Results!$B$23:$B$119,Results!$D$23:$D$119)</f>
        <v/>
      </c>
      <c r="D2736" s="2" t="n">
        <v>33</v>
      </c>
      <c r="E2736" s="2" t="inlineStr"/>
      <c r="F2736" s="2" t="inlineStr"/>
      <c r="G2736" s="2" t="inlineStr"/>
    </row>
    <row r="2737">
      <c r="A2737" s="1" t="inlineStr">
        <is>
          <t>F8</t>
        </is>
      </c>
      <c r="B2737" s="1" t="n">
        <v>68</v>
      </c>
      <c r="C2737" s="2">
        <f>_xlfn.XLOOKUP(B2737,Results!$B$23:$B$119,Results!$D$23:$D$119)</f>
        <v/>
      </c>
      <c r="D2737" s="1" t="n">
        <v>34</v>
      </c>
      <c r="E2737" s="1" t="inlineStr"/>
      <c r="F2737" s="1" t="inlineStr"/>
      <c r="G2737" s="1" t="inlineStr"/>
    </row>
    <row r="2738">
      <c r="A2738" s="2" t="inlineStr">
        <is>
          <t>F8</t>
        </is>
      </c>
      <c r="B2738" s="2" t="n">
        <v>68</v>
      </c>
      <c r="C2738" s="2">
        <f>_xlfn.XLOOKUP(B2738,Results!$B$23:$B$119,Results!$D$23:$D$119)</f>
        <v/>
      </c>
      <c r="D2738" s="2" t="n">
        <v>35</v>
      </c>
      <c r="E2738" s="2" t="inlineStr"/>
      <c r="F2738" s="2" t="inlineStr"/>
      <c r="G2738" s="2" t="inlineStr"/>
    </row>
    <row r="2739">
      <c r="A2739" s="1" t="inlineStr">
        <is>
          <t>F8</t>
        </is>
      </c>
      <c r="B2739" s="1" t="n">
        <v>68</v>
      </c>
      <c r="C2739" s="2">
        <f>_xlfn.XLOOKUP(B2739,Results!$B$23:$B$119,Results!$D$23:$D$119)</f>
        <v/>
      </c>
      <c r="D2739" s="1" t="n">
        <v>36</v>
      </c>
      <c r="E2739" s="1" t="inlineStr"/>
      <c r="F2739" s="1" t="inlineStr"/>
      <c r="G2739" s="1" t="inlineStr"/>
    </row>
    <row r="2740">
      <c r="A2740" s="2" t="inlineStr">
        <is>
          <t>F8</t>
        </is>
      </c>
      <c r="B2740" s="2" t="n">
        <v>68</v>
      </c>
      <c r="C2740" s="2">
        <f>_xlfn.XLOOKUP(B2740,Results!$B$23:$B$119,Results!$D$23:$D$119)</f>
        <v/>
      </c>
      <c r="D2740" s="2" t="n">
        <v>37</v>
      </c>
      <c r="E2740" s="2" t="inlineStr"/>
      <c r="F2740" s="2" t="inlineStr"/>
      <c r="G2740" s="2" t="inlineStr"/>
    </row>
    <row r="2741">
      <c r="A2741" s="1" t="inlineStr">
        <is>
          <t>F8</t>
        </is>
      </c>
      <c r="B2741" s="1" t="n">
        <v>68</v>
      </c>
      <c r="C2741" s="2">
        <f>_xlfn.XLOOKUP(B2741,Results!$B$23:$B$119,Results!$D$23:$D$119)</f>
        <v/>
      </c>
      <c r="D2741" s="1" t="n">
        <v>38</v>
      </c>
      <c r="E2741" s="1" t="inlineStr"/>
      <c r="F2741" s="1" t="inlineStr"/>
      <c r="G2741" s="1" t="inlineStr"/>
    </row>
    <row r="2742">
      <c r="A2742" s="2" t="inlineStr">
        <is>
          <t>F8</t>
        </is>
      </c>
      <c r="B2742" s="2" t="n">
        <v>68</v>
      </c>
      <c r="C2742" s="2">
        <f>_xlfn.XLOOKUP(B2742,Results!$B$23:$B$119,Results!$D$23:$D$119)</f>
        <v/>
      </c>
      <c r="D2742" s="2" t="n">
        <v>39</v>
      </c>
      <c r="E2742" s="2" t="inlineStr"/>
      <c r="F2742" s="2" t="inlineStr"/>
      <c r="G2742" s="2" t="inlineStr"/>
    </row>
    <row r="2743">
      <c r="A2743" s="1" t="inlineStr">
        <is>
          <t>F8</t>
        </is>
      </c>
      <c r="B2743" s="1" t="n">
        <v>68</v>
      </c>
      <c r="C2743" s="2">
        <f>_xlfn.XLOOKUP(B2743,Results!$B$23:$B$119,Results!$D$23:$D$119)</f>
        <v/>
      </c>
      <c r="D2743" s="1" t="n">
        <v>40</v>
      </c>
      <c r="E2743" s="1" t="inlineStr"/>
      <c r="F2743" s="1" t="inlineStr"/>
      <c r="G2743" s="1" t="inlineStr"/>
    </row>
    <row r="2744">
      <c r="A2744" s="2" t="inlineStr">
        <is>
          <t>F9</t>
        </is>
      </c>
      <c r="B2744" s="2" t="n">
        <v>69</v>
      </c>
      <c r="C2744" s="2">
        <f>_xlfn.XLOOKUP(B2744,Results!$B$23:$B$119,Results!$D$23:$D$119)</f>
        <v/>
      </c>
      <c r="D2744" s="2" t="n">
        <v>1</v>
      </c>
      <c r="E2744" s="2" t="inlineStr"/>
      <c r="F2744" s="2" t="inlineStr"/>
      <c r="G2744" s="2" t="inlineStr"/>
    </row>
    <row r="2745">
      <c r="A2745" s="1" t="inlineStr">
        <is>
          <t>F9</t>
        </is>
      </c>
      <c r="B2745" s="1" t="n">
        <v>69</v>
      </c>
      <c r="C2745" s="2">
        <f>_xlfn.XLOOKUP(B2745,Results!$B$23:$B$119,Results!$D$23:$D$119)</f>
        <v/>
      </c>
      <c r="D2745" s="1" t="n">
        <v>2</v>
      </c>
      <c r="E2745" s="1" t="inlineStr"/>
      <c r="F2745" s="1" t="inlineStr"/>
      <c r="G2745" s="1" t="inlineStr"/>
    </row>
    <row r="2746">
      <c r="A2746" s="2" t="inlineStr">
        <is>
          <t>F9</t>
        </is>
      </c>
      <c r="B2746" s="2" t="n">
        <v>69</v>
      </c>
      <c r="C2746" s="2">
        <f>_xlfn.XLOOKUP(B2746,Results!$B$23:$B$119,Results!$D$23:$D$119)</f>
        <v/>
      </c>
      <c r="D2746" s="2" t="n">
        <v>3</v>
      </c>
      <c r="E2746" s="2" t="inlineStr"/>
      <c r="F2746" s="2" t="inlineStr"/>
      <c r="G2746" s="2" t="inlineStr"/>
    </row>
    <row r="2747">
      <c r="A2747" s="1" t="inlineStr">
        <is>
          <t>F9</t>
        </is>
      </c>
      <c r="B2747" s="1" t="n">
        <v>69</v>
      </c>
      <c r="C2747" s="2">
        <f>_xlfn.XLOOKUP(B2747,Results!$B$23:$B$119,Results!$D$23:$D$119)</f>
        <v/>
      </c>
      <c r="D2747" s="1" t="n">
        <v>4</v>
      </c>
      <c r="E2747" s="1" t="inlineStr"/>
      <c r="F2747" s="1" t="inlineStr"/>
      <c r="G2747" s="1" t="inlineStr"/>
    </row>
    <row r="2748">
      <c r="A2748" s="2" t="inlineStr">
        <is>
          <t>F9</t>
        </is>
      </c>
      <c r="B2748" s="2" t="n">
        <v>69</v>
      </c>
      <c r="C2748" s="2">
        <f>_xlfn.XLOOKUP(B2748,Results!$B$23:$B$119,Results!$D$23:$D$119)</f>
        <v/>
      </c>
      <c r="D2748" s="2" t="n">
        <v>5</v>
      </c>
      <c r="E2748" s="2" t="inlineStr"/>
      <c r="F2748" s="2" t="inlineStr"/>
      <c r="G2748" s="2" t="inlineStr"/>
    </row>
    <row r="2749">
      <c r="A2749" s="1" t="inlineStr">
        <is>
          <t>F9</t>
        </is>
      </c>
      <c r="B2749" s="1" t="n">
        <v>69</v>
      </c>
      <c r="C2749" s="2">
        <f>_xlfn.XLOOKUP(B2749,Results!$B$23:$B$119,Results!$D$23:$D$119)</f>
        <v/>
      </c>
      <c r="D2749" s="1" t="n">
        <v>6</v>
      </c>
      <c r="E2749" s="1" t="inlineStr"/>
      <c r="F2749" s="1" t="inlineStr"/>
      <c r="G2749" s="1" t="inlineStr"/>
    </row>
    <row r="2750">
      <c r="A2750" s="2" t="inlineStr">
        <is>
          <t>F9</t>
        </is>
      </c>
      <c r="B2750" s="2" t="n">
        <v>69</v>
      </c>
      <c r="C2750" s="2">
        <f>_xlfn.XLOOKUP(B2750,Results!$B$23:$B$119,Results!$D$23:$D$119)</f>
        <v/>
      </c>
      <c r="D2750" s="2" t="n">
        <v>7</v>
      </c>
      <c r="E2750" s="2" t="inlineStr"/>
      <c r="F2750" s="2" t="inlineStr"/>
      <c r="G2750" s="2" t="inlineStr"/>
    </row>
    <row r="2751">
      <c r="A2751" s="1" t="inlineStr">
        <is>
          <t>F9</t>
        </is>
      </c>
      <c r="B2751" s="1" t="n">
        <v>69</v>
      </c>
      <c r="C2751" s="2">
        <f>_xlfn.XLOOKUP(B2751,Results!$B$23:$B$119,Results!$D$23:$D$119)</f>
        <v/>
      </c>
      <c r="D2751" s="1" t="n">
        <v>8</v>
      </c>
      <c r="E2751" s="1" t="inlineStr"/>
      <c r="F2751" s="1" t="inlineStr"/>
      <c r="G2751" s="1" t="inlineStr"/>
    </row>
    <row r="2752">
      <c r="A2752" s="2" t="inlineStr">
        <is>
          <t>F9</t>
        </is>
      </c>
      <c r="B2752" s="2" t="n">
        <v>69</v>
      </c>
      <c r="C2752" s="2">
        <f>_xlfn.XLOOKUP(B2752,Results!$B$23:$B$119,Results!$D$23:$D$119)</f>
        <v/>
      </c>
      <c r="D2752" s="2" t="n">
        <v>9</v>
      </c>
      <c r="E2752" s="2" t="inlineStr"/>
      <c r="F2752" s="2" t="inlineStr"/>
      <c r="G2752" s="2" t="inlineStr"/>
    </row>
    <row r="2753">
      <c r="A2753" s="1" t="inlineStr">
        <is>
          <t>F9</t>
        </is>
      </c>
      <c r="B2753" s="1" t="n">
        <v>69</v>
      </c>
      <c r="C2753" s="2">
        <f>_xlfn.XLOOKUP(B2753,Results!$B$23:$B$119,Results!$D$23:$D$119)</f>
        <v/>
      </c>
      <c r="D2753" s="1" t="n">
        <v>10</v>
      </c>
      <c r="E2753" s="1" t="inlineStr"/>
      <c r="F2753" s="1" t="inlineStr"/>
      <c r="G2753" s="1" t="inlineStr"/>
    </row>
    <row r="2754">
      <c r="A2754" s="2" t="inlineStr">
        <is>
          <t>F9</t>
        </is>
      </c>
      <c r="B2754" s="2" t="n">
        <v>69</v>
      </c>
      <c r="C2754" s="2">
        <f>_xlfn.XLOOKUP(B2754,Results!$B$23:$B$119,Results!$D$23:$D$119)</f>
        <v/>
      </c>
      <c r="D2754" s="2" t="n">
        <v>11</v>
      </c>
      <c r="E2754" s="2" t="inlineStr"/>
      <c r="F2754" s="2" t="inlineStr"/>
      <c r="G2754" s="2" t="inlineStr"/>
    </row>
    <row r="2755">
      <c r="A2755" s="1" t="inlineStr">
        <is>
          <t>F9</t>
        </is>
      </c>
      <c r="B2755" s="1" t="n">
        <v>69</v>
      </c>
      <c r="C2755" s="2">
        <f>_xlfn.XLOOKUP(B2755,Results!$B$23:$B$119,Results!$D$23:$D$119)</f>
        <v/>
      </c>
      <c r="D2755" s="1" t="n">
        <v>12</v>
      </c>
      <c r="E2755" s="1" t="inlineStr"/>
      <c r="F2755" s="1" t="inlineStr"/>
      <c r="G2755" s="1" t="inlineStr"/>
    </row>
    <row r="2756">
      <c r="A2756" s="2" t="inlineStr">
        <is>
          <t>F9</t>
        </is>
      </c>
      <c r="B2756" s="2" t="n">
        <v>69</v>
      </c>
      <c r="C2756" s="2">
        <f>_xlfn.XLOOKUP(B2756,Results!$B$23:$B$119,Results!$D$23:$D$119)</f>
        <v/>
      </c>
      <c r="D2756" s="2" t="n">
        <v>13</v>
      </c>
      <c r="E2756" s="2" t="inlineStr"/>
      <c r="F2756" s="2" t="inlineStr"/>
      <c r="G2756" s="2" t="inlineStr"/>
    </row>
    <row r="2757">
      <c r="A2757" s="1" t="inlineStr">
        <is>
          <t>F9</t>
        </is>
      </c>
      <c r="B2757" s="1" t="n">
        <v>69</v>
      </c>
      <c r="C2757" s="2">
        <f>_xlfn.XLOOKUP(B2757,Results!$B$23:$B$119,Results!$D$23:$D$119)</f>
        <v/>
      </c>
      <c r="D2757" s="1" t="n">
        <v>14</v>
      </c>
      <c r="E2757" s="1" t="inlineStr"/>
      <c r="F2757" s="1" t="inlineStr"/>
      <c r="G2757" s="1" t="inlineStr"/>
    </row>
    <row r="2758">
      <c r="A2758" s="2" t="inlineStr">
        <is>
          <t>F9</t>
        </is>
      </c>
      <c r="B2758" s="2" t="n">
        <v>69</v>
      </c>
      <c r="C2758" s="2">
        <f>_xlfn.XLOOKUP(B2758,Results!$B$23:$B$119,Results!$D$23:$D$119)</f>
        <v/>
      </c>
      <c r="D2758" s="2" t="n">
        <v>15</v>
      </c>
      <c r="E2758" s="2" t="inlineStr"/>
      <c r="F2758" s="2" t="inlineStr"/>
      <c r="G2758" s="2" t="inlineStr"/>
    </row>
    <row r="2759">
      <c r="A2759" s="1" t="inlineStr">
        <is>
          <t>F9</t>
        </is>
      </c>
      <c r="B2759" s="1" t="n">
        <v>69</v>
      </c>
      <c r="C2759" s="2">
        <f>_xlfn.XLOOKUP(B2759,Results!$B$23:$B$119,Results!$D$23:$D$119)</f>
        <v/>
      </c>
      <c r="D2759" s="1" t="n">
        <v>16</v>
      </c>
      <c r="E2759" s="1" t="inlineStr"/>
      <c r="F2759" s="1" t="inlineStr"/>
      <c r="G2759" s="1" t="inlineStr"/>
    </row>
    <row r="2760">
      <c r="A2760" s="2" t="inlineStr">
        <is>
          <t>F9</t>
        </is>
      </c>
      <c r="B2760" s="2" t="n">
        <v>69</v>
      </c>
      <c r="C2760" s="2">
        <f>_xlfn.XLOOKUP(B2760,Results!$B$23:$B$119,Results!$D$23:$D$119)</f>
        <v/>
      </c>
      <c r="D2760" s="2" t="n">
        <v>17</v>
      </c>
      <c r="E2760" s="2" t="inlineStr"/>
      <c r="F2760" s="2" t="inlineStr"/>
      <c r="G2760" s="2" t="inlineStr"/>
    </row>
    <row r="2761">
      <c r="A2761" s="1" t="inlineStr">
        <is>
          <t>F9</t>
        </is>
      </c>
      <c r="B2761" s="1" t="n">
        <v>69</v>
      </c>
      <c r="C2761" s="2">
        <f>_xlfn.XLOOKUP(B2761,Results!$B$23:$B$119,Results!$D$23:$D$119)</f>
        <v/>
      </c>
      <c r="D2761" s="1" t="n">
        <v>18</v>
      </c>
      <c r="E2761" s="1" t="inlineStr"/>
      <c r="F2761" s="1" t="inlineStr"/>
      <c r="G2761" s="1" t="inlineStr"/>
    </row>
    <row r="2762">
      <c r="A2762" s="2" t="inlineStr">
        <is>
          <t>F9</t>
        </is>
      </c>
      <c r="B2762" s="2" t="n">
        <v>69</v>
      </c>
      <c r="C2762" s="2">
        <f>_xlfn.XLOOKUP(B2762,Results!$B$23:$B$119,Results!$D$23:$D$119)</f>
        <v/>
      </c>
      <c r="D2762" s="2" t="n">
        <v>19</v>
      </c>
      <c r="E2762" s="2" t="inlineStr"/>
      <c r="F2762" s="2" t="inlineStr"/>
      <c r="G2762" s="2" t="inlineStr"/>
    </row>
    <row r="2763">
      <c r="A2763" s="1" t="inlineStr">
        <is>
          <t>F9</t>
        </is>
      </c>
      <c r="B2763" s="1" t="n">
        <v>69</v>
      </c>
      <c r="C2763" s="2">
        <f>_xlfn.XLOOKUP(B2763,Results!$B$23:$B$119,Results!$D$23:$D$119)</f>
        <v/>
      </c>
      <c r="D2763" s="1" t="n">
        <v>20</v>
      </c>
      <c r="E2763" s="1" t="inlineStr"/>
      <c r="F2763" s="1" t="inlineStr"/>
      <c r="G2763" s="1" t="inlineStr"/>
    </row>
    <row r="2764">
      <c r="A2764" s="2" t="inlineStr">
        <is>
          <t>F9</t>
        </is>
      </c>
      <c r="B2764" s="2" t="n">
        <v>69</v>
      </c>
      <c r="C2764" s="2">
        <f>_xlfn.XLOOKUP(B2764,Results!$B$23:$B$119,Results!$D$23:$D$119)</f>
        <v/>
      </c>
      <c r="D2764" s="2" t="n">
        <v>21</v>
      </c>
      <c r="E2764" s="2" t="inlineStr"/>
      <c r="F2764" s="2" t="inlineStr"/>
      <c r="G2764" s="2" t="inlineStr"/>
    </row>
    <row r="2765">
      <c r="A2765" s="1" t="inlineStr">
        <is>
          <t>F9</t>
        </is>
      </c>
      <c r="B2765" s="1" t="n">
        <v>69</v>
      </c>
      <c r="C2765" s="2">
        <f>_xlfn.XLOOKUP(B2765,Results!$B$23:$B$119,Results!$D$23:$D$119)</f>
        <v/>
      </c>
      <c r="D2765" s="1" t="n">
        <v>22</v>
      </c>
      <c r="E2765" s="1" t="inlineStr"/>
      <c r="F2765" s="1" t="inlineStr"/>
      <c r="G2765" s="1" t="inlineStr"/>
    </row>
    <row r="2766">
      <c r="A2766" s="2" t="inlineStr">
        <is>
          <t>F9</t>
        </is>
      </c>
      <c r="B2766" s="2" t="n">
        <v>69</v>
      </c>
      <c r="C2766" s="2">
        <f>_xlfn.XLOOKUP(B2766,Results!$B$23:$B$119,Results!$D$23:$D$119)</f>
        <v/>
      </c>
      <c r="D2766" s="2" t="n">
        <v>23</v>
      </c>
      <c r="E2766" s="2" t="inlineStr"/>
      <c r="F2766" s="2" t="inlineStr"/>
      <c r="G2766" s="2" t="inlineStr"/>
    </row>
    <row r="2767">
      <c r="A2767" s="1" t="inlineStr">
        <is>
          <t>F9</t>
        </is>
      </c>
      <c r="B2767" s="1" t="n">
        <v>69</v>
      </c>
      <c r="C2767" s="2">
        <f>_xlfn.XLOOKUP(B2767,Results!$B$23:$B$119,Results!$D$23:$D$119)</f>
        <v/>
      </c>
      <c r="D2767" s="1" t="n">
        <v>24</v>
      </c>
      <c r="E2767" s="1" t="inlineStr"/>
      <c r="F2767" s="1" t="inlineStr"/>
      <c r="G2767" s="1" t="inlineStr"/>
    </row>
    <row r="2768">
      <c r="A2768" s="2" t="inlineStr">
        <is>
          <t>F9</t>
        </is>
      </c>
      <c r="B2768" s="2" t="n">
        <v>69</v>
      </c>
      <c r="C2768" s="2">
        <f>_xlfn.XLOOKUP(B2768,Results!$B$23:$B$119,Results!$D$23:$D$119)</f>
        <v/>
      </c>
      <c r="D2768" s="2" t="n">
        <v>25</v>
      </c>
      <c r="E2768" s="2" t="inlineStr"/>
      <c r="F2768" s="2" t="inlineStr"/>
      <c r="G2768" s="2" t="inlineStr"/>
    </row>
    <row r="2769">
      <c r="A2769" s="1" t="inlineStr">
        <is>
          <t>F9</t>
        </is>
      </c>
      <c r="B2769" s="1" t="n">
        <v>69</v>
      </c>
      <c r="C2769" s="2">
        <f>_xlfn.XLOOKUP(B2769,Results!$B$23:$B$119,Results!$D$23:$D$119)</f>
        <v/>
      </c>
      <c r="D2769" s="1" t="n">
        <v>26</v>
      </c>
      <c r="E2769" s="1" t="inlineStr"/>
      <c r="F2769" s="1" t="inlineStr"/>
      <c r="G2769" s="1" t="inlineStr"/>
    </row>
    <row r="2770">
      <c r="A2770" s="2" t="inlineStr">
        <is>
          <t>F9</t>
        </is>
      </c>
      <c r="B2770" s="2" t="n">
        <v>69</v>
      </c>
      <c r="C2770" s="2">
        <f>_xlfn.XLOOKUP(B2770,Results!$B$23:$B$119,Results!$D$23:$D$119)</f>
        <v/>
      </c>
      <c r="D2770" s="2" t="n">
        <v>27</v>
      </c>
      <c r="E2770" s="2" t="inlineStr"/>
      <c r="F2770" s="2" t="inlineStr"/>
      <c r="G2770" s="2" t="inlineStr"/>
    </row>
    <row r="2771">
      <c r="A2771" s="1" t="inlineStr">
        <is>
          <t>F9</t>
        </is>
      </c>
      <c r="B2771" s="1" t="n">
        <v>69</v>
      </c>
      <c r="C2771" s="2">
        <f>_xlfn.XLOOKUP(B2771,Results!$B$23:$B$119,Results!$D$23:$D$119)</f>
        <v/>
      </c>
      <c r="D2771" s="1" t="n">
        <v>28</v>
      </c>
      <c r="E2771" s="1" t="inlineStr"/>
      <c r="F2771" s="1" t="inlineStr"/>
      <c r="G2771" s="1" t="inlineStr"/>
    </row>
    <row r="2772">
      <c r="A2772" s="2" t="inlineStr">
        <is>
          <t>F9</t>
        </is>
      </c>
      <c r="B2772" s="2" t="n">
        <v>69</v>
      </c>
      <c r="C2772" s="2">
        <f>_xlfn.XLOOKUP(B2772,Results!$B$23:$B$119,Results!$D$23:$D$119)</f>
        <v/>
      </c>
      <c r="D2772" s="2" t="n">
        <v>29</v>
      </c>
      <c r="E2772" s="2" t="inlineStr"/>
      <c r="F2772" s="2" t="inlineStr"/>
      <c r="G2772" s="2" t="inlineStr"/>
    </row>
    <row r="2773">
      <c r="A2773" s="1" t="inlineStr">
        <is>
          <t>F9</t>
        </is>
      </c>
      <c r="B2773" s="1" t="n">
        <v>69</v>
      </c>
      <c r="C2773" s="2">
        <f>_xlfn.XLOOKUP(B2773,Results!$B$23:$B$119,Results!$D$23:$D$119)</f>
        <v/>
      </c>
      <c r="D2773" s="1" t="n">
        <v>30</v>
      </c>
      <c r="E2773" s="1" t="inlineStr"/>
      <c r="F2773" s="1" t="inlineStr"/>
      <c r="G2773" s="1" t="inlineStr"/>
    </row>
    <row r="2774">
      <c r="A2774" s="2" t="inlineStr">
        <is>
          <t>F9</t>
        </is>
      </c>
      <c r="B2774" s="2" t="n">
        <v>69</v>
      </c>
      <c r="C2774" s="2">
        <f>_xlfn.XLOOKUP(B2774,Results!$B$23:$B$119,Results!$D$23:$D$119)</f>
        <v/>
      </c>
      <c r="D2774" s="2" t="n">
        <v>31</v>
      </c>
      <c r="E2774" s="2" t="inlineStr"/>
      <c r="F2774" s="2" t="inlineStr"/>
      <c r="G2774" s="2" t="inlineStr"/>
    </row>
    <row r="2775">
      <c r="A2775" s="1" t="inlineStr">
        <is>
          <t>F9</t>
        </is>
      </c>
      <c r="B2775" s="1" t="n">
        <v>69</v>
      </c>
      <c r="C2775" s="2">
        <f>_xlfn.XLOOKUP(B2775,Results!$B$23:$B$119,Results!$D$23:$D$119)</f>
        <v/>
      </c>
      <c r="D2775" s="1" t="n">
        <v>32</v>
      </c>
      <c r="E2775" s="1" t="inlineStr"/>
      <c r="F2775" s="1" t="inlineStr"/>
      <c r="G2775" s="1" t="inlineStr"/>
    </row>
    <row r="2776">
      <c r="A2776" s="2" t="inlineStr">
        <is>
          <t>F9</t>
        </is>
      </c>
      <c r="B2776" s="2" t="n">
        <v>69</v>
      </c>
      <c r="C2776" s="2">
        <f>_xlfn.XLOOKUP(B2776,Results!$B$23:$B$119,Results!$D$23:$D$119)</f>
        <v/>
      </c>
      <c r="D2776" s="2" t="n">
        <v>33</v>
      </c>
      <c r="E2776" s="2" t="inlineStr"/>
      <c r="F2776" s="2" t="inlineStr"/>
      <c r="G2776" s="2" t="inlineStr"/>
    </row>
    <row r="2777">
      <c r="A2777" s="1" t="inlineStr">
        <is>
          <t>F9</t>
        </is>
      </c>
      <c r="B2777" s="1" t="n">
        <v>69</v>
      </c>
      <c r="C2777" s="2">
        <f>_xlfn.XLOOKUP(B2777,Results!$B$23:$B$119,Results!$D$23:$D$119)</f>
        <v/>
      </c>
      <c r="D2777" s="1" t="n">
        <v>34</v>
      </c>
      <c r="E2777" s="1" t="inlineStr"/>
      <c r="F2777" s="1" t="inlineStr"/>
      <c r="G2777" s="1" t="inlineStr"/>
    </row>
    <row r="2778">
      <c r="A2778" s="2" t="inlineStr">
        <is>
          <t>F9</t>
        </is>
      </c>
      <c r="B2778" s="2" t="n">
        <v>69</v>
      </c>
      <c r="C2778" s="2">
        <f>_xlfn.XLOOKUP(B2778,Results!$B$23:$B$119,Results!$D$23:$D$119)</f>
        <v/>
      </c>
      <c r="D2778" s="2" t="n">
        <v>35</v>
      </c>
      <c r="E2778" s="2" t="inlineStr"/>
      <c r="F2778" s="2" t="inlineStr"/>
      <c r="G2778" s="2" t="inlineStr"/>
    </row>
    <row r="2779">
      <c r="A2779" s="1" t="inlineStr">
        <is>
          <t>F9</t>
        </is>
      </c>
      <c r="B2779" s="1" t="n">
        <v>69</v>
      </c>
      <c r="C2779" s="2">
        <f>_xlfn.XLOOKUP(B2779,Results!$B$23:$B$119,Results!$D$23:$D$119)</f>
        <v/>
      </c>
      <c r="D2779" s="1" t="n">
        <v>36</v>
      </c>
      <c r="E2779" s="1" t="inlineStr"/>
      <c r="F2779" s="1" t="inlineStr"/>
      <c r="G2779" s="1" t="inlineStr"/>
    </row>
    <row r="2780">
      <c r="A2780" s="2" t="inlineStr">
        <is>
          <t>F9</t>
        </is>
      </c>
      <c r="B2780" s="2" t="n">
        <v>69</v>
      </c>
      <c r="C2780" s="2">
        <f>_xlfn.XLOOKUP(B2780,Results!$B$23:$B$119,Results!$D$23:$D$119)</f>
        <v/>
      </c>
      <c r="D2780" s="2" t="n">
        <v>37</v>
      </c>
      <c r="E2780" s="2" t="inlineStr"/>
      <c r="F2780" s="2" t="inlineStr"/>
      <c r="G2780" s="2" t="inlineStr"/>
    </row>
    <row r="2781">
      <c r="A2781" s="1" t="inlineStr">
        <is>
          <t>F9</t>
        </is>
      </c>
      <c r="B2781" s="1" t="n">
        <v>69</v>
      </c>
      <c r="C2781" s="2">
        <f>_xlfn.XLOOKUP(B2781,Results!$B$23:$B$119,Results!$D$23:$D$119)</f>
        <v/>
      </c>
      <c r="D2781" s="1" t="n">
        <v>38</v>
      </c>
      <c r="E2781" s="1" t="inlineStr"/>
      <c r="F2781" s="1" t="inlineStr"/>
      <c r="G2781" s="1" t="inlineStr"/>
    </row>
    <row r="2782">
      <c r="A2782" s="2" t="inlineStr">
        <is>
          <t>F9</t>
        </is>
      </c>
      <c r="B2782" s="2" t="n">
        <v>69</v>
      </c>
      <c r="C2782" s="2">
        <f>_xlfn.XLOOKUP(B2782,Results!$B$23:$B$119,Results!$D$23:$D$119)</f>
        <v/>
      </c>
      <c r="D2782" s="2" t="n">
        <v>39</v>
      </c>
      <c r="E2782" s="2" t="inlineStr"/>
      <c r="F2782" s="2" t="inlineStr"/>
      <c r="G2782" s="2" t="inlineStr"/>
    </row>
    <row r="2783">
      <c r="A2783" s="1" t="inlineStr">
        <is>
          <t>F9</t>
        </is>
      </c>
      <c r="B2783" s="1" t="n">
        <v>69</v>
      </c>
      <c r="C2783" s="2">
        <f>_xlfn.XLOOKUP(B2783,Results!$B$23:$B$119,Results!$D$23:$D$119)</f>
        <v/>
      </c>
      <c r="D2783" s="1" t="n">
        <v>40</v>
      </c>
      <c r="E2783" s="1" t="inlineStr"/>
      <c r="F2783" s="1" t="inlineStr"/>
      <c r="G2783" s="1" t="inlineStr"/>
    </row>
    <row r="2784">
      <c r="A2784" s="2" t="inlineStr">
        <is>
          <t>F10</t>
        </is>
      </c>
      <c r="B2784" s="2" t="n">
        <v>70</v>
      </c>
      <c r="C2784" s="2">
        <f>_xlfn.XLOOKUP(B2784,Results!$B$23:$B$119,Results!$D$23:$D$119)</f>
        <v/>
      </c>
      <c r="D2784" s="2" t="n">
        <v>1</v>
      </c>
      <c r="E2784" s="2" t="inlineStr">
        <is>
          <t>CHO</t>
        </is>
      </c>
      <c r="F2784" s="2" t="n">
        <v>2.3227</v>
      </c>
      <c r="G2784" s="2" t="n">
        <v>0.009312000000000001</v>
      </c>
    </row>
    <row r="2785">
      <c r="A2785" s="1" t="inlineStr">
        <is>
          <t>F10</t>
        </is>
      </c>
      <c r="B2785" s="1" t="n">
        <v>70</v>
      </c>
      <c r="C2785" s="2">
        <f>_xlfn.XLOOKUP(B2785,Results!$B$23:$B$119,Results!$D$23:$D$119)</f>
        <v/>
      </c>
      <c r="D2785" s="1" t="n">
        <v>2</v>
      </c>
      <c r="E2785" s="1" t="inlineStr">
        <is>
          <t>CHO</t>
        </is>
      </c>
      <c r="F2785" s="1" t="n">
        <v>2.324</v>
      </c>
      <c r="G2785" s="1" t="n">
        <v>0.005644</v>
      </c>
    </row>
    <row r="2786">
      <c r="A2786" s="2" t="inlineStr">
        <is>
          <t>F10</t>
        </is>
      </c>
      <c r="B2786" s="2" t="n">
        <v>70</v>
      </c>
      <c r="C2786" s="2">
        <f>_xlfn.XLOOKUP(B2786,Results!$B$23:$B$119,Results!$D$23:$D$119)</f>
        <v/>
      </c>
      <c r="D2786" s="2" t="n">
        <v>3</v>
      </c>
      <c r="E2786" s="2" t="inlineStr">
        <is>
          <t>CHO</t>
        </is>
      </c>
      <c r="F2786" s="2" t="n">
        <v>2.3266</v>
      </c>
      <c r="G2786" s="2" t="n">
        <v>0.003165</v>
      </c>
    </row>
    <row r="2787">
      <c r="A2787" s="1" t="inlineStr">
        <is>
          <t>F10</t>
        </is>
      </c>
      <c r="B2787" s="1" t="n">
        <v>70</v>
      </c>
      <c r="C2787" s="2">
        <f>_xlfn.XLOOKUP(B2787,Results!$B$23:$B$119,Results!$D$23:$D$119)</f>
        <v/>
      </c>
      <c r="D2787" s="1" t="n">
        <v>4</v>
      </c>
      <c r="E2787" s="1" t="inlineStr">
        <is>
          <t>CHO</t>
        </is>
      </c>
      <c r="F2787" s="1" t="n">
        <v>2.3303</v>
      </c>
      <c r="G2787" s="1" t="n">
        <v>0.001791</v>
      </c>
    </row>
    <row r="2788">
      <c r="A2788" s="2" t="inlineStr">
        <is>
          <t>F10</t>
        </is>
      </c>
      <c r="B2788" s="2" t="n">
        <v>70</v>
      </c>
      <c r="C2788" s="2">
        <f>_xlfn.XLOOKUP(B2788,Results!$B$23:$B$119,Results!$D$23:$D$119)</f>
        <v/>
      </c>
      <c r="D2788" s="2" t="n">
        <v>5</v>
      </c>
      <c r="E2788" s="2" t="inlineStr">
        <is>
          <t>CHO</t>
        </is>
      </c>
      <c r="F2788" s="2" t="n">
        <v>2.3339</v>
      </c>
      <c r="G2788" s="2" t="n">
        <v>0.000432</v>
      </c>
    </row>
    <row r="2789">
      <c r="A2789" s="1" t="inlineStr">
        <is>
          <t>F10</t>
        </is>
      </c>
      <c r="B2789" s="1" t="n">
        <v>70</v>
      </c>
      <c r="C2789" s="2">
        <f>_xlfn.XLOOKUP(B2789,Results!$B$23:$B$119,Results!$D$23:$D$119)</f>
        <v/>
      </c>
      <c r="D2789" s="1" t="n">
        <v>6</v>
      </c>
      <c r="E2789" s="1" t="inlineStr">
        <is>
          <t>CHO</t>
        </is>
      </c>
      <c r="F2789" s="1" t="n">
        <v>2.337</v>
      </c>
      <c r="G2789" s="1" t="n">
        <v>-0.001512</v>
      </c>
    </row>
    <row r="2790">
      <c r="A2790" s="2" t="inlineStr">
        <is>
          <t>F10</t>
        </is>
      </c>
      <c r="B2790" s="2" t="n">
        <v>70</v>
      </c>
      <c r="C2790" s="2">
        <f>_xlfn.XLOOKUP(B2790,Results!$B$23:$B$119,Results!$D$23:$D$119)</f>
        <v/>
      </c>
      <c r="D2790" s="2" t="n">
        <v>7</v>
      </c>
      <c r="E2790" s="2" t="inlineStr">
        <is>
          <t>CHO</t>
        </is>
      </c>
      <c r="F2790" s="2" t="n">
        <v>2.3444</v>
      </c>
      <c r="G2790" s="2" t="n">
        <v>0.000801</v>
      </c>
    </row>
    <row r="2791">
      <c r="A2791" s="1" t="inlineStr">
        <is>
          <t>F10</t>
        </is>
      </c>
      <c r="B2791" s="1" t="n">
        <v>70</v>
      </c>
      <c r="C2791" s="2">
        <f>_xlfn.XLOOKUP(B2791,Results!$B$23:$B$119,Results!$D$23:$D$119)</f>
        <v/>
      </c>
      <c r="D2791" s="1" t="n">
        <v>8</v>
      </c>
      <c r="E2791" s="1" t="inlineStr">
        <is>
          <t>CHO</t>
        </is>
      </c>
      <c r="F2791" s="1" t="n">
        <v>2.3495</v>
      </c>
      <c r="G2791" s="1" t="n">
        <v>0.000843</v>
      </c>
    </row>
    <row r="2792">
      <c r="A2792" s="2" t="inlineStr">
        <is>
          <t>F10</t>
        </is>
      </c>
      <c r="B2792" s="2" t="n">
        <v>70</v>
      </c>
      <c r="C2792" s="2">
        <f>_xlfn.XLOOKUP(B2792,Results!$B$23:$B$119,Results!$D$23:$D$119)</f>
        <v/>
      </c>
      <c r="D2792" s="2" t="n">
        <v>9</v>
      </c>
      <c r="E2792" s="2" t="inlineStr">
        <is>
          <t>CHO</t>
        </is>
      </c>
      <c r="F2792" s="2" t="n">
        <v>2.3552</v>
      </c>
      <c r="G2792" s="2" t="n">
        <v>0.001571</v>
      </c>
    </row>
    <row r="2793">
      <c r="A2793" s="1" t="inlineStr">
        <is>
          <t>F10</t>
        </is>
      </c>
      <c r="B2793" s="1" t="n">
        <v>70</v>
      </c>
      <c r="C2793" s="2">
        <f>_xlfn.XLOOKUP(B2793,Results!$B$23:$B$119,Results!$D$23:$D$119)</f>
        <v/>
      </c>
      <c r="D2793" s="1" t="n">
        <v>10</v>
      </c>
      <c r="E2793" s="1" t="inlineStr">
        <is>
          <t>CHO</t>
        </is>
      </c>
      <c r="F2793" s="1" t="n">
        <v>2.3556</v>
      </c>
      <c r="G2793" s="1" t="n">
        <v>-0.003116</v>
      </c>
    </row>
    <row r="2794">
      <c r="A2794" s="2" t="inlineStr">
        <is>
          <t>F10</t>
        </is>
      </c>
      <c r="B2794" s="2" t="n">
        <v>70</v>
      </c>
      <c r="C2794" s="2">
        <f>_xlfn.XLOOKUP(B2794,Results!$B$23:$B$119,Results!$D$23:$D$119)</f>
        <v/>
      </c>
      <c r="D2794" s="2" t="n">
        <v>11</v>
      </c>
      <c r="E2794" s="2" t="inlineStr">
        <is>
          <t>CHO</t>
        </is>
      </c>
      <c r="F2794" s="2" t="n">
        <v>2.358</v>
      </c>
      <c r="G2794" s="2" t="n">
        <v>-0.005763</v>
      </c>
    </row>
    <row r="2795">
      <c r="A2795" s="1" t="inlineStr">
        <is>
          <t>F10</t>
        </is>
      </c>
      <c r="B2795" s="1" t="n">
        <v>70</v>
      </c>
      <c r="C2795" s="2">
        <f>_xlfn.XLOOKUP(B2795,Results!$B$23:$B$119,Results!$D$23:$D$119)</f>
        <v/>
      </c>
      <c r="D2795" s="1" t="n">
        <v>12</v>
      </c>
      <c r="E2795" s="1" t="inlineStr">
        <is>
          <t>CHO</t>
        </is>
      </c>
      <c r="F2795" s="1" t="n">
        <v>2.3677</v>
      </c>
      <c r="G2795" s="1" t="n">
        <v>-0.001058</v>
      </c>
    </row>
    <row r="2796">
      <c r="A2796" s="2" t="inlineStr">
        <is>
          <t>F10</t>
        </is>
      </c>
      <c r="B2796" s="2" t="n">
        <v>70</v>
      </c>
      <c r="C2796" s="2">
        <f>_xlfn.XLOOKUP(B2796,Results!$B$23:$B$119,Results!$D$23:$D$119)</f>
        <v/>
      </c>
      <c r="D2796" s="2" t="n">
        <v>13</v>
      </c>
      <c r="E2796" s="2" t="inlineStr">
        <is>
          <t>CHO</t>
        </is>
      </c>
      <c r="F2796" s="2" t="n">
        <v>2.3753</v>
      </c>
      <c r="G2796" s="2" t="n">
        <v>0.001462</v>
      </c>
    </row>
    <row r="2797">
      <c r="A2797" s="1" t="inlineStr">
        <is>
          <t>F10</t>
        </is>
      </c>
      <c r="B2797" s="1" t="n">
        <v>70</v>
      </c>
      <c r="C2797" s="2">
        <f>_xlfn.XLOOKUP(B2797,Results!$B$23:$B$119,Results!$D$23:$D$119)</f>
        <v/>
      </c>
      <c r="D2797" s="1" t="n">
        <v>14</v>
      </c>
      <c r="E2797" s="1" t="inlineStr">
        <is>
          <t>CHO</t>
        </is>
      </c>
      <c r="F2797" s="1" t="n">
        <v>2.3783</v>
      </c>
      <c r="G2797" s="1" t="n">
        <v>-0.000522</v>
      </c>
    </row>
    <row r="2798">
      <c r="A2798" s="2" t="inlineStr">
        <is>
          <t>F10</t>
        </is>
      </c>
      <c r="B2798" s="2" t="n">
        <v>70</v>
      </c>
      <c r="C2798" s="2">
        <f>_xlfn.XLOOKUP(B2798,Results!$B$23:$B$119,Results!$D$23:$D$119)</f>
        <v/>
      </c>
      <c r="D2798" s="2" t="n">
        <v>15</v>
      </c>
      <c r="E2798" s="2" t="inlineStr">
        <is>
          <t>CHO</t>
        </is>
      </c>
      <c r="F2798" s="2" t="n">
        <v>2.383</v>
      </c>
      <c r="G2798" s="2" t="n">
        <v>-0.000911</v>
      </c>
    </row>
    <row r="2799">
      <c r="A2799" s="1" t="inlineStr">
        <is>
          <t>F10</t>
        </is>
      </c>
      <c r="B2799" s="1" t="n">
        <v>70</v>
      </c>
      <c r="C2799" s="2">
        <f>_xlfn.XLOOKUP(B2799,Results!$B$23:$B$119,Results!$D$23:$D$119)</f>
        <v/>
      </c>
      <c r="D2799" s="1" t="n">
        <v>16</v>
      </c>
      <c r="E2799" s="1" t="inlineStr">
        <is>
          <t>CHO</t>
        </is>
      </c>
      <c r="F2799" s="1" t="n">
        <v>2.3869</v>
      </c>
      <c r="G2799" s="1" t="n">
        <v>-0.001959</v>
      </c>
    </row>
    <row r="2800">
      <c r="A2800" s="2" t="inlineStr">
        <is>
          <t>F10</t>
        </is>
      </c>
      <c r="B2800" s="2" t="n">
        <v>70</v>
      </c>
      <c r="C2800" s="2">
        <f>_xlfn.XLOOKUP(B2800,Results!$B$23:$B$119,Results!$D$23:$D$119)</f>
        <v/>
      </c>
      <c r="D2800" s="2" t="n">
        <v>17</v>
      </c>
      <c r="E2800" s="2" t="inlineStr">
        <is>
          <t>CHO</t>
        </is>
      </c>
      <c r="F2800" s="2" t="n">
        <v>2.3908</v>
      </c>
      <c r="G2800" s="2" t="n">
        <v>-0.003178</v>
      </c>
    </row>
    <row r="2801">
      <c r="A2801" s="1" t="inlineStr">
        <is>
          <t>F10</t>
        </is>
      </c>
      <c r="B2801" s="1" t="n">
        <v>70</v>
      </c>
      <c r="C2801" s="2">
        <f>_xlfn.XLOOKUP(B2801,Results!$B$23:$B$119,Results!$D$23:$D$119)</f>
        <v/>
      </c>
      <c r="D2801" s="1" t="n">
        <v>18</v>
      </c>
      <c r="E2801" s="1" t="inlineStr">
        <is>
          <t>CHO</t>
        </is>
      </c>
      <c r="F2801" s="1" t="n">
        <v>2.4025</v>
      </c>
      <c r="G2801" s="1" t="n">
        <v>0.003524</v>
      </c>
    </row>
    <row r="2802">
      <c r="A2802" s="2" t="inlineStr">
        <is>
          <t>F10</t>
        </is>
      </c>
      <c r="B2802" s="2" t="n">
        <v>70</v>
      </c>
      <c r="C2802" s="2">
        <f>_xlfn.XLOOKUP(B2802,Results!$B$23:$B$119,Results!$D$23:$D$119)</f>
        <v/>
      </c>
      <c r="D2802" s="2" t="n">
        <v>19</v>
      </c>
      <c r="E2802" s="2" t="inlineStr">
        <is>
          <t>CHO</t>
        </is>
      </c>
      <c r="F2802" s="2" t="n">
        <v>2.4051</v>
      </c>
      <c r="G2802" s="2" t="n">
        <v>0.001115</v>
      </c>
    </row>
    <row r="2803">
      <c r="A2803" s="1" t="inlineStr">
        <is>
          <t>F10</t>
        </is>
      </c>
      <c r="B2803" s="1" t="n">
        <v>70</v>
      </c>
      <c r="C2803" s="2">
        <f>_xlfn.XLOOKUP(B2803,Results!$B$23:$B$119,Results!$D$23:$D$119)</f>
        <v/>
      </c>
      <c r="D2803" s="1" t="n">
        <v>20</v>
      </c>
      <c r="E2803" s="1" t="inlineStr">
        <is>
          <t>CHO</t>
        </is>
      </c>
      <c r="F2803" s="1" t="n">
        <v>2.4071</v>
      </c>
      <c r="G2803" s="1" t="n">
        <v>-0.001919</v>
      </c>
    </row>
    <row r="2804">
      <c r="A2804" s="2" t="inlineStr">
        <is>
          <t>F10</t>
        </is>
      </c>
      <c r="B2804" s="2" t="n">
        <v>70</v>
      </c>
      <c r="C2804" s="2">
        <f>_xlfn.XLOOKUP(B2804,Results!$B$23:$B$119,Results!$D$23:$D$119)</f>
        <v/>
      </c>
      <c r="D2804" s="2" t="n">
        <v>21</v>
      </c>
      <c r="E2804" s="2" t="inlineStr">
        <is>
          <t>CHO</t>
        </is>
      </c>
      <c r="F2804" s="2" t="n">
        <v>2.4174</v>
      </c>
      <c r="G2804" s="2" t="n">
        <v>0.003347</v>
      </c>
    </row>
    <row r="2805">
      <c r="A2805" s="1" t="inlineStr">
        <is>
          <t>F10</t>
        </is>
      </c>
      <c r="B2805" s="1" t="n">
        <v>70</v>
      </c>
      <c r="C2805" s="2">
        <f>_xlfn.XLOOKUP(B2805,Results!$B$23:$B$119,Results!$D$23:$D$119)</f>
        <v/>
      </c>
      <c r="D2805" s="1" t="n">
        <v>22</v>
      </c>
      <c r="E2805" s="1" t="inlineStr">
        <is>
          <t>CHO</t>
        </is>
      </c>
      <c r="F2805" s="1" t="n">
        <v>2.4207</v>
      </c>
      <c r="G2805" s="1" t="n">
        <v>0.001577</v>
      </c>
    </row>
    <row r="2806">
      <c r="A2806" s="2" t="inlineStr">
        <is>
          <t>F10</t>
        </is>
      </c>
      <c r="B2806" s="2" t="n">
        <v>70</v>
      </c>
      <c r="C2806" s="2">
        <f>_xlfn.XLOOKUP(B2806,Results!$B$23:$B$119,Results!$D$23:$D$119)</f>
        <v/>
      </c>
      <c r="D2806" s="2" t="n">
        <v>23</v>
      </c>
      <c r="E2806" s="2" t="inlineStr">
        <is>
          <t>CHO</t>
        </is>
      </c>
      <c r="F2806" s="2" t="n">
        <v>2.4245</v>
      </c>
      <c r="G2806" s="2" t="n">
        <v>0.00031</v>
      </c>
    </row>
    <row r="2807">
      <c r="A2807" s="1" t="inlineStr">
        <is>
          <t>F10</t>
        </is>
      </c>
      <c r="B2807" s="1" t="n">
        <v>70</v>
      </c>
      <c r="C2807" s="2">
        <f>_xlfn.XLOOKUP(B2807,Results!$B$23:$B$119,Results!$D$23:$D$119)</f>
        <v/>
      </c>
      <c r="D2807" s="1" t="n">
        <v>24</v>
      </c>
      <c r="E2807" s="1" t="inlineStr">
        <is>
          <t>CHO</t>
        </is>
      </c>
      <c r="F2807" s="1" t="n">
        <v>2.4293</v>
      </c>
      <c r="G2807" s="1" t="n">
        <v>7.4e-05</v>
      </c>
    </row>
    <row r="2808">
      <c r="A2808" s="2" t="inlineStr">
        <is>
          <t>F10</t>
        </is>
      </c>
      <c r="B2808" s="2" t="n">
        <v>70</v>
      </c>
      <c r="C2808" s="2">
        <f>_xlfn.XLOOKUP(B2808,Results!$B$23:$B$119,Results!$D$23:$D$119)</f>
        <v/>
      </c>
      <c r="D2808" s="2" t="n">
        <v>25</v>
      </c>
      <c r="E2808" s="2" t="inlineStr">
        <is>
          <t>CHO</t>
        </is>
      </c>
      <c r="F2808" s="2" t="n">
        <v>2.4481</v>
      </c>
      <c r="G2808" s="2" t="n">
        <v>0.013908</v>
      </c>
    </row>
    <row r="2809">
      <c r="A2809" s="1" t="inlineStr">
        <is>
          <t>F10</t>
        </is>
      </c>
      <c r="B2809" s="1" t="n">
        <v>70</v>
      </c>
      <c r="C2809" s="2">
        <f>_xlfn.XLOOKUP(B2809,Results!$B$23:$B$119,Results!$D$23:$D$119)</f>
        <v/>
      </c>
      <c r="D2809" s="1" t="n">
        <v>26</v>
      </c>
      <c r="E2809" s="1" t="inlineStr">
        <is>
          <t>CHO</t>
        </is>
      </c>
      <c r="F2809" s="1" t="n">
        <v>2.4594</v>
      </c>
      <c r="G2809" s="1" t="n">
        <v>0.02009</v>
      </c>
    </row>
    <row r="2810">
      <c r="A2810" s="2" t="inlineStr">
        <is>
          <t>F10</t>
        </is>
      </c>
      <c r="B2810" s="2" t="n">
        <v>70</v>
      </c>
      <c r="C2810" s="2">
        <f>_xlfn.XLOOKUP(B2810,Results!$B$23:$B$119,Results!$D$23:$D$119)</f>
        <v/>
      </c>
      <c r="D2810" s="2" t="n">
        <v>27</v>
      </c>
      <c r="E2810" s="2" t="inlineStr">
        <is>
          <t>CHO</t>
        </is>
      </c>
      <c r="F2810" s="2" t="n">
        <v>2.4875</v>
      </c>
      <c r="G2810" s="2" t="n">
        <v>0.043241</v>
      </c>
    </row>
    <row r="2811">
      <c r="A2811" s="1" t="inlineStr">
        <is>
          <t>F10</t>
        </is>
      </c>
      <c r="B2811" s="1" t="n">
        <v>70</v>
      </c>
      <c r="C2811" s="2">
        <f>_xlfn.XLOOKUP(B2811,Results!$B$23:$B$119,Results!$D$23:$D$119)</f>
        <v/>
      </c>
      <c r="D2811" s="1" t="n">
        <v>28</v>
      </c>
      <c r="E2811" s="1" t="inlineStr">
        <is>
          <t>CHO</t>
        </is>
      </c>
      <c r="F2811" s="1" t="n">
        <v>2.5343</v>
      </c>
      <c r="G2811" s="1" t="n">
        <v>0.084971</v>
      </c>
    </row>
    <row r="2812">
      <c r="A2812" s="2" t="inlineStr">
        <is>
          <t>F10</t>
        </is>
      </c>
      <c r="B2812" s="2" t="n">
        <v>70</v>
      </c>
      <c r="C2812" s="2">
        <f>_xlfn.XLOOKUP(B2812,Results!$B$23:$B$119,Results!$D$23:$D$119)</f>
        <v/>
      </c>
      <c r="D2812" s="2" t="n">
        <v>29</v>
      </c>
      <c r="E2812" s="2" t="inlineStr">
        <is>
          <t>CHO</t>
        </is>
      </c>
      <c r="F2812" s="2" t="n">
        <v>2.6023</v>
      </c>
      <c r="G2812" s="2" t="n">
        <v>0.147889</v>
      </c>
    </row>
    <row r="2813">
      <c r="A2813" s="1" t="inlineStr">
        <is>
          <t>F10</t>
        </is>
      </c>
      <c r="B2813" s="1" t="n">
        <v>70</v>
      </c>
      <c r="C2813" s="2">
        <f>_xlfn.XLOOKUP(B2813,Results!$B$23:$B$119,Results!$D$23:$D$119)</f>
        <v/>
      </c>
      <c r="D2813" s="1" t="n">
        <v>30</v>
      </c>
      <c r="E2813" s="1" t="inlineStr">
        <is>
          <t>CHO</t>
        </is>
      </c>
      <c r="F2813" s="1" t="n">
        <v>2.7261</v>
      </c>
      <c r="G2813" s="1" t="n">
        <v>0.266657</v>
      </c>
    </row>
    <row r="2814">
      <c r="A2814" s="2" t="inlineStr">
        <is>
          <t>F10</t>
        </is>
      </c>
      <c r="B2814" s="2" t="n">
        <v>70</v>
      </c>
      <c r="C2814" s="2">
        <f>_xlfn.XLOOKUP(B2814,Results!$B$23:$B$119,Results!$D$23:$D$119)</f>
        <v/>
      </c>
      <c r="D2814" s="2" t="n">
        <v>31</v>
      </c>
      <c r="E2814" s="2" t="inlineStr">
        <is>
          <t>CHO</t>
        </is>
      </c>
      <c r="F2814" s="2" t="n">
        <v>2.9275</v>
      </c>
      <c r="G2814" s="2" t="n">
        <v>0.463021</v>
      </c>
    </row>
    <row r="2815">
      <c r="A2815" s="1" t="inlineStr">
        <is>
          <t>F10</t>
        </is>
      </c>
      <c r="B2815" s="1" t="n">
        <v>70</v>
      </c>
      <c r="C2815" s="2">
        <f>_xlfn.XLOOKUP(B2815,Results!$B$23:$B$119,Results!$D$23:$D$119)</f>
        <v/>
      </c>
      <c r="D2815" s="1" t="n">
        <v>32</v>
      </c>
      <c r="E2815" s="1" t="inlineStr">
        <is>
          <t>CHO</t>
        </is>
      </c>
      <c r="F2815" s="1" t="n">
        <v>3.2263</v>
      </c>
      <c r="G2815" s="1" t="n">
        <v>0.756817</v>
      </c>
    </row>
    <row r="2816">
      <c r="A2816" s="2" t="inlineStr">
        <is>
          <t>F10</t>
        </is>
      </c>
      <c r="B2816" s="2" t="n">
        <v>70</v>
      </c>
      <c r="C2816" s="2">
        <f>_xlfn.XLOOKUP(B2816,Results!$B$23:$B$119,Results!$D$23:$D$119)</f>
        <v/>
      </c>
      <c r="D2816" s="2" t="n">
        <v>33</v>
      </c>
      <c r="E2816" s="2" t="inlineStr">
        <is>
          <t>CHO</t>
        </is>
      </c>
      <c r="F2816" s="2" t="n">
        <v>3.6218</v>
      </c>
      <c r="G2816" s="2" t="n">
        <v>1.147331</v>
      </c>
    </row>
    <row r="2817">
      <c r="A2817" s="1" t="inlineStr">
        <is>
          <t>F10</t>
        </is>
      </c>
      <c r="B2817" s="1" t="n">
        <v>70</v>
      </c>
      <c r="C2817" s="2">
        <f>_xlfn.XLOOKUP(B2817,Results!$B$23:$B$119,Results!$D$23:$D$119)</f>
        <v/>
      </c>
      <c r="D2817" s="1" t="n">
        <v>34</v>
      </c>
      <c r="E2817" s="1" t="inlineStr">
        <is>
          <t>CHO</t>
        </is>
      </c>
      <c r="F2817" s="1" t="n">
        <v>4.0408</v>
      </c>
      <c r="G2817" s="1" t="n">
        <v>1.561221</v>
      </c>
    </row>
    <row r="2818">
      <c r="A2818" s="2" t="inlineStr">
        <is>
          <t>F10</t>
        </is>
      </c>
      <c r="B2818" s="2" t="n">
        <v>70</v>
      </c>
      <c r="C2818" s="2">
        <f>_xlfn.XLOOKUP(B2818,Results!$B$23:$B$119,Results!$D$23:$D$119)</f>
        <v/>
      </c>
      <c r="D2818" s="2" t="n">
        <v>35</v>
      </c>
      <c r="E2818" s="2" t="inlineStr">
        <is>
          <t>CHO</t>
        </is>
      </c>
      <c r="F2818" s="2" t="n">
        <v>4.4785</v>
      </c>
      <c r="G2818" s="2" t="n">
        <v>1.99391</v>
      </c>
    </row>
    <row r="2819">
      <c r="A2819" s="1" t="inlineStr">
        <is>
          <t>F10</t>
        </is>
      </c>
      <c r="B2819" s="1" t="n">
        <v>70</v>
      </c>
      <c r="C2819" s="2">
        <f>_xlfn.XLOOKUP(B2819,Results!$B$23:$B$119,Results!$D$23:$D$119)</f>
        <v/>
      </c>
      <c r="D2819" s="1" t="n">
        <v>36</v>
      </c>
      <c r="E2819" s="1" t="inlineStr">
        <is>
          <t>CHO</t>
        </is>
      </c>
      <c r="F2819" s="1" t="n">
        <v>4.8885</v>
      </c>
      <c r="G2819" s="1" t="n">
        <v>2.398859</v>
      </c>
    </row>
    <row r="2820">
      <c r="A2820" s="2" t="inlineStr">
        <is>
          <t>F10</t>
        </is>
      </c>
      <c r="B2820" s="2" t="n">
        <v>70</v>
      </c>
      <c r="C2820" s="2">
        <f>_xlfn.XLOOKUP(B2820,Results!$B$23:$B$119,Results!$D$23:$D$119)</f>
        <v/>
      </c>
      <c r="D2820" s="2" t="n">
        <v>37</v>
      </c>
      <c r="E2820" s="2" t="inlineStr">
        <is>
          <t>CHO</t>
        </is>
      </c>
      <c r="F2820" s="2" t="n">
        <v>5.2645</v>
      </c>
      <c r="G2820" s="2" t="n">
        <v>2.76983</v>
      </c>
    </row>
    <row r="2821">
      <c r="A2821" s="1" t="inlineStr">
        <is>
          <t>F10</t>
        </is>
      </c>
      <c r="B2821" s="1" t="n">
        <v>70</v>
      </c>
      <c r="C2821" s="2">
        <f>_xlfn.XLOOKUP(B2821,Results!$B$23:$B$119,Results!$D$23:$D$119)</f>
        <v/>
      </c>
      <c r="D2821" s="1" t="n">
        <v>38</v>
      </c>
      <c r="E2821" s="1" t="inlineStr">
        <is>
          <t>CHO</t>
        </is>
      </c>
      <c r="F2821" s="1" t="n">
        <v>5.597</v>
      </c>
      <c r="G2821" s="1" t="n">
        <v>3.09735</v>
      </c>
    </row>
    <row r="2822">
      <c r="A2822" s="2" t="inlineStr">
        <is>
          <t>F10</t>
        </is>
      </c>
      <c r="B2822" s="2" t="n">
        <v>70</v>
      </c>
      <c r="C2822" s="2">
        <f>_xlfn.XLOOKUP(B2822,Results!$B$23:$B$119,Results!$D$23:$D$119)</f>
        <v/>
      </c>
      <c r="D2822" s="2" t="n">
        <v>39</v>
      </c>
      <c r="E2822" s="2" t="inlineStr">
        <is>
          <t>CHO</t>
        </is>
      </c>
      <c r="F2822" s="2" t="n">
        <v>5.8714</v>
      </c>
      <c r="G2822" s="2" t="n">
        <v>3.366681</v>
      </c>
    </row>
    <row r="2823">
      <c r="A2823" s="1" t="inlineStr">
        <is>
          <t>F10</t>
        </is>
      </c>
      <c r="B2823" s="1" t="n">
        <v>70</v>
      </c>
      <c r="C2823" s="2">
        <f>_xlfn.XLOOKUP(B2823,Results!$B$23:$B$119,Results!$D$23:$D$119)</f>
        <v/>
      </c>
      <c r="D2823" s="1" t="n">
        <v>40</v>
      </c>
      <c r="E2823" s="1" t="inlineStr">
        <is>
          <t>CHO</t>
        </is>
      </c>
      <c r="F2823" s="1" t="n">
        <v>6.0898</v>
      </c>
      <c r="G2823" s="1" t="n">
        <v>3.580009</v>
      </c>
    </row>
    <row r="2824">
      <c r="A2824" s="2" t="inlineStr">
        <is>
          <t>F11</t>
        </is>
      </c>
      <c r="B2824" s="2" t="n">
        <v>71</v>
      </c>
      <c r="C2824" s="2">
        <f>_xlfn.XLOOKUP(B2824,Results!$B$23:$B$119,Results!$D$23:$D$119)</f>
        <v/>
      </c>
      <c r="D2824" s="2" t="n">
        <v>1</v>
      </c>
      <c r="E2824" s="2" t="inlineStr">
        <is>
          <t>CHO</t>
        </is>
      </c>
      <c r="F2824" s="2" t="n">
        <v>2.2972</v>
      </c>
      <c r="G2824" s="2" t="n">
        <v>0.008390999999999999</v>
      </c>
    </row>
    <row r="2825">
      <c r="A2825" s="1" t="inlineStr">
        <is>
          <t>F11</t>
        </is>
      </c>
      <c r="B2825" s="1" t="n">
        <v>71</v>
      </c>
      <c r="C2825" s="2">
        <f>_xlfn.XLOOKUP(B2825,Results!$B$23:$B$119,Results!$D$23:$D$119)</f>
        <v/>
      </c>
      <c r="D2825" s="1" t="n">
        <v>2</v>
      </c>
      <c r="E2825" s="1" t="inlineStr">
        <is>
          <t>CHO</t>
        </is>
      </c>
      <c r="F2825" s="1" t="n">
        <v>2.2981</v>
      </c>
      <c r="G2825" s="1" t="n">
        <v>0.003522</v>
      </c>
    </row>
    <row r="2826">
      <c r="A2826" s="2" t="inlineStr">
        <is>
          <t>F11</t>
        </is>
      </c>
      <c r="B2826" s="2" t="n">
        <v>71</v>
      </c>
      <c r="C2826" s="2">
        <f>_xlfn.XLOOKUP(B2826,Results!$B$23:$B$119,Results!$D$23:$D$119)</f>
        <v/>
      </c>
      <c r="D2826" s="2" t="n">
        <v>3</v>
      </c>
      <c r="E2826" s="2" t="inlineStr">
        <is>
          <t>CHO</t>
        </is>
      </c>
      <c r="F2826" s="2" t="n">
        <v>2.3001</v>
      </c>
      <c r="G2826" s="2" t="n">
        <v>-0.000279</v>
      </c>
    </row>
    <row r="2827">
      <c r="A2827" s="1" t="inlineStr">
        <is>
          <t>F11</t>
        </is>
      </c>
      <c r="B2827" s="1" t="n">
        <v>71</v>
      </c>
      <c r="C2827" s="2">
        <f>_xlfn.XLOOKUP(B2827,Results!$B$23:$B$119,Results!$D$23:$D$119)</f>
        <v/>
      </c>
      <c r="D2827" s="1" t="n">
        <v>4</v>
      </c>
      <c r="E2827" s="1" t="inlineStr">
        <is>
          <t>CHO</t>
        </is>
      </c>
      <c r="F2827" s="1" t="n">
        <v>2.3033</v>
      </c>
      <c r="G2827" s="1" t="n">
        <v>-0.002922</v>
      </c>
    </row>
    <row r="2828">
      <c r="A2828" s="2" t="inlineStr">
        <is>
          <t>F11</t>
        </is>
      </c>
      <c r="B2828" s="2" t="n">
        <v>71</v>
      </c>
      <c r="C2828" s="2">
        <f>_xlfn.XLOOKUP(B2828,Results!$B$23:$B$119,Results!$D$23:$D$119)</f>
        <v/>
      </c>
      <c r="D2828" s="2" t="n">
        <v>5</v>
      </c>
      <c r="E2828" s="2" t="inlineStr">
        <is>
          <t>CHO</t>
        </is>
      </c>
      <c r="F2828" s="2" t="n">
        <v>2.3105</v>
      </c>
      <c r="G2828" s="2" t="n">
        <v>-0.001567</v>
      </c>
    </row>
    <row r="2829">
      <c r="A2829" s="1" t="inlineStr">
        <is>
          <t>F11</t>
        </is>
      </c>
      <c r="B2829" s="1" t="n">
        <v>71</v>
      </c>
      <c r="C2829" s="2">
        <f>_xlfn.XLOOKUP(B2829,Results!$B$23:$B$119,Results!$D$23:$D$119)</f>
        <v/>
      </c>
      <c r="D2829" s="1" t="n">
        <v>6</v>
      </c>
      <c r="E2829" s="1" t="inlineStr">
        <is>
          <t>CHO</t>
        </is>
      </c>
      <c r="F2829" s="1" t="n">
        <v>2.3183</v>
      </c>
      <c r="G2829" s="1" t="n">
        <v>0.000466</v>
      </c>
    </row>
    <row r="2830">
      <c r="A2830" s="2" t="inlineStr">
        <is>
          <t>F11</t>
        </is>
      </c>
      <c r="B2830" s="2" t="n">
        <v>71</v>
      </c>
      <c r="C2830" s="2">
        <f>_xlfn.XLOOKUP(B2830,Results!$B$23:$B$119,Results!$D$23:$D$119)</f>
        <v/>
      </c>
      <c r="D2830" s="2" t="n">
        <v>7</v>
      </c>
      <c r="E2830" s="2" t="inlineStr">
        <is>
          <t>CHO</t>
        </is>
      </c>
      <c r="F2830" s="2" t="n">
        <v>2.3242</v>
      </c>
      <c r="G2830" s="2" t="n">
        <v>0.000491</v>
      </c>
    </row>
    <row r="2831">
      <c r="A2831" s="1" t="inlineStr">
        <is>
          <t>F11</t>
        </is>
      </c>
      <c r="B2831" s="1" t="n">
        <v>71</v>
      </c>
      <c r="C2831" s="2">
        <f>_xlfn.XLOOKUP(B2831,Results!$B$23:$B$119,Results!$D$23:$D$119)</f>
        <v/>
      </c>
      <c r="D2831" s="1" t="n">
        <v>8</v>
      </c>
      <c r="E2831" s="1" t="inlineStr">
        <is>
          <t>CHO</t>
        </is>
      </c>
      <c r="F2831" s="1" t="n">
        <v>2.331</v>
      </c>
      <c r="G2831" s="1" t="n">
        <v>0.001506</v>
      </c>
    </row>
    <row r="2832">
      <c r="A2832" s="2" t="inlineStr">
        <is>
          <t>F11</t>
        </is>
      </c>
      <c r="B2832" s="2" t="n">
        <v>71</v>
      </c>
      <c r="C2832" s="2">
        <f>_xlfn.XLOOKUP(B2832,Results!$B$23:$B$119,Results!$D$23:$D$119)</f>
        <v/>
      </c>
      <c r="D2832" s="2" t="n">
        <v>9</v>
      </c>
      <c r="E2832" s="2" t="inlineStr">
        <is>
          <t>CHO</t>
        </is>
      </c>
      <c r="F2832" s="2" t="n">
        <v>2.3375</v>
      </c>
      <c r="G2832" s="2" t="n">
        <v>0.002218</v>
      </c>
    </row>
    <row r="2833">
      <c r="A2833" s="1" t="inlineStr">
        <is>
          <t>F11</t>
        </is>
      </c>
      <c r="B2833" s="1" t="n">
        <v>71</v>
      </c>
      <c r="C2833" s="2">
        <f>_xlfn.XLOOKUP(B2833,Results!$B$23:$B$119,Results!$D$23:$D$119)</f>
        <v/>
      </c>
      <c r="D2833" s="1" t="n">
        <v>10</v>
      </c>
      <c r="E2833" s="1" t="inlineStr">
        <is>
          <t>CHO</t>
        </is>
      </c>
      <c r="F2833" s="1" t="n">
        <v>2.3429</v>
      </c>
      <c r="G2833" s="1" t="n">
        <v>0.001807</v>
      </c>
    </row>
    <row r="2834">
      <c r="A2834" s="2" t="inlineStr">
        <is>
          <t>F11</t>
        </is>
      </c>
      <c r="B2834" s="2" t="n">
        <v>71</v>
      </c>
      <c r="C2834" s="2">
        <f>_xlfn.XLOOKUP(B2834,Results!$B$23:$B$119,Results!$D$23:$D$119)</f>
        <v/>
      </c>
      <c r="D2834" s="2" t="n">
        <v>11</v>
      </c>
      <c r="E2834" s="2" t="inlineStr">
        <is>
          <t>CHO</t>
        </is>
      </c>
      <c r="F2834" s="2" t="n">
        <v>2.3461</v>
      </c>
      <c r="G2834" s="2" t="n">
        <v>-0.000822</v>
      </c>
    </row>
    <row r="2835">
      <c r="A2835" s="1" t="inlineStr">
        <is>
          <t>F11</t>
        </is>
      </c>
      <c r="B2835" s="1" t="n">
        <v>71</v>
      </c>
      <c r="C2835" s="2">
        <f>_xlfn.XLOOKUP(B2835,Results!$B$23:$B$119,Results!$D$23:$D$119)</f>
        <v/>
      </c>
      <c r="D2835" s="1" t="n">
        <v>12</v>
      </c>
      <c r="E2835" s="1" t="inlineStr">
        <is>
          <t>CHO</t>
        </is>
      </c>
      <c r="F2835" s="1" t="n">
        <v>2.3531</v>
      </c>
      <c r="G2835" s="1" t="n">
        <v>0.000369</v>
      </c>
    </row>
    <row r="2836">
      <c r="A2836" s="2" t="inlineStr">
        <is>
          <t>F11</t>
        </is>
      </c>
      <c r="B2836" s="2" t="n">
        <v>71</v>
      </c>
      <c r="C2836" s="2">
        <f>_xlfn.XLOOKUP(B2836,Results!$B$23:$B$119,Results!$D$23:$D$119)</f>
        <v/>
      </c>
      <c r="D2836" s="2" t="n">
        <v>13</v>
      </c>
      <c r="E2836" s="2" t="inlineStr">
        <is>
          <t>CHO</t>
        </is>
      </c>
      <c r="F2836" s="2" t="n">
        <v>2.3601</v>
      </c>
      <c r="G2836" s="2" t="n">
        <v>0.001564</v>
      </c>
    </row>
    <row r="2837">
      <c r="A2837" s="1" t="inlineStr">
        <is>
          <t>F11</t>
        </is>
      </c>
      <c r="B2837" s="1" t="n">
        <v>71</v>
      </c>
      <c r="C2837" s="2">
        <f>_xlfn.XLOOKUP(B2837,Results!$B$23:$B$119,Results!$D$23:$D$119)</f>
        <v/>
      </c>
      <c r="D2837" s="1" t="n">
        <v>14</v>
      </c>
      <c r="E2837" s="1" t="inlineStr">
        <is>
          <t>CHO</t>
        </is>
      </c>
      <c r="F2837" s="1" t="n">
        <v>2.3679</v>
      </c>
      <c r="G2837" s="1" t="n">
        <v>0.003589</v>
      </c>
    </row>
    <row r="2838">
      <c r="A2838" s="2" t="inlineStr">
        <is>
          <t>F11</t>
        </is>
      </c>
      <c r="B2838" s="2" t="n">
        <v>71</v>
      </c>
      <c r="C2838" s="2">
        <f>_xlfn.XLOOKUP(B2838,Results!$B$23:$B$119,Results!$D$23:$D$119)</f>
        <v/>
      </c>
      <c r="D2838" s="2" t="n">
        <v>15</v>
      </c>
      <c r="E2838" s="2" t="inlineStr">
        <is>
          <t>CHO</t>
        </is>
      </c>
      <c r="F2838" s="2" t="n">
        <v>2.3724</v>
      </c>
      <c r="G2838" s="2" t="n">
        <v>0.00227</v>
      </c>
    </row>
    <row r="2839">
      <c r="A2839" s="1" t="inlineStr">
        <is>
          <t>F11</t>
        </is>
      </c>
      <c r="B2839" s="1" t="n">
        <v>71</v>
      </c>
      <c r="C2839" s="2">
        <f>_xlfn.XLOOKUP(B2839,Results!$B$23:$B$119,Results!$D$23:$D$119)</f>
        <v/>
      </c>
      <c r="D2839" s="1" t="n">
        <v>16</v>
      </c>
      <c r="E2839" s="1" t="inlineStr">
        <is>
          <t>CHO</t>
        </is>
      </c>
      <c r="F2839" s="1" t="n">
        <v>2.3722</v>
      </c>
      <c r="G2839" s="1" t="n">
        <v>-0.003752</v>
      </c>
    </row>
    <row r="2840">
      <c r="A2840" s="2" t="inlineStr">
        <is>
          <t>F11</t>
        </is>
      </c>
      <c r="B2840" s="2" t="n">
        <v>71</v>
      </c>
      <c r="C2840" s="2">
        <f>_xlfn.XLOOKUP(B2840,Results!$B$23:$B$119,Results!$D$23:$D$119)</f>
        <v/>
      </c>
      <c r="D2840" s="2" t="n">
        <v>17</v>
      </c>
      <c r="E2840" s="2" t="inlineStr">
        <is>
          <t>CHO</t>
        </is>
      </c>
      <c r="F2840" s="2" t="n">
        <v>2.3745</v>
      </c>
      <c r="G2840" s="2" t="n">
        <v>-0.00724</v>
      </c>
    </row>
    <row r="2841">
      <c r="A2841" s="1" t="inlineStr">
        <is>
          <t>F11</t>
        </is>
      </c>
      <c r="B2841" s="1" t="n">
        <v>71</v>
      </c>
      <c r="C2841" s="2">
        <f>_xlfn.XLOOKUP(B2841,Results!$B$23:$B$119,Results!$D$23:$D$119)</f>
        <v/>
      </c>
      <c r="D2841" s="1" t="n">
        <v>18</v>
      </c>
      <c r="E2841" s="1" t="inlineStr">
        <is>
          <t>CHO</t>
        </is>
      </c>
      <c r="F2841" s="1" t="n">
        <v>2.3859</v>
      </c>
      <c r="G2841" s="1" t="n">
        <v>-0.001739</v>
      </c>
    </row>
    <row r="2842">
      <c r="A2842" s="2" t="inlineStr">
        <is>
          <t>F11</t>
        </is>
      </c>
      <c r="B2842" s="2" t="n">
        <v>71</v>
      </c>
      <c r="C2842" s="2">
        <f>_xlfn.XLOOKUP(B2842,Results!$B$23:$B$119,Results!$D$23:$D$119)</f>
        <v/>
      </c>
      <c r="D2842" s="2" t="n">
        <v>19</v>
      </c>
      <c r="E2842" s="2" t="inlineStr">
        <is>
          <t>CHO</t>
        </is>
      </c>
      <c r="F2842" s="2" t="n">
        <v>2.3956</v>
      </c>
      <c r="G2842" s="2" t="n">
        <v>0.002168</v>
      </c>
    </row>
    <row r="2843">
      <c r="A2843" s="1" t="inlineStr">
        <is>
          <t>F11</t>
        </is>
      </c>
      <c r="B2843" s="1" t="n">
        <v>71</v>
      </c>
      <c r="C2843" s="2">
        <f>_xlfn.XLOOKUP(B2843,Results!$B$23:$B$119,Results!$D$23:$D$119)</f>
        <v/>
      </c>
      <c r="D2843" s="1" t="n">
        <v>20</v>
      </c>
      <c r="E2843" s="1" t="inlineStr">
        <is>
          <t>CHO</t>
        </is>
      </c>
      <c r="F2843" s="1" t="n">
        <v>2.4001</v>
      </c>
      <c r="G2843" s="1" t="n">
        <v>0.000918</v>
      </c>
    </row>
    <row r="2844">
      <c r="A2844" s="2" t="inlineStr">
        <is>
          <t>F11</t>
        </is>
      </c>
      <c r="B2844" s="2" t="n">
        <v>71</v>
      </c>
      <c r="C2844" s="2">
        <f>_xlfn.XLOOKUP(B2844,Results!$B$23:$B$119,Results!$D$23:$D$119)</f>
        <v/>
      </c>
      <c r="D2844" s="2" t="n">
        <v>21</v>
      </c>
      <c r="E2844" s="2" t="inlineStr">
        <is>
          <t>CHO</t>
        </is>
      </c>
      <c r="F2844" s="2" t="n">
        <v>2.4072</v>
      </c>
      <c r="G2844" s="2" t="n">
        <v>0.002126</v>
      </c>
    </row>
    <row r="2845">
      <c r="A2845" s="1" t="inlineStr">
        <is>
          <t>F11</t>
        </is>
      </c>
      <c r="B2845" s="1" t="n">
        <v>71</v>
      </c>
      <c r="C2845" s="2">
        <f>_xlfn.XLOOKUP(B2845,Results!$B$23:$B$119,Results!$D$23:$D$119)</f>
        <v/>
      </c>
      <c r="D2845" s="1" t="n">
        <v>22</v>
      </c>
      <c r="E2845" s="1" t="inlineStr">
        <is>
          <t>CHO</t>
        </is>
      </c>
      <c r="F2845" s="1" t="n">
        <v>2.4097</v>
      </c>
      <c r="G2845" s="1" t="n">
        <v>-0.001169</v>
      </c>
    </row>
    <row r="2846">
      <c r="A2846" s="2" t="inlineStr">
        <is>
          <t>F11</t>
        </is>
      </c>
      <c r="B2846" s="2" t="n">
        <v>71</v>
      </c>
      <c r="C2846" s="2">
        <f>_xlfn.XLOOKUP(B2846,Results!$B$23:$B$119,Results!$D$23:$D$119)</f>
        <v/>
      </c>
      <c r="D2846" s="2" t="n">
        <v>23</v>
      </c>
      <c r="E2846" s="2" t="inlineStr">
        <is>
          <t>CHO</t>
        </is>
      </c>
      <c r="F2846" s="2" t="n">
        <v>2.4188</v>
      </c>
      <c r="G2846" s="2" t="n">
        <v>0.002112</v>
      </c>
    </row>
    <row r="2847">
      <c r="A2847" s="1" t="inlineStr">
        <is>
          <t>F11</t>
        </is>
      </c>
      <c r="B2847" s="1" t="n">
        <v>71</v>
      </c>
      <c r="C2847" s="2">
        <f>_xlfn.XLOOKUP(B2847,Results!$B$23:$B$119,Results!$D$23:$D$119)</f>
        <v/>
      </c>
      <c r="D2847" s="1" t="n">
        <v>24</v>
      </c>
      <c r="E2847" s="1" t="inlineStr">
        <is>
          <t>CHO</t>
        </is>
      </c>
      <c r="F2847" s="1" t="n">
        <v>2.435</v>
      </c>
      <c r="G2847" s="1" t="n">
        <v>0.012503</v>
      </c>
    </row>
    <row r="2848">
      <c r="A2848" s="2" t="inlineStr">
        <is>
          <t>F11</t>
        </is>
      </c>
      <c r="B2848" s="2" t="n">
        <v>71</v>
      </c>
      <c r="C2848" s="2">
        <f>_xlfn.XLOOKUP(B2848,Results!$B$23:$B$119,Results!$D$23:$D$119)</f>
        <v/>
      </c>
      <c r="D2848" s="2" t="n">
        <v>25</v>
      </c>
      <c r="E2848" s="2" t="inlineStr">
        <is>
          <t>CHO</t>
        </is>
      </c>
      <c r="F2848" s="2" t="n">
        <v>2.4503</v>
      </c>
      <c r="G2848" s="2" t="n">
        <v>0.022079</v>
      </c>
    </row>
    <row r="2849">
      <c r="A2849" s="1" t="inlineStr">
        <is>
          <t>F11</t>
        </is>
      </c>
      <c r="B2849" s="1" t="n">
        <v>71</v>
      </c>
      <c r="C2849" s="2">
        <f>_xlfn.XLOOKUP(B2849,Results!$B$23:$B$119,Results!$D$23:$D$119)</f>
        <v/>
      </c>
      <c r="D2849" s="1" t="n">
        <v>26</v>
      </c>
      <c r="E2849" s="1" t="inlineStr">
        <is>
          <t>CHO</t>
        </is>
      </c>
      <c r="F2849" s="1" t="n">
        <v>2.4593</v>
      </c>
      <c r="G2849" s="1" t="n">
        <v>0.025183</v>
      </c>
    </row>
    <row r="2850">
      <c r="A2850" s="2" t="inlineStr">
        <is>
          <t>F11</t>
        </is>
      </c>
      <c r="B2850" s="2" t="n">
        <v>71</v>
      </c>
      <c r="C2850" s="2">
        <f>_xlfn.XLOOKUP(B2850,Results!$B$23:$B$119,Results!$D$23:$D$119)</f>
        <v/>
      </c>
      <c r="D2850" s="2" t="n">
        <v>27</v>
      </c>
      <c r="E2850" s="2" t="inlineStr">
        <is>
          <t>CHO</t>
        </is>
      </c>
      <c r="F2850" s="2" t="n">
        <v>2.4811</v>
      </c>
      <c r="G2850" s="2" t="n">
        <v>0.041167</v>
      </c>
    </row>
    <row r="2851">
      <c r="A2851" s="1" t="inlineStr">
        <is>
          <t>F11</t>
        </is>
      </c>
      <c r="B2851" s="1" t="n">
        <v>71</v>
      </c>
      <c r="C2851" s="2">
        <f>_xlfn.XLOOKUP(B2851,Results!$B$23:$B$119,Results!$D$23:$D$119)</f>
        <v/>
      </c>
      <c r="D2851" s="1" t="n">
        <v>28</v>
      </c>
      <c r="E2851" s="1" t="inlineStr">
        <is>
          <t>CHO</t>
        </is>
      </c>
      <c r="F2851" s="1" t="n">
        <v>2.5206</v>
      </c>
      <c r="G2851" s="1" t="n">
        <v>0.074931</v>
      </c>
    </row>
    <row r="2852">
      <c r="A2852" s="2" t="inlineStr">
        <is>
          <t>F11</t>
        </is>
      </c>
      <c r="B2852" s="2" t="n">
        <v>71</v>
      </c>
      <c r="C2852" s="2">
        <f>_xlfn.XLOOKUP(B2852,Results!$B$23:$B$119,Results!$D$23:$D$119)</f>
        <v/>
      </c>
      <c r="D2852" s="2" t="n">
        <v>29</v>
      </c>
      <c r="E2852" s="2" t="inlineStr">
        <is>
          <t>CHO</t>
        </is>
      </c>
      <c r="F2852" s="2" t="n">
        <v>2.5729</v>
      </c>
      <c r="G2852" s="2" t="n">
        <v>0.121374</v>
      </c>
    </row>
    <row r="2853">
      <c r="A2853" s="1" t="inlineStr">
        <is>
          <t>F11</t>
        </is>
      </c>
      <c r="B2853" s="1" t="n">
        <v>71</v>
      </c>
      <c r="C2853" s="2">
        <f>_xlfn.XLOOKUP(B2853,Results!$B$23:$B$119,Results!$D$23:$D$119)</f>
        <v/>
      </c>
      <c r="D2853" s="1" t="n">
        <v>30</v>
      </c>
      <c r="E2853" s="1" t="inlineStr">
        <is>
          <t>CHO</t>
        </is>
      </c>
      <c r="F2853" s="1" t="n">
        <v>2.6869</v>
      </c>
      <c r="G2853" s="1" t="n">
        <v>0.229599</v>
      </c>
    </row>
    <row r="2854">
      <c r="A2854" s="2" t="inlineStr">
        <is>
          <t>F11</t>
        </is>
      </c>
      <c r="B2854" s="2" t="n">
        <v>71</v>
      </c>
      <c r="C2854" s="2">
        <f>_xlfn.XLOOKUP(B2854,Results!$B$23:$B$119,Results!$D$23:$D$119)</f>
        <v/>
      </c>
      <c r="D2854" s="2" t="n">
        <v>31</v>
      </c>
      <c r="E2854" s="2" t="inlineStr">
        <is>
          <t>CHO</t>
        </is>
      </c>
      <c r="F2854" s="2" t="n">
        <v>2.8858</v>
      </c>
      <c r="G2854" s="2" t="n">
        <v>0.422666</v>
      </c>
    </row>
    <row r="2855">
      <c r="A2855" s="1" t="inlineStr">
        <is>
          <t>F11</t>
        </is>
      </c>
      <c r="B2855" s="1" t="n">
        <v>71</v>
      </c>
      <c r="C2855" s="2">
        <f>_xlfn.XLOOKUP(B2855,Results!$B$23:$B$119,Results!$D$23:$D$119)</f>
        <v/>
      </c>
      <c r="D2855" s="1" t="n">
        <v>32</v>
      </c>
      <c r="E2855" s="1" t="inlineStr">
        <is>
          <t>CHO</t>
        </is>
      </c>
      <c r="F2855" s="1" t="n">
        <v>3.1723</v>
      </c>
      <c r="G2855" s="1" t="n">
        <v>0.703399</v>
      </c>
    </row>
    <row r="2856">
      <c r="A2856" s="2" t="inlineStr">
        <is>
          <t>F11</t>
        </is>
      </c>
      <c r="B2856" s="2" t="n">
        <v>71</v>
      </c>
      <c r="C2856" s="2">
        <f>_xlfn.XLOOKUP(B2856,Results!$B$23:$B$119,Results!$D$23:$D$119)</f>
        <v/>
      </c>
      <c r="D2856" s="2" t="n">
        <v>33</v>
      </c>
      <c r="E2856" s="2" t="inlineStr">
        <is>
          <t>CHO</t>
        </is>
      </c>
      <c r="F2856" s="2" t="n">
        <v>3.5557</v>
      </c>
      <c r="G2856" s="2" t="n">
        <v>1.080963</v>
      </c>
    </row>
    <row r="2857">
      <c r="A2857" s="1" t="inlineStr">
        <is>
          <t>F11</t>
        </is>
      </c>
      <c r="B2857" s="1" t="n">
        <v>71</v>
      </c>
      <c r="C2857" s="2">
        <f>_xlfn.XLOOKUP(B2857,Results!$B$23:$B$119,Results!$D$23:$D$119)</f>
        <v/>
      </c>
      <c r="D2857" s="1" t="n">
        <v>34</v>
      </c>
      <c r="E2857" s="1" t="inlineStr">
        <is>
          <t>CHO</t>
        </is>
      </c>
      <c r="F2857" s="1" t="n">
        <v>3.9857</v>
      </c>
      <c r="G2857" s="1" t="n">
        <v>1.505134</v>
      </c>
    </row>
    <row r="2858">
      <c r="A2858" s="2" t="inlineStr">
        <is>
          <t>F11</t>
        </is>
      </c>
      <c r="B2858" s="2" t="n">
        <v>71</v>
      </c>
      <c r="C2858" s="2">
        <f>_xlfn.XLOOKUP(B2858,Results!$B$23:$B$119,Results!$D$23:$D$119)</f>
        <v/>
      </c>
      <c r="D2858" s="2" t="n">
        <v>35</v>
      </c>
      <c r="E2858" s="2" t="inlineStr">
        <is>
          <t>CHO</t>
        </is>
      </c>
      <c r="F2858" s="2" t="n">
        <v>4.4251</v>
      </c>
      <c r="G2858" s="2" t="n">
        <v>1.938706</v>
      </c>
    </row>
    <row r="2859">
      <c r="A2859" s="1" t="inlineStr">
        <is>
          <t>F11</t>
        </is>
      </c>
      <c r="B2859" s="1" t="n">
        <v>71</v>
      </c>
      <c r="C2859" s="2">
        <f>_xlfn.XLOOKUP(B2859,Results!$B$23:$B$119,Results!$D$23:$D$119)</f>
        <v/>
      </c>
      <c r="D2859" s="1" t="n">
        <v>36</v>
      </c>
      <c r="E2859" s="1" t="inlineStr">
        <is>
          <t>CHO</t>
        </is>
      </c>
      <c r="F2859" s="1" t="n">
        <v>4.8231</v>
      </c>
      <c r="G2859" s="1" t="n">
        <v>2.330876</v>
      </c>
    </row>
    <row r="2860">
      <c r="A2860" s="2" t="inlineStr">
        <is>
          <t>F11</t>
        </is>
      </c>
      <c r="B2860" s="2" t="n">
        <v>71</v>
      </c>
      <c r="C2860" s="2">
        <f>_xlfn.XLOOKUP(B2860,Results!$B$23:$B$119,Results!$D$23:$D$119)</f>
        <v/>
      </c>
      <c r="D2860" s="2" t="n">
        <v>37</v>
      </c>
      <c r="E2860" s="2" t="inlineStr">
        <is>
          <t>CHO</t>
        </is>
      </c>
      <c r="F2860" s="2" t="n">
        <v>5.168</v>
      </c>
      <c r="G2860" s="2" t="n">
        <v>2.670012</v>
      </c>
    </row>
    <row r="2861">
      <c r="A2861" s="1" t="inlineStr">
        <is>
          <t>F11</t>
        </is>
      </c>
      <c r="B2861" s="1" t="n">
        <v>71</v>
      </c>
      <c r="C2861" s="2">
        <f>_xlfn.XLOOKUP(B2861,Results!$B$23:$B$119,Results!$D$23:$D$119)</f>
        <v/>
      </c>
      <c r="D2861" s="1" t="n">
        <v>38</v>
      </c>
      <c r="E2861" s="1" t="inlineStr">
        <is>
          <t>CHO</t>
        </is>
      </c>
      <c r="F2861" s="1" t="n">
        <v>5.4909</v>
      </c>
      <c r="G2861" s="1" t="n">
        <v>2.987085</v>
      </c>
    </row>
    <row r="2862">
      <c r="A2862" s="2" t="inlineStr">
        <is>
          <t>F11</t>
        </is>
      </c>
      <c r="B2862" s="2" t="n">
        <v>71</v>
      </c>
      <c r="C2862" s="2">
        <f>_xlfn.XLOOKUP(B2862,Results!$B$23:$B$119,Results!$D$23:$D$119)</f>
        <v/>
      </c>
      <c r="D2862" s="2" t="n">
        <v>39</v>
      </c>
      <c r="E2862" s="2" t="inlineStr">
        <is>
          <t>CHO</t>
        </is>
      </c>
      <c r="F2862" s="2" t="n">
        <v>5.7797</v>
      </c>
      <c r="G2862" s="2" t="n">
        <v>3.270091</v>
      </c>
    </row>
    <row r="2863">
      <c r="A2863" s="1" t="inlineStr">
        <is>
          <t>F11</t>
        </is>
      </c>
      <c r="B2863" s="1" t="n">
        <v>71</v>
      </c>
      <c r="C2863" s="2">
        <f>_xlfn.XLOOKUP(B2863,Results!$B$23:$B$119,Results!$D$23:$D$119)</f>
        <v/>
      </c>
      <c r="D2863" s="1" t="n">
        <v>40</v>
      </c>
      <c r="E2863" s="1" t="inlineStr">
        <is>
          <t>CHO</t>
        </is>
      </c>
      <c r="F2863" s="1" t="n">
        <v>5.9999</v>
      </c>
      <c r="G2863" s="1" t="n">
        <v>3.484433</v>
      </c>
    </row>
    <row r="2864">
      <c r="A2864" s="2" t="inlineStr">
        <is>
          <t>F12</t>
        </is>
      </c>
      <c r="B2864" s="2" t="n">
        <v>72</v>
      </c>
      <c r="C2864" s="2">
        <f>_xlfn.XLOOKUP(B2864,Results!$B$23:$B$119,Results!$D$23:$D$119)</f>
        <v/>
      </c>
      <c r="D2864" s="2" t="n">
        <v>1</v>
      </c>
      <c r="E2864" s="2" t="inlineStr">
        <is>
          <t>CHO</t>
        </is>
      </c>
      <c r="F2864" s="2" t="n">
        <v>2.2607</v>
      </c>
      <c r="G2864" s="2" t="n">
        <v>0.009644</v>
      </c>
    </row>
    <row r="2865">
      <c r="A2865" s="1" t="inlineStr">
        <is>
          <t>F12</t>
        </is>
      </c>
      <c r="B2865" s="1" t="n">
        <v>72</v>
      </c>
      <c r="C2865" s="2">
        <f>_xlfn.XLOOKUP(B2865,Results!$B$23:$B$119,Results!$D$23:$D$119)</f>
        <v/>
      </c>
      <c r="D2865" s="1" t="n">
        <v>2</v>
      </c>
      <c r="E2865" s="1" t="inlineStr">
        <is>
          <t>CHO</t>
        </is>
      </c>
      <c r="F2865" s="1" t="n">
        <v>2.2605</v>
      </c>
      <c r="G2865" s="1" t="n">
        <v>0.004253</v>
      </c>
    </row>
    <row r="2866">
      <c r="A2866" s="2" t="inlineStr">
        <is>
          <t>F12</t>
        </is>
      </c>
      <c r="B2866" s="2" t="n">
        <v>72</v>
      </c>
      <c r="C2866" s="2">
        <f>_xlfn.XLOOKUP(B2866,Results!$B$23:$B$119,Results!$D$23:$D$119)</f>
        <v/>
      </c>
      <c r="D2866" s="2" t="n">
        <v>3</v>
      </c>
      <c r="E2866" s="2" t="inlineStr">
        <is>
          <t>CHO</t>
        </is>
      </c>
      <c r="F2866" s="2" t="n">
        <v>2.2629</v>
      </c>
      <c r="G2866" s="2" t="n">
        <v>0.001393</v>
      </c>
    </row>
    <row r="2867">
      <c r="A2867" s="1" t="inlineStr">
        <is>
          <t>F12</t>
        </is>
      </c>
      <c r="B2867" s="1" t="n">
        <v>72</v>
      </c>
      <c r="C2867" s="2">
        <f>_xlfn.XLOOKUP(B2867,Results!$B$23:$B$119,Results!$D$23:$D$119)</f>
        <v/>
      </c>
      <c r="D2867" s="1" t="n">
        <v>4</v>
      </c>
      <c r="E2867" s="1" t="inlineStr">
        <is>
          <t>CHO</t>
        </is>
      </c>
      <c r="F2867" s="1" t="n">
        <v>2.2668</v>
      </c>
      <c r="G2867" s="1" t="n">
        <v>0.000104</v>
      </c>
    </row>
    <row r="2868">
      <c r="A2868" s="2" t="inlineStr">
        <is>
          <t>F12</t>
        </is>
      </c>
      <c r="B2868" s="2" t="n">
        <v>72</v>
      </c>
      <c r="C2868" s="2">
        <f>_xlfn.XLOOKUP(B2868,Results!$B$23:$B$119,Results!$D$23:$D$119)</f>
        <v/>
      </c>
      <c r="D2868" s="2" t="n">
        <v>5</v>
      </c>
      <c r="E2868" s="2" t="inlineStr">
        <is>
          <t>CHO</t>
        </is>
      </c>
      <c r="F2868" s="2" t="n">
        <v>2.2716</v>
      </c>
      <c r="G2868" s="2" t="n">
        <v>-0.00028</v>
      </c>
    </row>
    <row r="2869">
      <c r="A2869" s="1" t="inlineStr">
        <is>
          <t>F12</t>
        </is>
      </c>
      <c r="B2869" s="1" t="n">
        <v>72</v>
      </c>
      <c r="C2869" s="2">
        <f>_xlfn.XLOOKUP(B2869,Results!$B$23:$B$119,Results!$D$23:$D$119)</f>
        <v/>
      </c>
      <c r="D2869" s="1" t="n">
        <v>6</v>
      </c>
      <c r="E2869" s="1" t="inlineStr">
        <is>
          <t>CHO</t>
        </is>
      </c>
      <c r="F2869" s="1" t="n">
        <v>2.2807</v>
      </c>
      <c r="G2869" s="1" t="n">
        <v>0.003683</v>
      </c>
    </row>
    <row r="2870">
      <c r="A2870" s="2" t="inlineStr">
        <is>
          <t>F12</t>
        </is>
      </c>
      <c r="B2870" s="2" t="n">
        <v>72</v>
      </c>
      <c r="C2870" s="2">
        <f>_xlfn.XLOOKUP(B2870,Results!$B$23:$B$119,Results!$D$23:$D$119)</f>
        <v/>
      </c>
      <c r="D2870" s="2" t="n">
        <v>7</v>
      </c>
      <c r="E2870" s="2" t="inlineStr">
        <is>
          <t>CHO</t>
        </is>
      </c>
      <c r="F2870" s="2" t="n">
        <v>2.2848</v>
      </c>
      <c r="G2870" s="2" t="n">
        <v>0.00255</v>
      </c>
    </row>
    <row r="2871">
      <c r="A2871" s="1" t="inlineStr">
        <is>
          <t>F12</t>
        </is>
      </c>
      <c r="B2871" s="1" t="n">
        <v>72</v>
      </c>
      <c r="C2871" s="2">
        <f>_xlfn.XLOOKUP(B2871,Results!$B$23:$B$119,Results!$D$23:$D$119)</f>
        <v/>
      </c>
      <c r="D2871" s="1" t="n">
        <v>8</v>
      </c>
      <c r="E2871" s="1" t="inlineStr">
        <is>
          <t>CHO</t>
        </is>
      </c>
      <c r="F2871" s="1" t="n">
        <v>2.2886</v>
      </c>
      <c r="G2871" s="1" t="n">
        <v>0.001173</v>
      </c>
    </row>
    <row r="2872">
      <c r="A2872" s="2" t="inlineStr">
        <is>
          <t>F12</t>
        </is>
      </c>
      <c r="B2872" s="2" t="n">
        <v>72</v>
      </c>
      <c r="C2872" s="2">
        <f>_xlfn.XLOOKUP(B2872,Results!$B$23:$B$119,Results!$D$23:$D$119)</f>
        <v/>
      </c>
      <c r="D2872" s="2" t="n">
        <v>9</v>
      </c>
      <c r="E2872" s="2" t="inlineStr">
        <is>
          <t>CHO</t>
        </is>
      </c>
      <c r="F2872" s="2" t="n">
        <v>2.2916</v>
      </c>
      <c r="G2872" s="2" t="n">
        <v>-0.001032</v>
      </c>
    </row>
    <row r="2873">
      <c r="A2873" s="1" t="inlineStr">
        <is>
          <t>F12</t>
        </is>
      </c>
      <c r="B2873" s="1" t="n">
        <v>72</v>
      </c>
      <c r="C2873" s="2">
        <f>_xlfn.XLOOKUP(B2873,Results!$B$23:$B$119,Results!$D$23:$D$119)</f>
        <v/>
      </c>
      <c r="D2873" s="1" t="n">
        <v>10</v>
      </c>
      <c r="E2873" s="1" t="inlineStr">
        <is>
          <t>CHO</t>
        </is>
      </c>
      <c r="F2873" s="1" t="n">
        <v>2.2963</v>
      </c>
      <c r="G2873" s="1" t="n">
        <v>-0.001466</v>
      </c>
    </row>
    <row r="2874">
      <c r="A2874" s="2" t="inlineStr">
        <is>
          <t>F12</t>
        </is>
      </c>
      <c r="B2874" s="2" t="n">
        <v>72</v>
      </c>
      <c r="C2874" s="2">
        <f>_xlfn.XLOOKUP(B2874,Results!$B$23:$B$119,Results!$D$23:$D$119)</f>
        <v/>
      </c>
      <c r="D2874" s="2" t="n">
        <v>11</v>
      </c>
      <c r="E2874" s="2" t="inlineStr">
        <is>
          <t>CHO</t>
        </is>
      </c>
      <c r="F2874" s="2" t="n">
        <v>2.3024</v>
      </c>
      <c r="G2874" s="2" t="n">
        <v>-0.000616</v>
      </c>
    </row>
    <row r="2875">
      <c r="A2875" s="1" t="inlineStr">
        <is>
          <t>F12</t>
        </is>
      </c>
      <c r="B2875" s="1" t="n">
        <v>72</v>
      </c>
      <c r="C2875" s="2">
        <f>_xlfn.XLOOKUP(B2875,Results!$B$23:$B$119,Results!$D$23:$D$119)</f>
        <v/>
      </c>
      <c r="D2875" s="1" t="n">
        <v>12</v>
      </c>
      <c r="E2875" s="1" t="inlineStr">
        <is>
          <t>CHO</t>
        </is>
      </c>
      <c r="F2875" s="1" t="n">
        <v>2.3091</v>
      </c>
      <c r="G2875" s="1" t="n">
        <v>0.000959</v>
      </c>
    </row>
    <row r="2876">
      <c r="A2876" s="2" t="inlineStr">
        <is>
          <t>F12</t>
        </is>
      </c>
      <c r="B2876" s="2" t="n">
        <v>72</v>
      </c>
      <c r="C2876" s="2">
        <f>_xlfn.XLOOKUP(B2876,Results!$B$23:$B$119,Results!$D$23:$D$119)</f>
        <v/>
      </c>
      <c r="D2876" s="2" t="n">
        <v>13</v>
      </c>
      <c r="E2876" s="2" t="inlineStr">
        <is>
          <t>CHO</t>
        </is>
      </c>
      <c r="F2876" s="2" t="n">
        <v>2.3119</v>
      </c>
      <c r="G2876" s="2" t="n">
        <v>-0.001496</v>
      </c>
    </row>
    <row r="2877">
      <c r="A2877" s="1" t="inlineStr">
        <is>
          <t>F12</t>
        </is>
      </c>
      <c r="B2877" s="1" t="n">
        <v>72</v>
      </c>
      <c r="C2877" s="2">
        <f>_xlfn.XLOOKUP(B2877,Results!$B$23:$B$119,Results!$D$23:$D$119)</f>
        <v/>
      </c>
      <c r="D2877" s="1" t="n">
        <v>14</v>
      </c>
      <c r="E2877" s="1" t="inlineStr">
        <is>
          <t>CHO</t>
        </is>
      </c>
      <c r="F2877" s="1" t="n">
        <v>2.3143</v>
      </c>
      <c r="G2877" s="1" t="n">
        <v>-0.004291</v>
      </c>
    </row>
    <row r="2878">
      <c r="A2878" s="2" t="inlineStr">
        <is>
          <t>F12</t>
        </is>
      </c>
      <c r="B2878" s="2" t="n">
        <v>72</v>
      </c>
      <c r="C2878" s="2">
        <f>_xlfn.XLOOKUP(B2878,Results!$B$23:$B$119,Results!$D$23:$D$119)</f>
        <v/>
      </c>
      <c r="D2878" s="2" t="n">
        <v>15</v>
      </c>
      <c r="E2878" s="2" t="inlineStr">
        <is>
          <t>CHO</t>
        </is>
      </c>
      <c r="F2878" s="2" t="n">
        <v>2.3195</v>
      </c>
      <c r="G2878" s="2" t="n">
        <v>-0.004286</v>
      </c>
    </row>
    <row r="2879">
      <c r="A2879" s="1" t="inlineStr">
        <is>
          <t>F12</t>
        </is>
      </c>
      <c r="B2879" s="1" t="n">
        <v>72</v>
      </c>
      <c r="C2879" s="2">
        <f>_xlfn.XLOOKUP(B2879,Results!$B$23:$B$119,Results!$D$23:$D$119)</f>
        <v/>
      </c>
      <c r="D2879" s="1" t="n">
        <v>16</v>
      </c>
      <c r="E2879" s="1" t="inlineStr">
        <is>
          <t>CHO</t>
        </is>
      </c>
      <c r="F2879" s="1" t="n">
        <v>2.3235</v>
      </c>
      <c r="G2879" s="1" t="n">
        <v>-0.005408</v>
      </c>
    </row>
    <row r="2880">
      <c r="A2880" s="2" t="inlineStr">
        <is>
          <t>F12</t>
        </is>
      </c>
      <c r="B2880" s="2" t="n">
        <v>72</v>
      </c>
      <c r="C2880" s="2">
        <f>_xlfn.XLOOKUP(B2880,Results!$B$23:$B$119,Results!$D$23:$D$119)</f>
        <v/>
      </c>
      <c r="D2880" s="2" t="n">
        <v>17</v>
      </c>
      <c r="E2880" s="2" t="inlineStr">
        <is>
          <t>CHO</t>
        </is>
      </c>
      <c r="F2880" s="2" t="n">
        <v>2.3325</v>
      </c>
      <c r="G2880" s="2" t="n">
        <v>-0.001604</v>
      </c>
    </row>
    <row r="2881">
      <c r="A2881" s="1" t="inlineStr">
        <is>
          <t>F12</t>
        </is>
      </c>
      <c r="B2881" s="1" t="n">
        <v>72</v>
      </c>
      <c r="C2881" s="2">
        <f>_xlfn.XLOOKUP(B2881,Results!$B$23:$B$119,Results!$D$23:$D$119)</f>
        <v/>
      </c>
      <c r="D2881" s="1" t="n">
        <v>18</v>
      </c>
      <c r="E2881" s="1" t="inlineStr">
        <is>
          <t>CHO</t>
        </is>
      </c>
      <c r="F2881" s="1" t="n">
        <v>2.339</v>
      </c>
      <c r="G2881" s="1" t="n">
        <v>-0.000296</v>
      </c>
    </row>
    <row r="2882">
      <c r="A2882" s="2" t="inlineStr">
        <is>
          <t>F12</t>
        </is>
      </c>
      <c r="B2882" s="2" t="n">
        <v>72</v>
      </c>
      <c r="C2882" s="2">
        <f>_xlfn.XLOOKUP(B2882,Results!$B$23:$B$119,Results!$D$23:$D$119)</f>
        <v/>
      </c>
      <c r="D2882" s="2" t="n">
        <v>19</v>
      </c>
      <c r="E2882" s="2" t="inlineStr">
        <is>
          <t>CHO</t>
        </is>
      </c>
      <c r="F2882" s="2" t="n">
        <v>2.344</v>
      </c>
      <c r="G2882" s="2" t="n">
        <v>-0.00049</v>
      </c>
    </row>
    <row r="2883">
      <c r="A2883" s="1" t="inlineStr">
        <is>
          <t>F12</t>
        </is>
      </c>
      <c r="B2883" s="1" t="n">
        <v>72</v>
      </c>
      <c r="C2883" s="2">
        <f>_xlfn.XLOOKUP(B2883,Results!$B$23:$B$119,Results!$D$23:$D$119)</f>
        <v/>
      </c>
      <c r="D2883" s="1" t="n">
        <v>20</v>
      </c>
      <c r="E2883" s="1" t="inlineStr">
        <is>
          <t>CHO</t>
        </is>
      </c>
      <c r="F2883" s="1" t="n">
        <v>2.3526</v>
      </c>
      <c r="G2883" s="1" t="n">
        <v>0.002907</v>
      </c>
    </row>
    <row r="2884">
      <c r="A2884" s="2" t="inlineStr">
        <is>
          <t>F12</t>
        </is>
      </c>
      <c r="B2884" s="2" t="n">
        <v>72</v>
      </c>
      <c r="C2884" s="2">
        <f>_xlfn.XLOOKUP(B2884,Results!$B$23:$B$119,Results!$D$23:$D$119)</f>
        <v/>
      </c>
      <c r="D2884" s="2" t="n">
        <v>21</v>
      </c>
      <c r="E2884" s="2" t="inlineStr">
        <is>
          <t>CHO</t>
        </is>
      </c>
      <c r="F2884" s="2" t="n">
        <v>2.3608</v>
      </c>
      <c r="G2884" s="2" t="n">
        <v>0.005899</v>
      </c>
    </row>
    <row r="2885">
      <c r="A2885" s="1" t="inlineStr">
        <is>
          <t>F12</t>
        </is>
      </c>
      <c r="B2885" s="1" t="n">
        <v>72</v>
      </c>
      <c r="C2885" s="2">
        <f>_xlfn.XLOOKUP(B2885,Results!$B$23:$B$119,Results!$D$23:$D$119)</f>
        <v/>
      </c>
      <c r="D2885" s="1" t="n">
        <v>22</v>
      </c>
      <c r="E2885" s="1" t="inlineStr">
        <is>
          <t>CHO</t>
        </is>
      </c>
      <c r="F2885" s="1" t="n">
        <v>2.3629</v>
      </c>
      <c r="G2885" s="1" t="n">
        <v>0.002803</v>
      </c>
    </row>
    <row r="2886">
      <c r="A2886" s="2" t="inlineStr">
        <is>
          <t>F12</t>
        </is>
      </c>
      <c r="B2886" s="2" t="n">
        <v>72</v>
      </c>
      <c r="C2886" s="2">
        <f>_xlfn.XLOOKUP(B2886,Results!$B$23:$B$119,Results!$D$23:$D$119)</f>
        <v/>
      </c>
      <c r="D2886" s="2" t="n">
        <v>23</v>
      </c>
      <c r="E2886" s="2" t="inlineStr">
        <is>
          <t>CHO</t>
        </is>
      </c>
      <c r="F2886" s="2" t="n">
        <v>2.365</v>
      </c>
      <c r="G2886" s="2" t="n">
        <v>-0.000207</v>
      </c>
    </row>
    <row r="2887">
      <c r="A2887" s="1" t="inlineStr">
        <is>
          <t>F12</t>
        </is>
      </c>
      <c r="B2887" s="1" t="n">
        <v>72</v>
      </c>
      <c r="C2887" s="2">
        <f>_xlfn.XLOOKUP(B2887,Results!$B$23:$B$119,Results!$D$23:$D$119)</f>
        <v/>
      </c>
      <c r="D2887" s="1" t="n">
        <v>24</v>
      </c>
      <c r="E2887" s="1" t="inlineStr">
        <is>
          <t>CHO</t>
        </is>
      </c>
      <c r="F2887" s="1" t="n">
        <v>2.3731</v>
      </c>
      <c r="G2887" s="1" t="n">
        <v>0.002648</v>
      </c>
    </row>
    <row r="2888">
      <c r="A2888" s="2" t="inlineStr">
        <is>
          <t>F12</t>
        </is>
      </c>
      <c r="B2888" s="2" t="n">
        <v>72</v>
      </c>
      <c r="C2888" s="2">
        <f>_xlfn.XLOOKUP(B2888,Results!$B$23:$B$119,Results!$D$23:$D$119)</f>
        <v/>
      </c>
      <c r="D2888" s="2" t="n">
        <v>25</v>
      </c>
      <c r="E2888" s="2" t="inlineStr">
        <is>
          <t>CHO</t>
        </is>
      </c>
      <c r="F2888" s="2" t="n">
        <v>2.3927</v>
      </c>
      <c r="G2888" s="2" t="n">
        <v>0.017035</v>
      </c>
    </row>
    <row r="2889">
      <c r="A2889" s="1" t="inlineStr">
        <is>
          <t>F12</t>
        </is>
      </c>
      <c r="B2889" s="1" t="n">
        <v>72</v>
      </c>
      <c r="C2889" s="2">
        <f>_xlfn.XLOOKUP(B2889,Results!$B$23:$B$119,Results!$D$23:$D$119)</f>
        <v/>
      </c>
      <c r="D2889" s="1" t="n">
        <v>26</v>
      </c>
      <c r="E2889" s="1" t="inlineStr">
        <is>
          <t>CHO</t>
        </is>
      </c>
      <c r="F2889" s="1" t="n">
        <v>2.4007</v>
      </c>
      <c r="G2889" s="1" t="n">
        <v>0.019928</v>
      </c>
    </row>
    <row r="2890">
      <c r="A2890" s="2" t="inlineStr">
        <is>
          <t>F12</t>
        </is>
      </c>
      <c r="B2890" s="2" t="n">
        <v>72</v>
      </c>
      <c r="C2890" s="2">
        <f>_xlfn.XLOOKUP(B2890,Results!$B$23:$B$119,Results!$D$23:$D$119)</f>
        <v/>
      </c>
      <c r="D2890" s="2" t="n">
        <v>27</v>
      </c>
      <c r="E2890" s="2" t="inlineStr">
        <is>
          <t>CHO</t>
        </is>
      </c>
      <c r="F2890" s="2" t="n">
        <v>2.4233</v>
      </c>
      <c r="G2890" s="2" t="n">
        <v>0.037338</v>
      </c>
    </row>
    <row r="2891">
      <c r="A2891" s="1" t="inlineStr">
        <is>
          <t>F12</t>
        </is>
      </c>
      <c r="B2891" s="1" t="n">
        <v>72</v>
      </c>
      <c r="C2891" s="2">
        <f>_xlfn.XLOOKUP(B2891,Results!$B$23:$B$119,Results!$D$23:$D$119)</f>
        <v/>
      </c>
      <c r="D2891" s="1" t="n">
        <v>28</v>
      </c>
      <c r="E2891" s="1" t="inlineStr">
        <is>
          <t>CHO</t>
        </is>
      </c>
      <c r="F2891" s="1" t="n">
        <v>2.4672</v>
      </c>
      <c r="G2891" s="1" t="n">
        <v>0.07602100000000001</v>
      </c>
    </row>
    <row r="2892">
      <c r="A2892" s="2" t="inlineStr">
        <is>
          <t>F12</t>
        </is>
      </c>
      <c r="B2892" s="2" t="n">
        <v>72</v>
      </c>
      <c r="C2892" s="2">
        <f>_xlfn.XLOOKUP(B2892,Results!$B$23:$B$119,Results!$D$23:$D$119)</f>
        <v/>
      </c>
      <c r="D2892" s="2" t="n">
        <v>29</v>
      </c>
      <c r="E2892" s="2" t="inlineStr">
        <is>
          <t>CHO</t>
        </is>
      </c>
      <c r="F2892" s="2" t="n">
        <v>2.5253</v>
      </c>
      <c r="G2892" s="2" t="n">
        <v>0.128912</v>
      </c>
    </row>
    <row r="2893">
      <c r="A2893" s="1" t="inlineStr">
        <is>
          <t>F12</t>
        </is>
      </c>
      <c r="B2893" s="1" t="n">
        <v>72</v>
      </c>
      <c r="C2893" s="2">
        <f>_xlfn.XLOOKUP(B2893,Results!$B$23:$B$119,Results!$D$23:$D$119)</f>
        <v/>
      </c>
      <c r="D2893" s="1" t="n">
        <v>30</v>
      </c>
      <c r="E2893" s="1" t="inlineStr">
        <is>
          <t>CHO</t>
        </is>
      </c>
      <c r="F2893" s="1" t="n">
        <v>2.6344</v>
      </c>
      <c r="G2893" s="1" t="n">
        <v>0.232802</v>
      </c>
    </row>
    <row r="2894">
      <c r="A2894" s="2" t="inlineStr">
        <is>
          <t>F12</t>
        </is>
      </c>
      <c r="B2894" s="2" t="n">
        <v>72</v>
      </c>
      <c r="C2894" s="2">
        <f>_xlfn.XLOOKUP(B2894,Results!$B$23:$B$119,Results!$D$23:$D$119)</f>
        <v/>
      </c>
      <c r="D2894" s="2" t="n">
        <v>31</v>
      </c>
      <c r="E2894" s="2" t="inlineStr">
        <is>
          <t>CHO</t>
        </is>
      </c>
      <c r="F2894" s="2" t="n">
        <v>2.8313</v>
      </c>
      <c r="G2894" s="2" t="n">
        <v>0.424568</v>
      </c>
    </row>
    <row r="2895">
      <c r="A2895" s="1" t="inlineStr">
        <is>
          <t>F12</t>
        </is>
      </c>
      <c r="B2895" s="1" t="n">
        <v>72</v>
      </c>
      <c r="C2895" s="2">
        <f>_xlfn.XLOOKUP(B2895,Results!$B$23:$B$119,Results!$D$23:$D$119)</f>
        <v/>
      </c>
      <c r="D2895" s="1" t="n">
        <v>32</v>
      </c>
      <c r="E2895" s="1" t="inlineStr">
        <is>
          <t>CHO</t>
        </is>
      </c>
      <c r="F2895" s="1" t="n">
        <v>3.1335</v>
      </c>
      <c r="G2895" s="1" t="n">
        <v>0.721591</v>
      </c>
    </row>
    <row r="2896">
      <c r="A2896" s="2" t="inlineStr">
        <is>
          <t>F12</t>
        </is>
      </c>
      <c r="B2896" s="2" t="n">
        <v>72</v>
      </c>
      <c r="C2896" s="2">
        <f>_xlfn.XLOOKUP(B2896,Results!$B$23:$B$119,Results!$D$23:$D$119)</f>
        <v/>
      </c>
      <c r="D2896" s="2" t="n">
        <v>33</v>
      </c>
      <c r="E2896" s="2" t="inlineStr">
        <is>
          <t>CHO</t>
        </is>
      </c>
      <c r="F2896" s="2" t="n">
        <v>3.4908</v>
      </c>
      <c r="G2896" s="2" t="n">
        <v>1.073614</v>
      </c>
    </row>
    <row r="2897">
      <c r="A2897" s="1" t="inlineStr">
        <is>
          <t>F12</t>
        </is>
      </c>
      <c r="B2897" s="1" t="n">
        <v>72</v>
      </c>
      <c r="C2897" s="2">
        <f>_xlfn.XLOOKUP(B2897,Results!$B$23:$B$119,Results!$D$23:$D$119)</f>
        <v/>
      </c>
      <c r="D2897" s="1" t="n">
        <v>34</v>
      </c>
      <c r="E2897" s="1" t="inlineStr">
        <is>
          <t>CHO</t>
        </is>
      </c>
      <c r="F2897" s="1" t="n">
        <v>3.9131</v>
      </c>
      <c r="G2897" s="1" t="n">
        <v>1.490782</v>
      </c>
    </row>
    <row r="2898">
      <c r="A2898" s="2" t="inlineStr">
        <is>
          <t>F12</t>
        </is>
      </c>
      <c r="B2898" s="2" t="n">
        <v>72</v>
      </c>
      <c r="C2898" s="2">
        <f>_xlfn.XLOOKUP(B2898,Results!$B$23:$B$119,Results!$D$23:$D$119)</f>
        <v/>
      </c>
      <c r="D2898" s="2" t="n">
        <v>35</v>
      </c>
      <c r="E2898" s="2" t="inlineStr">
        <is>
          <t>CHO</t>
        </is>
      </c>
      <c r="F2898" s="2" t="n">
        <v>4.3325</v>
      </c>
      <c r="G2898" s="2" t="n">
        <v>1.904947</v>
      </c>
    </row>
    <row r="2899">
      <c r="A2899" s="1" t="inlineStr">
        <is>
          <t>F12</t>
        </is>
      </c>
      <c r="B2899" s="1" t="n">
        <v>72</v>
      </c>
      <c r="C2899" s="2">
        <f>_xlfn.XLOOKUP(B2899,Results!$B$23:$B$119,Results!$D$23:$D$119)</f>
        <v/>
      </c>
      <c r="D2899" s="1" t="n">
        <v>36</v>
      </c>
      <c r="E2899" s="1" t="inlineStr">
        <is>
          <t>CHO</t>
        </is>
      </c>
      <c r="F2899" s="1" t="n">
        <v>4.7071</v>
      </c>
      <c r="G2899" s="1" t="n">
        <v>2.274338</v>
      </c>
    </row>
    <row r="2900">
      <c r="A2900" s="2" t="inlineStr">
        <is>
          <t>F12</t>
        </is>
      </c>
      <c r="B2900" s="2" t="n">
        <v>72</v>
      </c>
      <c r="C2900" s="2">
        <f>_xlfn.XLOOKUP(B2900,Results!$B$23:$B$119,Results!$D$23:$D$119)</f>
        <v/>
      </c>
      <c r="D2900" s="2" t="n">
        <v>37</v>
      </c>
      <c r="E2900" s="2" t="inlineStr">
        <is>
          <t>CHO</t>
        </is>
      </c>
      <c r="F2900" s="2" t="n">
        <v>5.0381</v>
      </c>
      <c r="G2900" s="2" t="n">
        <v>2.600168</v>
      </c>
    </row>
    <row r="2901">
      <c r="A2901" s="1" t="inlineStr">
        <is>
          <t>F12</t>
        </is>
      </c>
      <c r="B2901" s="1" t="n">
        <v>72</v>
      </c>
      <c r="C2901" s="2">
        <f>_xlfn.XLOOKUP(B2901,Results!$B$23:$B$119,Results!$D$23:$D$119)</f>
        <v/>
      </c>
      <c r="D2901" s="1" t="n">
        <v>38</v>
      </c>
      <c r="E2901" s="1" t="inlineStr">
        <is>
          <t>CHO</t>
        </is>
      </c>
      <c r="F2901" s="1" t="n">
        <v>5.3479</v>
      </c>
      <c r="G2901" s="1" t="n">
        <v>2.904827</v>
      </c>
    </row>
    <row r="2902">
      <c r="A2902" s="2" t="inlineStr">
        <is>
          <t>F12</t>
        </is>
      </c>
      <c r="B2902" s="2" t="n">
        <v>72</v>
      </c>
      <c r="C2902" s="2">
        <f>_xlfn.XLOOKUP(B2902,Results!$B$23:$B$119,Results!$D$23:$D$119)</f>
        <v/>
      </c>
      <c r="D2902" s="2" t="n">
        <v>39</v>
      </c>
      <c r="E2902" s="2" t="inlineStr">
        <is>
          <t>CHO</t>
        </is>
      </c>
      <c r="F2902" s="2" t="n">
        <v>5.6047</v>
      </c>
      <c r="G2902" s="2" t="n">
        <v>3.156387</v>
      </c>
    </row>
    <row r="2903">
      <c r="A2903" s="1" t="inlineStr">
        <is>
          <t>F12</t>
        </is>
      </c>
      <c r="B2903" s="1" t="n">
        <v>72</v>
      </c>
      <c r="C2903" s="2">
        <f>_xlfn.XLOOKUP(B2903,Results!$B$23:$B$119,Results!$D$23:$D$119)</f>
        <v/>
      </c>
      <c r="D2903" s="1" t="n">
        <v>40</v>
      </c>
      <c r="E2903" s="1" t="inlineStr">
        <is>
          <t>CHO</t>
        </is>
      </c>
      <c r="F2903" s="1" t="n">
        <v>5.793</v>
      </c>
      <c r="G2903" s="1" t="n">
        <v>3.339499</v>
      </c>
    </row>
    <row r="2904">
      <c r="A2904" s="2" t="inlineStr">
        <is>
          <t>G1</t>
        </is>
      </c>
      <c r="B2904" s="2" t="n">
        <v>73</v>
      </c>
      <c r="C2904" s="2">
        <f>_xlfn.XLOOKUP(B2904,Results!$B$23:$B$119,Results!$D$23:$D$119)</f>
        <v/>
      </c>
      <c r="D2904" s="2" t="n">
        <v>1</v>
      </c>
      <c r="E2904" s="2" t="inlineStr">
        <is>
          <t>CHO</t>
        </is>
      </c>
      <c r="F2904" s="2" t="n">
        <v>2.2615</v>
      </c>
      <c r="G2904" s="2" t="n">
        <v>0.001058</v>
      </c>
    </row>
    <row r="2905">
      <c r="A2905" s="1" t="inlineStr">
        <is>
          <t>G1</t>
        </is>
      </c>
      <c r="B2905" s="1" t="n">
        <v>73</v>
      </c>
      <c r="C2905" s="2">
        <f>_xlfn.XLOOKUP(B2905,Results!$B$23:$B$119,Results!$D$23:$D$119)</f>
        <v/>
      </c>
      <c r="D2905" s="1" t="n">
        <v>2</v>
      </c>
      <c r="E2905" s="1" t="inlineStr">
        <is>
          <t>CHO</t>
        </is>
      </c>
      <c r="F2905" s="1" t="n">
        <v>2.2629</v>
      </c>
      <c r="G2905" s="1" t="n">
        <v>-0.00217</v>
      </c>
    </row>
    <row r="2906">
      <c r="A2906" s="2" t="inlineStr">
        <is>
          <t>G1</t>
        </is>
      </c>
      <c r="B2906" s="2" t="n">
        <v>73</v>
      </c>
      <c r="C2906" s="2">
        <f>_xlfn.XLOOKUP(B2906,Results!$B$23:$B$119,Results!$D$23:$D$119)</f>
        <v/>
      </c>
      <c r="D2906" s="2" t="n">
        <v>3</v>
      </c>
      <c r="E2906" s="2" t="inlineStr">
        <is>
          <t>CHO</t>
        </is>
      </c>
      <c r="F2906" s="2" t="n">
        <v>2.2709</v>
      </c>
      <c r="G2906" s="2" t="n">
        <v>0.001122</v>
      </c>
    </row>
    <row r="2907">
      <c r="A2907" s="1" t="inlineStr">
        <is>
          <t>G1</t>
        </is>
      </c>
      <c r="B2907" s="1" t="n">
        <v>73</v>
      </c>
      <c r="C2907" s="2">
        <f>_xlfn.XLOOKUP(B2907,Results!$B$23:$B$119,Results!$D$23:$D$119)</f>
        <v/>
      </c>
      <c r="D2907" s="1" t="n">
        <v>4</v>
      </c>
      <c r="E2907" s="1" t="inlineStr">
        <is>
          <t>CHO</t>
        </is>
      </c>
      <c r="F2907" s="1" t="n">
        <v>2.2752</v>
      </c>
      <c r="G2907" s="1" t="n">
        <v>0.000672</v>
      </c>
    </row>
    <row r="2908">
      <c r="A2908" s="2" t="inlineStr">
        <is>
          <t>G1</t>
        </is>
      </c>
      <c r="B2908" s="2" t="n">
        <v>73</v>
      </c>
      <c r="C2908" s="2">
        <f>_xlfn.XLOOKUP(B2908,Results!$B$23:$B$119,Results!$D$23:$D$119)</f>
        <v/>
      </c>
      <c r="D2908" s="2" t="n">
        <v>5</v>
      </c>
      <c r="E2908" s="2" t="inlineStr">
        <is>
          <t>CHO</t>
        </is>
      </c>
      <c r="F2908" s="2" t="n">
        <v>2.279</v>
      </c>
      <c r="G2908" s="2" t="n">
        <v>-0.0002</v>
      </c>
    </row>
    <row r="2909">
      <c r="A2909" s="1" t="inlineStr">
        <is>
          <t>G1</t>
        </is>
      </c>
      <c r="B2909" s="1" t="n">
        <v>73</v>
      </c>
      <c r="C2909" s="2">
        <f>_xlfn.XLOOKUP(B2909,Results!$B$23:$B$119,Results!$D$23:$D$119)</f>
        <v/>
      </c>
      <c r="D2909" s="1" t="n">
        <v>6</v>
      </c>
      <c r="E2909" s="1" t="inlineStr">
        <is>
          <t>CHO</t>
        </is>
      </c>
      <c r="F2909" s="1" t="n">
        <v>2.2822</v>
      </c>
      <c r="G2909" s="1" t="n">
        <v>-0.001689</v>
      </c>
    </row>
    <row r="2910">
      <c r="A2910" s="2" t="inlineStr">
        <is>
          <t>G1</t>
        </is>
      </c>
      <c r="B2910" s="2" t="n">
        <v>73</v>
      </c>
      <c r="C2910" s="2">
        <f>_xlfn.XLOOKUP(B2910,Results!$B$23:$B$119,Results!$D$23:$D$119)</f>
        <v/>
      </c>
      <c r="D2910" s="2" t="n">
        <v>7</v>
      </c>
      <c r="E2910" s="2" t="inlineStr">
        <is>
          <t>CHO</t>
        </is>
      </c>
      <c r="F2910" s="2" t="n">
        <v>2.2886</v>
      </c>
      <c r="G2910" s="2" t="n">
        <v>-1.6e-05</v>
      </c>
    </row>
    <row r="2911">
      <c r="A2911" s="1" t="inlineStr">
        <is>
          <t>G1</t>
        </is>
      </c>
      <c r="B2911" s="1" t="n">
        <v>73</v>
      </c>
      <c r="C2911" s="2">
        <f>_xlfn.XLOOKUP(B2911,Results!$B$23:$B$119,Results!$D$23:$D$119)</f>
        <v/>
      </c>
      <c r="D2911" s="1" t="n">
        <v>8</v>
      </c>
      <c r="E2911" s="1" t="inlineStr">
        <is>
          <t>CHO</t>
        </is>
      </c>
      <c r="F2911" s="1" t="n">
        <v>2.2921</v>
      </c>
      <c r="G2911" s="1" t="n">
        <v>-0.001262</v>
      </c>
    </row>
    <row r="2912">
      <c r="A2912" s="2" t="inlineStr">
        <is>
          <t>G1</t>
        </is>
      </c>
      <c r="B2912" s="2" t="n">
        <v>73</v>
      </c>
      <c r="C2912" s="2">
        <f>_xlfn.XLOOKUP(B2912,Results!$B$23:$B$119,Results!$D$23:$D$119)</f>
        <v/>
      </c>
      <c r="D2912" s="2" t="n">
        <v>9</v>
      </c>
      <c r="E2912" s="2" t="inlineStr">
        <is>
          <t>CHO</t>
        </is>
      </c>
      <c r="F2912" s="2" t="n">
        <v>2.2984</v>
      </c>
      <c r="G2912" s="2" t="n">
        <v>0.00033</v>
      </c>
    </row>
    <row r="2913">
      <c r="A2913" s="1" t="inlineStr">
        <is>
          <t>G1</t>
        </is>
      </c>
      <c r="B2913" s="1" t="n">
        <v>73</v>
      </c>
      <c r="C2913" s="2">
        <f>_xlfn.XLOOKUP(B2913,Results!$B$23:$B$119,Results!$D$23:$D$119)</f>
        <v/>
      </c>
      <c r="D2913" s="1" t="n">
        <v>10</v>
      </c>
      <c r="E2913" s="1" t="inlineStr">
        <is>
          <t>CHO</t>
        </is>
      </c>
      <c r="F2913" s="1" t="n">
        <v>2.3028</v>
      </c>
      <c r="G2913" s="1" t="n">
        <v>6.8e-05</v>
      </c>
    </row>
    <row r="2914">
      <c r="A2914" s="2" t="inlineStr">
        <is>
          <t>G1</t>
        </is>
      </c>
      <c r="B2914" s="2" t="n">
        <v>73</v>
      </c>
      <c r="C2914" s="2">
        <f>_xlfn.XLOOKUP(B2914,Results!$B$23:$B$119,Results!$D$23:$D$119)</f>
        <v/>
      </c>
      <c r="D2914" s="2" t="n">
        <v>11</v>
      </c>
      <c r="E2914" s="2" t="inlineStr">
        <is>
          <t>CHO</t>
        </is>
      </c>
      <c r="F2914" s="2" t="n">
        <v>2.3082</v>
      </c>
      <c r="G2914" s="2" t="n">
        <v>0.000713</v>
      </c>
    </row>
    <row r="2915">
      <c r="A2915" s="1" t="inlineStr">
        <is>
          <t>G1</t>
        </is>
      </c>
      <c r="B2915" s="1" t="n">
        <v>73</v>
      </c>
      <c r="C2915" s="2">
        <f>_xlfn.XLOOKUP(B2915,Results!$B$23:$B$119,Results!$D$23:$D$119)</f>
        <v/>
      </c>
      <c r="D2915" s="1" t="n">
        <v>12</v>
      </c>
      <c r="E2915" s="1" t="inlineStr">
        <is>
          <t>CHO</t>
        </is>
      </c>
      <c r="F2915" s="1" t="n">
        <v>2.3118</v>
      </c>
      <c r="G2915" s="1" t="n">
        <v>-0.000387</v>
      </c>
    </row>
    <row r="2916">
      <c r="A2916" s="2" t="inlineStr">
        <is>
          <t>G1</t>
        </is>
      </c>
      <c r="B2916" s="2" t="n">
        <v>73</v>
      </c>
      <c r="C2916" s="2">
        <f>_xlfn.XLOOKUP(B2916,Results!$B$23:$B$119,Results!$D$23:$D$119)</f>
        <v/>
      </c>
      <c r="D2916" s="2" t="n">
        <v>13</v>
      </c>
      <c r="E2916" s="2" t="inlineStr">
        <is>
          <t>CHO</t>
        </is>
      </c>
      <c r="F2916" s="2" t="n">
        <v>2.3175</v>
      </c>
      <c r="G2916" s="2" t="n">
        <v>0.00065</v>
      </c>
    </row>
    <row r="2917">
      <c r="A2917" s="1" t="inlineStr">
        <is>
          <t>G1</t>
        </is>
      </c>
      <c r="B2917" s="1" t="n">
        <v>73</v>
      </c>
      <c r="C2917" s="2">
        <f>_xlfn.XLOOKUP(B2917,Results!$B$23:$B$119,Results!$D$23:$D$119)</f>
        <v/>
      </c>
      <c r="D2917" s="1" t="n">
        <v>14</v>
      </c>
      <c r="E2917" s="1" t="inlineStr">
        <is>
          <t>CHO</t>
        </is>
      </c>
      <c r="F2917" s="1" t="n">
        <v>2.3286</v>
      </c>
      <c r="G2917" s="1" t="n">
        <v>0.007099</v>
      </c>
    </row>
    <row r="2918">
      <c r="A2918" s="2" t="inlineStr">
        <is>
          <t>G1</t>
        </is>
      </c>
      <c r="B2918" s="2" t="n">
        <v>73</v>
      </c>
      <c r="C2918" s="2">
        <f>_xlfn.XLOOKUP(B2918,Results!$B$23:$B$119,Results!$D$23:$D$119)</f>
        <v/>
      </c>
      <c r="D2918" s="2" t="n">
        <v>15</v>
      </c>
      <c r="E2918" s="2" t="inlineStr">
        <is>
          <t>CHO</t>
        </is>
      </c>
      <c r="F2918" s="2" t="n">
        <v>2.3416</v>
      </c>
      <c r="G2918" s="2" t="n">
        <v>0.01539</v>
      </c>
    </row>
    <row r="2919">
      <c r="A2919" s="1" t="inlineStr">
        <is>
          <t>G1</t>
        </is>
      </c>
      <c r="B2919" s="1" t="n">
        <v>73</v>
      </c>
      <c r="C2919" s="2">
        <f>_xlfn.XLOOKUP(B2919,Results!$B$23:$B$119,Results!$D$23:$D$119)</f>
        <v/>
      </c>
      <c r="D2919" s="1" t="n">
        <v>16</v>
      </c>
      <c r="E2919" s="1" t="inlineStr">
        <is>
          <t>CHO</t>
        </is>
      </c>
      <c r="F2919" s="1" t="n">
        <v>2.3608</v>
      </c>
      <c r="G2919" s="1" t="n">
        <v>0.029868</v>
      </c>
    </row>
    <row r="2920">
      <c r="A2920" s="2" t="inlineStr">
        <is>
          <t>G1</t>
        </is>
      </c>
      <c r="B2920" s="2" t="n">
        <v>73</v>
      </c>
      <c r="C2920" s="2">
        <f>_xlfn.XLOOKUP(B2920,Results!$B$23:$B$119,Results!$D$23:$D$119)</f>
        <v/>
      </c>
      <c r="D2920" s="2" t="n">
        <v>17</v>
      </c>
      <c r="E2920" s="2" t="inlineStr">
        <is>
          <t>CHO</t>
        </is>
      </c>
      <c r="F2920" s="2" t="n">
        <v>2.398</v>
      </c>
      <c r="G2920" s="2" t="n">
        <v>0.062303</v>
      </c>
    </row>
    <row r="2921">
      <c r="A2921" s="1" t="inlineStr">
        <is>
          <t>G1</t>
        </is>
      </c>
      <c r="B2921" s="1" t="n">
        <v>73</v>
      </c>
      <c r="C2921" s="2">
        <f>_xlfn.XLOOKUP(B2921,Results!$B$23:$B$119,Results!$D$23:$D$119)</f>
        <v/>
      </c>
      <c r="D2921" s="1" t="n">
        <v>18</v>
      </c>
      <c r="E2921" s="1" t="inlineStr">
        <is>
          <t>CHO</t>
        </is>
      </c>
      <c r="F2921" s="1" t="n">
        <v>2.464</v>
      </c>
      <c r="G2921" s="1" t="n">
        <v>0.123674</v>
      </c>
    </row>
    <row r="2922">
      <c r="A2922" s="2" t="inlineStr">
        <is>
          <t>G1</t>
        </is>
      </c>
      <c r="B2922" s="2" t="n">
        <v>73</v>
      </c>
      <c r="C2922" s="2">
        <f>_xlfn.XLOOKUP(B2922,Results!$B$23:$B$119,Results!$D$23:$D$119)</f>
        <v/>
      </c>
      <c r="D2922" s="2" t="n">
        <v>19</v>
      </c>
      <c r="E2922" s="2" t="inlineStr">
        <is>
          <t>CHO</t>
        </is>
      </c>
      <c r="F2922" s="2" t="n">
        <v>2.5658</v>
      </c>
      <c r="G2922" s="2" t="n">
        <v>0.220697</v>
      </c>
    </row>
    <row r="2923">
      <c r="A2923" s="1" t="inlineStr">
        <is>
          <t>G1</t>
        </is>
      </c>
      <c r="B2923" s="1" t="n">
        <v>73</v>
      </c>
      <c r="C2923" s="2">
        <f>_xlfn.XLOOKUP(B2923,Results!$B$23:$B$119,Results!$D$23:$D$119)</f>
        <v/>
      </c>
      <c r="D2923" s="1" t="n">
        <v>20</v>
      </c>
      <c r="E2923" s="1" t="inlineStr">
        <is>
          <t>CHO</t>
        </is>
      </c>
      <c r="F2923" s="1" t="n">
        <v>2.7458</v>
      </c>
      <c r="G2923" s="1" t="n">
        <v>0.396035</v>
      </c>
    </row>
    <row r="2924">
      <c r="A2924" s="2" t="inlineStr">
        <is>
          <t>G1</t>
        </is>
      </c>
      <c r="B2924" s="2" t="n">
        <v>73</v>
      </c>
      <c r="C2924" s="2">
        <f>_xlfn.XLOOKUP(B2924,Results!$B$23:$B$119,Results!$D$23:$D$119)</f>
        <v/>
      </c>
      <c r="D2924" s="2" t="n">
        <v>21</v>
      </c>
      <c r="E2924" s="2" t="inlineStr">
        <is>
          <t>CHO</t>
        </is>
      </c>
      <c r="F2924" s="2" t="n">
        <v>3.0283</v>
      </c>
      <c r="G2924" s="2" t="n">
        <v>0.673794</v>
      </c>
    </row>
    <row r="2925">
      <c r="A2925" s="1" t="inlineStr">
        <is>
          <t>G1</t>
        </is>
      </c>
      <c r="B2925" s="1" t="n">
        <v>73</v>
      </c>
      <c r="C2925" s="2">
        <f>_xlfn.XLOOKUP(B2925,Results!$B$23:$B$119,Results!$D$23:$D$119)</f>
        <v/>
      </c>
      <c r="D2925" s="1" t="n">
        <v>22</v>
      </c>
      <c r="E2925" s="1" t="inlineStr">
        <is>
          <t>CHO</t>
        </is>
      </c>
      <c r="F2925" s="1" t="n">
        <v>3.3844</v>
      </c>
      <c r="G2925" s="1" t="n">
        <v>1.025258</v>
      </c>
    </row>
    <row r="2926">
      <c r="A2926" s="2" t="inlineStr">
        <is>
          <t>G1</t>
        </is>
      </c>
      <c r="B2926" s="2" t="n">
        <v>73</v>
      </c>
      <c r="C2926" s="2">
        <f>_xlfn.XLOOKUP(B2926,Results!$B$23:$B$119,Results!$D$23:$D$119)</f>
        <v/>
      </c>
      <c r="D2926" s="2" t="n">
        <v>23</v>
      </c>
      <c r="E2926" s="2" t="inlineStr">
        <is>
          <t>CHO</t>
        </is>
      </c>
      <c r="F2926" s="2" t="n">
        <v>3.8159</v>
      </c>
      <c r="G2926" s="2" t="n">
        <v>1.452071</v>
      </c>
    </row>
    <row r="2927">
      <c r="A2927" s="1" t="inlineStr">
        <is>
          <t>G1</t>
        </is>
      </c>
      <c r="B2927" s="1" t="n">
        <v>73</v>
      </c>
      <c r="C2927" s="2">
        <f>_xlfn.XLOOKUP(B2927,Results!$B$23:$B$119,Results!$D$23:$D$119)</f>
        <v/>
      </c>
      <c r="D2927" s="1" t="n">
        <v>24</v>
      </c>
      <c r="E2927" s="1" t="inlineStr">
        <is>
          <t>CHO</t>
        </is>
      </c>
      <c r="F2927" s="1" t="n">
        <v>4.2722</v>
      </c>
      <c r="G2927" s="1" t="n">
        <v>1.903605</v>
      </c>
    </row>
    <row r="2928">
      <c r="A2928" s="2" t="inlineStr">
        <is>
          <t>G1</t>
        </is>
      </c>
      <c r="B2928" s="2" t="n">
        <v>73</v>
      </c>
      <c r="C2928" s="2">
        <f>_xlfn.XLOOKUP(B2928,Results!$B$23:$B$119,Results!$D$23:$D$119)</f>
        <v/>
      </c>
      <c r="D2928" s="2" t="n">
        <v>25</v>
      </c>
      <c r="E2928" s="2" t="inlineStr">
        <is>
          <t>CHO</t>
        </is>
      </c>
      <c r="F2928" s="2" t="n">
        <v>4.6793</v>
      </c>
      <c r="G2928" s="2" t="n">
        <v>2.306051</v>
      </c>
    </row>
    <row r="2929">
      <c r="A2929" s="1" t="inlineStr">
        <is>
          <t>G1</t>
        </is>
      </c>
      <c r="B2929" s="1" t="n">
        <v>73</v>
      </c>
      <c r="C2929" s="2">
        <f>_xlfn.XLOOKUP(B2929,Results!$B$23:$B$119,Results!$D$23:$D$119)</f>
        <v/>
      </c>
      <c r="D2929" s="1" t="n">
        <v>26</v>
      </c>
      <c r="E2929" s="1" t="inlineStr">
        <is>
          <t>CHO</t>
        </is>
      </c>
      <c r="F2929" s="1" t="n">
        <v>5.0656</v>
      </c>
      <c r="G2929" s="1" t="n">
        <v>2.687649</v>
      </c>
    </row>
    <row r="2930">
      <c r="A2930" s="2" t="inlineStr">
        <is>
          <t>G1</t>
        </is>
      </c>
      <c r="B2930" s="2" t="n">
        <v>73</v>
      </c>
      <c r="C2930" s="2">
        <f>_xlfn.XLOOKUP(B2930,Results!$B$23:$B$119,Results!$D$23:$D$119)</f>
        <v/>
      </c>
      <c r="D2930" s="2" t="n">
        <v>27</v>
      </c>
      <c r="E2930" s="2" t="inlineStr">
        <is>
          <t>CHO</t>
        </is>
      </c>
      <c r="F2930" s="2" t="n">
        <v>5.3877</v>
      </c>
      <c r="G2930" s="2" t="n">
        <v>3.005027</v>
      </c>
    </row>
    <row r="2931">
      <c r="A2931" s="1" t="inlineStr">
        <is>
          <t>G1</t>
        </is>
      </c>
      <c r="B2931" s="1" t="n">
        <v>73</v>
      </c>
      <c r="C2931" s="2">
        <f>_xlfn.XLOOKUP(B2931,Results!$B$23:$B$119,Results!$D$23:$D$119)</f>
        <v/>
      </c>
      <c r="D2931" s="1" t="n">
        <v>28</v>
      </c>
      <c r="E2931" s="1" t="inlineStr">
        <is>
          <t>CHO</t>
        </is>
      </c>
      <c r="F2931" s="1" t="n">
        <v>5.6912</v>
      </c>
      <c r="G2931" s="1" t="n">
        <v>3.303763</v>
      </c>
    </row>
    <row r="2932">
      <c r="A2932" s="2" t="inlineStr">
        <is>
          <t>G1</t>
        </is>
      </c>
      <c r="B2932" s="2" t="n">
        <v>73</v>
      </c>
      <c r="C2932" s="2">
        <f>_xlfn.XLOOKUP(B2932,Results!$B$23:$B$119,Results!$D$23:$D$119)</f>
        <v/>
      </c>
      <c r="D2932" s="2" t="n">
        <v>29</v>
      </c>
      <c r="E2932" s="2" t="inlineStr">
        <is>
          <t>CHO</t>
        </is>
      </c>
      <c r="F2932" s="2" t="n">
        <v>5.9607</v>
      </c>
      <c r="G2932" s="2" t="n">
        <v>3.568601</v>
      </c>
    </row>
    <row r="2933">
      <c r="A2933" s="1" t="inlineStr">
        <is>
          <t>G1</t>
        </is>
      </c>
      <c r="B2933" s="1" t="n">
        <v>73</v>
      </c>
      <c r="C2933" s="2">
        <f>_xlfn.XLOOKUP(B2933,Results!$B$23:$B$119,Results!$D$23:$D$119)</f>
        <v/>
      </c>
      <c r="D2933" s="1" t="n">
        <v>30</v>
      </c>
      <c r="E2933" s="1" t="inlineStr">
        <is>
          <t>CHO</t>
        </is>
      </c>
      <c r="F2933" s="1" t="n">
        <v>6.2008</v>
      </c>
      <c r="G2933" s="1" t="n">
        <v>3.803989</v>
      </c>
    </row>
    <row r="2934">
      <c r="A2934" s="2" t="inlineStr">
        <is>
          <t>G1</t>
        </is>
      </c>
      <c r="B2934" s="2" t="n">
        <v>73</v>
      </c>
      <c r="C2934" s="2">
        <f>_xlfn.XLOOKUP(B2934,Results!$B$23:$B$119,Results!$D$23:$D$119)</f>
        <v/>
      </c>
      <c r="D2934" s="2" t="n">
        <v>31</v>
      </c>
      <c r="E2934" s="2" t="inlineStr">
        <is>
          <t>CHO</t>
        </is>
      </c>
      <c r="F2934" s="2" t="n">
        <v>6.3856</v>
      </c>
      <c r="G2934" s="2" t="n">
        <v>3.984092</v>
      </c>
    </row>
    <row r="2935">
      <c r="A2935" s="1" t="inlineStr">
        <is>
          <t>G1</t>
        </is>
      </c>
      <c r="B2935" s="1" t="n">
        <v>73</v>
      </c>
      <c r="C2935" s="2">
        <f>_xlfn.XLOOKUP(B2935,Results!$B$23:$B$119,Results!$D$23:$D$119)</f>
        <v/>
      </c>
      <c r="D2935" s="1" t="n">
        <v>32</v>
      </c>
      <c r="E2935" s="1" t="inlineStr">
        <is>
          <t>CHO</t>
        </is>
      </c>
      <c r="F2935" s="1" t="n">
        <v>6.5707</v>
      </c>
      <c r="G2935" s="1" t="n">
        <v>4.164491</v>
      </c>
    </row>
    <row r="2936">
      <c r="A2936" s="2" t="inlineStr">
        <is>
          <t>G1</t>
        </is>
      </c>
      <c r="B2936" s="2" t="n">
        <v>73</v>
      </c>
      <c r="C2936" s="2">
        <f>_xlfn.XLOOKUP(B2936,Results!$B$23:$B$119,Results!$D$23:$D$119)</f>
        <v/>
      </c>
      <c r="D2936" s="2" t="n">
        <v>33</v>
      </c>
      <c r="E2936" s="2" t="inlineStr">
        <is>
          <t>CHO</t>
        </is>
      </c>
      <c r="F2936" s="2" t="n">
        <v>6.7178</v>
      </c>
      <c r="G2936" s="2" t="n">
        <v>4.30688</v>
      </c>
    </row>
    <row r="2937">
      <c r="A2937" s="1" t="inlineStr">
        <is>
          <t>G1</t>
        </is>
      </c>
      <c r="B2937" s="1" t="n">
        <v>73</v>
      </c>
      <c r="C2937" s="2">
        <f>_xlfn.XLOOKUP(B2937,Results!$B$23:$B$119,Results!$D$23:$D$119)</f>
        <v/>
      </c>
      <c r="D2937" s="1" t="n">
        <v>34</v>
      </c>
      <c r="E2937" s="1" t="inlineStr">
        <is>
          <t>CHO</t>
        </is>
      </c>
      <c r="F2937" s="1" t="n">
        <v>6.8486</v>
      </c>
      <c r="G2937" s="1" t="n">
        <v>4.432951</v>
      </c>
    </row>
    <row r="2938">
      <c r="A2938" s="2" t="inlineStr">
        <is>
          <t>G1</t>
        </is>
      </c>
      <c r="B2938" s="2" t="n">
        <v>73</v>
      </c>
      <c r="C2938" s="2">
        <f>_xlfn.XLOOKUP(B2938,Results!$B$23:$B$119,Results!$D$23:$D$119)</f>
        <v/>
      </c>
      <c r="D2938" s="2" t="n">
        <v>35</v>
      </c>
      <c r="E2938" s="2" t="inlineStr">
        <is>
          <t>CHO</t>
        </is>
      </c>
      <c r="F2938" s="2" t="n">
        <v>6.9537</v>
      </c>
      <c r="G2938" s="2" t="n">
        <v>4.533356</v>
      </c>
    </row>
    <row r="2939">
      <c r="A2939" s="1" t="inlineStr">
        <is>
          <t>G1</t>
        </is>
      </c>
      <c r="B2939" s="1" t="n">
        <v>73</v>
      </c>
      <c r="C2939" s="2">
        <f>_xlfn.XLOOKUP(B2939,Results!$B$23:$B$119,Results!$D$23:$D$119)</f>
        <v/>
      </c>
      <c r="D2939" s="1" t="n">
        <v>36</v>
      </c>
      <c r="E2939" s="1" t="inlineStr">
        <is>
          <t>CHO</t>
        </is>
      </c>
      <c r="F2939" s="1" t="n">
        <v>7.0561</v>
      </c>
      <c r="G2939" s="1" t="n">
        <v>4.631134</v>
      </c>
    </row>
    <row r="2940">
      <c r="A2940" s="2" t="inlineStr">
        <is>
          <t>G1</t>
        </is>
      </c>
      <c r="B2940" s="2" t="n">
        <v>73</v>
      </c>
      <c r="C2940" s="2">
        <f>_xlfn.XLOOKUP(B2940,Results!$B$23:$B$119,Results!$D$23:$D$119)</f>
        <v/>
      </c>
      <c r="D2940" s="2" t="n">
        <v>37</v>
      </c>
      <c r="E2940" s="2" t="inlineStr">
        <is>
          <t>CHO</t>
        </is>
      </c>
      <c r="F2940" s="2" t="n">
        <v>7.1354</v>
      </c>
      <c r="G2940" s="2" t="n">
        <v>4.70568</v>
      </c>
    </row>
    <row r="2941">
      <c r="A2941" s="1" t="inlineStr">
        <is>
          <t>G1</t>
        </is>
      </c>
      <c r="B2941" s="1" t="n">
        <v>73</v>
      </c>
      <c r="C2941" s="2">
        <f>_xlfn.XLOOKUP(B2941,Results!$B$23:$B$119,Results!$D$23:$D$119)</f>
        <v/>
      </c>
      <c r="D2941" s="1" t="n">
        <v>38</v>
      </c>
      <c r="E2941" s="1" t="inlineStr">
        <is>
          <t>CHO</t>
        </is>
      </c>
      <c r="F2941" s="1" t="n">
        <v>7.2131</v>
      </c>
      <c r="G2941" s="1" t="n">
        <v>4.778636</v>
      </c>
    </row>
    <row r="2942">
      <c r="A2942" s="2" t="inlineStr">
        <is>
          <t>G1</t>
        </is>
      </c>
      <c r="B2942" s="2" t="n">
        <v>73</v>
      </c>
      <c r="C2942" s="2">
        <f>_xlfn.XLOOKUP(B2942,Results!$B$23:$B$119,Results!$D$23:$D$119)</f>
        <v/>
      </c>
      <c r="D2942" s="2" t="n">
        <v>39</v>
      </c>
      <c r="E2942" s="2" t="inlineStr">
        <is>
          <t>CHO</t>
        </is>
      </c>
      <c r="F2942" s="2" t="n">
        <v>7.2895</v>
      </c>
      <c r="G2942" s="2" t="n">
        <v>4.850353</v>
      </c>
    </row>
    <row r="2943">
      <c r="A2943" s="1" t="inlineStr">
        <is>
          <t>G1</t>
        </is>
      </c>
      <c r="B2943" s="1" t="n">
        <v>73</v>
      </c>
      <c r="C2943" s="2">
        <f>_xlfn.XLOOKUP(B2943,Results!$B$23:$B$119,Results!$D$23:$D$119)</f>
        <v/>
      </c>
      <c r="D2943" s="1" t="n">
        <v>40</v>
      </c>
      <c r="E2943" s="1" t="inlineStr">
        <is>
          <t>CHO</t>
        </is>
      </c>
      <c r="F2943" s="1" t="n">
        <v>7.3423</v>
      </c>
      <c r="G2943" s="1" t="n">
        <v>4.898432</v>
      </c>
    </row>
    <row r="2944">
      <c r="A2944" s="2" t="inlineStr">
        <is>
          <t>G2</t>
        </is>
      </c>
      <c r="B2944" s="2" t="n">
        <v>74</v>
      </c>
      <c r="C2944" s="2">
        <f>_xlfn.XLOOKUP(B2944,Results!$B$23:$B$119,Results!$D$23:$D$119)</f>
        <v/>
      </c>
      <c r="D2944" s="2" t="n">
        <v>1</v>
      </c>
      <c r="E2944" s="2" t="inlineStr">
        <is>
          <t>CHO</t>
        </is>
      </c>
      <c r="F2944" s="2" t="n">
        <v>2.2439</v>
      </c>
      <c r="G2944" s="2" t="n">
        <v>-0.009039</v>
      </c>
    </row>
    <row r="2945">
      <c r="A2945" s="1" t="inlineStr">
        <is>
          <t>G2</t>
        </is>
      </c>
      <c r="B2945" s="1" t="n">
        <v>74</v>
      </c>
      <c r="C2945" s="2">
        <f>_xlfn.XLOOKUP(B2945,Results!$B$23:$B$119,Results!$D$23:$D$119)</f>
        <v/>
      </c>
      <c r="D2945" s="1" t="n">
        <v>2</v>
      </c>
      <c r="E2945" s="1" t="inlineStr">
        <is>
          <t>CHO</t>
        </is>
      </c>
      <c r="F2945" s="1" t="n">
        <v>2.2459</v>
      </c>
      <c r="G2945" s="1" t="n">
        <v>-0.011847</v>
      </c>
    </row>
    <row r="2946">
      <c r="A2946" s="2" t="inlineStr">
        <is>
          <t>G2</t>
        </is>
      </c>
      <c r="B2946" s="2" t="n">
        <v>74</v>
      </c>
      <c r="C2946" s="2">
        <f>_xlfn.XLOOKUP(B2946,Results!$B$23:$B$119,Results!$D$23:$D$119)</f>
        <v/>
      </c>
      <c r="D2946" s="2" t="n">
        <v>3</v>
      </c>
      <c r="E2946" s="2" t="inlineStr">
        <is>
          <t>CHO</t>
        </is>
      </c>
      <c r="F2946" s="2" t="n">
        <v>2.2621</v>
      </c>
      <c r="G2946" s="2" t="n">
        <v>-0.000364</v>
      </c>
    </row>
    <row r="2947">
      <c r="A2947" s="1" t="inlineStr">
        <is>
          <t>G2</t>
        </is>
      </c>
      <c r="B2947" s="1" t="n">
        <v>74</v>
      </c>
      <c r="C2947" s="2">
        <f>_xlfn.XLOOKUP(B2947,Results!$B$23:$B$119,Results!$D$23:$D$119)</f>
        <v/>
      </c>
      <c r="D2947" s="1" t="n">
        <v>4</v>
      </c>
      <c r="E2947" s="1" t="inlineStr">
        <is>
          <t>CHO</t>
        </is>
      </c>
      <c r="F2947" s="1" t="n">
        <v>2.2705</v>
      </c>
      <c r="G2947" s="1" t="n">
        <v>0.003221</v>
      </c>
    </row>
    <row r="2948">
      <c r="A2948" s="2" t="inlineStr">
        <is>
          <t>G2</t>
        </is>
      </c>
      <c r="B2948" s="2" t="n">
        <v>74</v>
      </c>
      <c r="C2948" s="2">
        <f>_xlfn.XLOOKUP(B2948,Results!$B$23:$B$119,Results!$D$23:$D$119)</f>
        <v/>
      </c>
      <c r="D2948" s="2" t="n">
        <v>5</v>
      </c>
      <c r="E2948" s="2" t="inlineStr">
        <is>
          <t>CHO</t>
        </is>
      </c>
      <c r="F2948" s="2" t="n">
        <v>2.2728</v>
      </c>
      <c r="G2948" s="2" t="n">
        <v>0.000784</v>
      </c>
    </row>
    <row r="2949">
      <c r="A2949" s="1" t="inlineStr">
        <is>
          <t>G2</t>
        </is>
      </c>
      <c r="B2949" s="1" t="n">
        <v>74</v>
      </c>
      <c r="C2949" s="2">
        <f>_xlfn.XLOOKUP(B2949,Results!$B$23:$B$119,Results!$D$23:$D$119)</f>
        <v/>
      </c>
      <c r="D2949" s="1" t="n">
        <v>6</v>
      </c>
      <c r="E2949" s="1" t="inlineStr">
        <is>
          <t>CHO</t>
        </is>
      </c>
      <c r="F2949" s="1" t="n">
        <v>2.2753</v>
      </c>
      <c r="G2949" s="1" t="n">
        <v>-0.001504</v>
      </c>
    </row>
    <row r="2950">
      <c r="A2950" s="2" t="inlineStr">
        <is>
          <t>G2</t>
        </is>
      </c>
      <c r="B2950" s="2" t="n">
        <v>74</v>
      </c>
      <c r="C2950" s="2">
        <f>_xlfn.XLOOKUP(B2950,Results!$B$23:$B$119,Results!$D$23:$D$119)</f>
        <v/>
      </c>
      <c r="D2950" s="2" t="n">
        <v>7</v>
      </c>
      <c r="E2950" s="2" t="inlineStr">
        <is>
          <t>CHO</t>
        </is>
      </c>
      <c r="F2950" s="2" t="n">
        <v>2.2793</v>
      </c>
      <c r="G2950" s="2" t="n">
        <v>-0.002294</v>
      </c>
    </row>
    <row r="2951">
      <c r="A2951" s="1" t="inlineStr">
        <is>
          <t>G2</t>
        </is>
      </c>
      <c r="B2951" s="1" t="n">
        <v>74</v>
      </c>
      <c r="C2951" s="2">
        <f>_xlfn.XLOOKUP(B2951,Results!$B$23:$B$119,Results!$D$23:$D$119)</f>
        <v/>
      </c>
      <c r="D2951" s="1" t="n">
        <v>8</v>
      </c>
      <c r="E2951" s="1" t="inlineStr">
        <is>
          <t>CHO</t>
        </is>
      </c>
      <c r="F2951" s="1" t="n">
        <v>2.2852</v>
      </c>
      <c r="G2951" s="1" t="n">
        <v>-0.001121</v>
      </c>
    </row>
    <row r="2952">
      <c r="A2952" s="2" t="inlineStr">
        <is>
          <t>G2</t>
        </is>
      </c>
      <c r="B2952" s="2" t="n">
        <v>74</v>
      </c>
      <c r="C2952" s="2">
        <f>_xlfn.XLOOKUP(B2952,Results!$B$23:$B$119,Results!$D$23:$D$119)</f>
        <v/>
      </c>
      <c r="D2952" s="2" t="n">
        <v>9</v>
      </c>
      <c r="E2952" s="2" t="inlineStr">
        <is>
          <t>CHO</t>
        </is>
      </c>
      <c r="F2952" s="2" t="n">
        <v>2.2898</v>
      </c>
      <c r="G2952" s="2" t="n">
        <v>-0.001325</v>
      </c>
    </row>
    <row r="2953">
      <c r="A2953" s="1" t="inlineStr">
        <is>
          <t>G2</t>
        </is>
      </c>
      <c r="B2953" s="1" t="n">
        <v>74</v>
      </c>
      <c r="C2953" s="2">
        <f>_xlfn.XLOOKUP(B2953,Results!$B$23:$B$119,Results!$D$23:$D$119)</f>
        <v/>
      </c>
      <c r="D2953" s="1" t="n">
        <v>10</v>
      </c>
      <c r="E2953" s="1" t="inlineStr">
        <is>
          <t>CHO</t>
        </is>
      </c>
      <c r="F2953" s="1" t="n">
        <v>2.2952</v>
      </c>
      <c r="G2953" s="1" t="n">
        <v>-0.000739</v>
      </c>
    </row>
    <row r="2954">
      <c r="A2954" s="2" t="inlineStr">
        <is>
          <t>G2</t>
        </is>
      </c>
      <c r="B2954" s="2" t="n">
        <v>74</v>
      </c>
      <c r="C2954" s="2">
        <f>_xlfn.XLOOKUP(B2954,Results!$B$23:$B$119,Results!$D$23:$D$119)</f>
        <v/>
      </c>
      <c r="D2954" s="2" t="n">
        <v>11</v>
      </c>
      <c r="E2954" s="2" t="inlineStr">
        <is>
          <t>CHO</t>
        </is>
      </c>
      <c r="F2954" s="2" t="n">
        <v>2.3031</v>
      </c>
      <c r="G2954" s="2" t="n">
        <v>0.002455</v>
      </c>
    </row>
    <row r="2955">
      <c r="A2955" s="1" t="inlineStr">
        <is>
          <t>G2</t>
        </is>
      </c>
      <c r="B2955" s="1" t="n">
        <v>74</v>
      </c>
      <c r="C2955" s="2">
        <f>_xlfn.XLOOKUP(B2955,Results!$B$23:$B$119,Results!$D$23:$D$119)</f>
        <v/>
      </c>
      <c r="D2955" s="1" t="n">
        <v>12</v>
      </c>
      <c r="E2955" s="1" t="inlineStr">
        <is>
          <t>CHO</t>
        </is>
      </c>
      <c r="F2955" s="1" t="n">
        <v>2.3063</v>
      </c>
      <c r="G2955" s="1" t="n">
        <v>0.000888</v>
      </c>
    </row>
    <row r="2956">
      <c r="A2956" s="2" t="inlineStr">
        <is>
          <t>G2</t>
        </is>
      </c>
      <c r="B2956" s="2" t="n">
        <v>74</v>
      </c>
      <c r="C2956" s="2">
        <f>_xlfn.XLOOKUP(B2956,Results!$B$23:$B$119,Results!$D$23:$D$119)</f>
        <v/>
      </c>
      <c r="D2956" s="2" t="n">
        <v>13</v>
      </c>
      <c r="E2956" s="2" t="inlineStr">
        <is>
          <t>CHO</t>
        </is>
      </c>
      <c r="F2956" s="2" t="n">
        <v>2.3169</v>
      </c>
      <c r="G2956" s="2" t="n">
        <v>0.006698</v>
      </c>
    </row>
    <row r="2957">
      <c r="A2957" s="1" t="inlineStr">
        <is>
          <t>G2</t>
        </is>
      </c>
      <c r="B2957" s="1" t="n">
        <v>74</v>
      </c>
      <c r="C2957" s="2">
        <f>_xlfn.XLOOKUP(B2957,Results!$B$23:$B$119,Results!$D$23:$D$119)</f>
        <v/>
      </c>
      <c r="D2957" s="1" t="n">
        <v>14</v>
      </c>
      <c r="E2957" s="1" t="inlineStr">
        <is>
          <t>CHO</t>
        </is>
      </c>
      <c r="F2957" s="1" t="n">
        <v>2.3304</v>
      </c>
      <c r="G2957" s="1" t="n">
        <v>0.015441</v>
      </c>
    </row>
    <row r="2958">
      <c r="A2958" s="2" t="inlineStr">
        <is>
          <t>G2</t>
        </is>
      </c>
      <c r="B2958" s="2" t="n">
        <v>74</v>
      </c>
      <c r="C2958" s="2">
        <f>_xlfn.XLOOKUP(B2958,Results!$B$23:$B$119,Results!$D$23:$D$119)</f>
        <v/>
      </c>
      <c r="D2958" s="2" t="n">
        <v>15</v>
      </c>
      <c r="E2958" s="2" t="inlineStr">
        <is>
          <t>CHO</t>
        </is>
      </c>
      <c r="F2958" s="2" t="n">
        <v>2.343</v>
      </c>
      <c r="G2958" s="2" t="n">
        <v>0.023261</v>
      </c>
    </row>
    <row r="2959">
      <c r="A2959" s="1" t="inlineStr">
        <is>
          <t>G2</t>
        </is>
      </c>
      <c r="B2959" s="1" t="n">
        <v>74</v>
      </c>
      <c r="C2959" s="2">
        <f>_xlfn.XLOOKUP(B2959,Results!$B$23:$B$119,Results!$D$23:$D$119)</f>
        <v/>
      </c>
      <c r="D2959" s="1" t="n">
        <v>16</v>
      </c>
      <c r="E2959" s="1" t="inlineStr">
        <is>
          <t>CHO</t>
        </is>
      </c>
      <c r="F2959" s="1" t="n">
        <v>2.3661</v>
      </c>
      <c r="G2959" s="1" t="n">
        <v>0.041592</v>
      </c>
    </row>
    <row r="2960">
      <c r="A2960" s="2" t="inlineStr">
        <is>
          <t>G2</t>
        </is>
      </c>
      <c r="B2960" s="2" t="n">
        <v>74</v>
      </c>
      <c r="C2960" s="2">
        <f>_xlfn.XLOOKUP(B2960,Results!$B$23:$B$119,Results!$D$23:$D$119)</f>
        <v/>
      </c>
      <c r="D2960" s="2" t="n">
        <v>17</v>
      </c>
      <c r="E2960" s="2" t="inlineStr">
        <is>
          <t>CHO</t>
        </is>
      </c>
      <c r="F2960" s="2" t="n">
        <v>2.4031</v>
      </c>
      <c r="G2960" s="2" t="n">
        <v>0.073784</v>
      </c>
    </row>
    <row r="2961">
      <c r="A2961" s="1" t="inlineStr">
        <is>
          <t>G2</t>
        </is>
      </c>
      <c r="B2961" s="1" t="n">
        <v>74</v>
      </c>
      <c r="C2961" s="2">
        <f>_xlfn.XLOOKUP(B2961,Results!$B$23:$B$119,Results!$D$23:$D$119)</f>
        <v/>
      </c>
      <c r="D2961" s="1" t="n">
        <v>18</v>
      </c>
      <c r="E2961" s="1" t="inlineStr">
        <is>
          <t>CHO</t>
        </is>
      </c>
      <c r="F2961" s="1" t="n">
        <v>2.4589</v>
      </c>
      <c r="G2961" s="1" t="n">
        <v>0.124815</v>
      </c>
    </row>
    <row r="2962">
      <c r="A2962" s="2" t="inlineStr">
        <is>
          <t>G2</t>
        </is>
      </c>
      <c r="B2962" s="2" t="n">
        <v>74</v>
      </c>
      <c r="C2962" s="2">
        <f>_xlfn.XLOOKUP(B2962,Results!$B$23:$B$119,Results!$D$23:$D$119)</f>
        <v/>
      </c>
      <c r="D2962" s="2" t="n">
        <v>19</v>
      </c>
      <c r="E2962" s="2" t="inlineStr">
        <is>
          <t>CHO</t>
        </is>
      </c>
      <c r="F2962" s="2" t="n">
        <v>2.5679</v>
      </c>
      <c r="G2962" s="2" t="n">
        <v>0.229004</v>
      </c>
    </row>
    <row r="2963">
      <c r="A2963" s="1" t="inlineStr">
        <is>
          <t>G2</t>
        </is>
      </c>
      <c r="B2963" s="1" t="n">
        <v>74</v>
      </c>
      <c r="C2963" s="2">
        <f>_xlfn.XLOOKUP(B2963,Results!$B$23:$B$119,Results!$D$23:$D$119)</f>
        <v/>
      </c>
      <c r="D2963" s="1" t="n">
        <v>20</v>
      </c>
      <c r="E2963" s="1" t="inlineStr">
        <is>
          <t>CHO</t>
        </is>
      </c>
      <c r="F2963" s="1" t="n">
        <v>2.7381</v>
      </c>
      <c r="G2963" s="1" t="n">
        <v>0.39443</v>
      </c>
    </row>
    <row r="2964">
      <c r="A2964" s="2" t="inlineStr">
        <is>
          <t>G2</t>
        </is>
      </c>
      <c r="B2964" s="2" t="n">
        <v>74</v>
      </c>
      <c r="C2964" s="2">
        <f>_xlfn.XLOOKUP(B2964,Results!$B$23:$B$119,Results!$D$23:$D$119)</f>
        <v/>
      </c>
      <c r="D2964" s="2" t="n">
        <v>21</v>
      </c>
      <c r="E2964" s="2" t="inlineStr">
        <is>
          <t>CHO</t>
        </is>
      </c>
      <c r="F2964" s="2" t="n">
        <v>3.0314</v>
      </c>
      <c r="G2964" s="2" t="n">
        <v>0.682953</v>
      </c>
    </row>
    <row r="2965">
      <c r="A2965" s="1" t="inlineStr">
        <is>
          <t>G2</t>
        </is>
      </c>
      <c r="B2965" s="1" t="n">
        <v>74</v>
      </c>
      <c r="C2965" s="2">
        <f>_xlfn.XLOOKUP(B2965,Results!$B$23:$B$119,Results!$D$23:$D$119)</f>
        <v/>
      </c>
      <c r="D2965" s="1" t="n">
        <v>22</v>
      </c>
      <c r="E2965" s="1" t="inlineStr">
        <is>
          <t>CHO</t>
        </is>
      </c>
      <c r="F2965" s="1" t="n">
        <v>3.4189</v>
      </c>
      <c r="G2965" s="1" t="n">
        <v>1.065707</v>
      </c>
    </row>
    <row r="2966">
      <c r="A2966" s="2" t="inlineStr">
        <is>
          <t>G2</t>
        </is>
      </c>
      <c r="B2966" s="2" t="n">
        <v>74</v>
      </c>
      <c r="C2966" s="2">
        <f>_xlfn.XLOOKUP(B2966,Results!$B$23:$B$119,Results!$D$23:$D$119)</f>
        <v/>
      </c>
      <c r="D2966" s="2" t="n">
        <v>23</v>
      </c>
      <c r="E2966" s="2" t="inlineStr">
        <is>
          <t>CHO</t>
        </is>
      </c>
      <c r="F2966" s="2" t="n">
        <v>3.8555</v>
      </c>
      <c r="G2966" s="2" t="n">
        <v>1.497554</v>
      </c>
    </row>
    <row r="2967">
      <c r="A2967" s="1" t="inlineStr">
        <is>
          <t>G2</t>
        </is>
      </c>
      <c r="B2967" s="1" t="n">
        <v>74</v>
      </c>
      <c r="C2967" s="2">
        <f>_xlfn.XLOOKUP(B2967,Results!$B$23:$B$119,Results!$D$23:$D$119)</f>
        <v/>
      </c>
      <c r="D2967" s="1" t="n">
        <v>24</v>
      </c>
      <c r="E2967" s="1" t="inlineStr">
        <is>
          <t>CHO</t>
        </is>
      </c>
      <c r="F2967" s="1" t="n">
        <v>4.2777</v>
      </c>
      <c r="G2967" s="1" t="n">
        <v>1.915011</v>
      </c>
    </row>
    <row r="2968">
      <c r="A2968" s="2" t="inlineStr">
        <is>
          <t>G2</t>
        </is>
      </c>
      <c r="B2968" s="2" t="n">
        <v>74</v>
      </c>
      <c r="C2968" s="2">
        <f>_xlfn.XLOOKUP(B2968,Results!$B$23:$B$119,Results!$D$23:$D$119)</f>
        <v/>
      </c>
      <c r="D2968" s="2" t="n">
        <v>25</v>
      </c>
      <c r="E2968" s="2" t="inlineStr">
        <is>
          <t>CHO</t>
        </is>
      </c>
      <c r="F2968" s="2" t="n">
        <v>4.7096</v>
      </c>
      <c r="G2968" s="2" t="n">
        <v>2.34205</v>
      </c>
    </row>
    <row r="2969">
      <c r="A2969" s="1" t="inlineStr">
        <is>
          <t>G2</t>
        </is>
      </c>
      <c r="B2969" s="1" t="n">
        <v>74</v>
      </c>
      <c r="C2969" s="2">
        <f>_xlfn.XLOOKUP(B2969,Results!$B$23:$B$119,Results!$D$23:$D$119)</f>
        <v/>
      </c>
      <c r="D2969" s="1" t="n">
        <v>26</v>
      </c>
      <c r="E2969" s="1" t="inlineStr">
        <is>
          <t>CHO</t>
        </is>
      </c>
      <c r="F2969" s="1" t="n">
        <v>5.1007</v>
      </c>
      <c r="G2969" s="1" t="n">
        <v>2.728469</v>
      </c>
    </row>
    <row r="2970">
      <c r="A2970" s="2" t="inlineStr">
        <is>
          <t>G2</t>
        </is>
      </c>
      <c r="B2970" s="2" t="n">
        <v>74</v>
      </c>
      <c r="C2970" s="2">
        <f>_xlfn.XLOOKUP(B2970,Results!$B$23:$B$119,Results!$D$23:$D$119)</f>
        <v/>
      </c>
      <c r="D2970" s="2" t="n">
        <v>27</v>
      </c>
      <c r="E2970" s="2" t="inlineStr">
        <is>
          <t>CHO</t>
        </is>
      </c>
      <c r="F2970" s="2" t="n">
        <v>5.4533</v>
      </c>
      <c r="G2970" s="2" t="n">
        <v>3.076279</v>
      </c>
    </row>
    <row r="2971">
      <c r="A2971" s="1" t="inlineStr">
        <is>
          <t>G2</t>
        </is>
      </c>
      <c r="B2971" s="1" t="n">
        <v>74</v>
      </c>
      <c r="C2971" s="2">
        <f>_xlfn.XLOOKUP(B2971,Results!$B$23:$B$119,Results!$D$23:$D$119)</f>
        <v/>
      </c>
      <c r="D2971" s="1" t="n">
        <v>28</v>
      </c>
      <c r="E2971" s="1" t="inlineStr">
        <is>
          <t>CHO</t>
        </is>
      </c>
      <c r="F2971" s="1" t="n">
        <v>5.7738</v>
      </c>
      <c r="G2971" s="1" t="n">
        <v>3.39196</v>
      </c>
    </row>
    <row r="2972">
      <c r="A2972" s="2" t="inlineStr">
        <is>
          <t>G2</t>
        </is>
      </c>
      <c r="B2972" s="2" t="n">
        <v>74</v>
      </c>
      <c r="C2972" s="2">
        <f>_xlfn.XLOOKUP(B2972,Results!$B$23:$B$119,Results!$D$23:$D$119)</f>
        <v/>
      </c>
      <c r="D2972" s="2" t="n">
        <v>29</v>
      </c>
      <c r="E2972" s="2" t="inlineStr">
        <is>
          <t>CHO</t>
        </is>
      </c>
      <c r="F2972" s="2" t="n">
        <v>6.0488</v>
      </c>
      <c r="G2972" s="2" t="n">
        <v>3.662229</v>
      </c>
    </row>
    <row r="2973">
      <c r="A2973" s="1" t="inlineStr">
        <is>
          <t>G2</t>
        </is>
      </c>
      <c r="B2973" s="1" t="n">
        <v>74</v>
      </c>
      <c r="C2973" s="2">
        <f>_xlfn.XLOOKUP(B2973,Results!$B$23:$B$119,Results!$D$23:$D$119)</f>
        <v/>
      </c>
      <c r="D2973" s="1" t="n">
        <v>30</v>
      </c>
      <c r="E2973" s="1" t="inlineStr">
        <is>
          <t>CHO</t>
        </is>
      </c>
      <c r="F2973" s="1" t="n">
        <v>6.24</v>
      </c>
      <c r="G2973" s="1" t="n">
        <v>3.848658</v>
      </c>
    </row>
    <row r="2974">
      <c r="A2974" s="2" t="inlineStr">
        <is>
          <t>G2</t>
        </is>
      </c>
      <c r="B2974" s="2" t="n">
        <v>74</v>
      </c>
      <c r="C2974" s="2">
        <f>_xlfn.XLOOKUP(B2974,Results!$B$23:$B$119,Results!$D$23:$D$119)</f>
        <v/>
      </c>
      <c r="D2974" s="2" t="n">
        <v>31</v>
      </c>
      <c r="E2974" s="2" t="inlineStr">
        <is>
          <t>CHO</t>
        </is>
      </c>
      <c r="F2974" s="2" t="n">
        <v>6.4717</v>
      </c>
      <c r="G2974" s="2" t="n">
        <v>4.075564</v>
      </c>
    </row>
    <row r="2975">
      <c r="A2975" s="1" t="inlineStr">
        <is>
          <t>G2</t>
        </is>
      </c>
      <c r="B2975" s="1" t="n">
        <v>74</v>
      </c>
      <c r="C2975" s="2">
        <f>_xlfn.XLOOKUP(B2975,Results!$B$23:$B$119,Results!$D$23:$D$119)</f>
        <v/>
      </c>
      <c r="D2975" s="1" t="n">
        <v>32</v>
      </c>
      <c r="E2975" s="1" t="inlineStr">
        <is>
          <t>CHO</t>
        </is>
      </c>
      <c r="F2975" s="1" t="n">
        <v>6.6507</v>
      </c>
      <c r="G2975" s="1" t="n">
        <v>4.249743</v>
      </c>
    </row>
    <row r="2976">
      <c r="A2976" s="2" t="inlineStr">
        <is>
          <t>G2</t>
        </is>
      </c>
      <c r="B2976" s="2" t="n">
        <v>74</v>
      </c>
      <c r="C2976" s="2">
        <f>_xlfn.XLOOKUP(B2976,Results!$B$23:$B$119,Results!$D$23:$D$119)</f>
        <v/>
      </c>
      <c r="D2976" s="2" t="n">
        <v>33</v>
      </c>
      <c r="E2976" s="2" t="inlineStr">
        <is>
          <t>CHO</t>
        </is>
      </c>
      <c r="F2976" s="2" t="n">
        <v>6.7939</v>
      </c>
      <c r="G2976" s="2" t="n">
        <v>4.388173</v>
      </c>
    </row>
    <row r="2977">
      <c r="A2977" s="1" t="inlineStr">
        <is>
          <t>G2</t>
        </is>
      </c>
      <c r="B2977" s="1" t="n">
        <v>74</v>
      </c>
      <c r="C2977" s="2">
        <f>_xlfn.XLOOKUP(B2977,Results!$B$23:$B$119,Results!$D$23:$D$119)</f>
        <v/>
      </c>
      <c r="D2977" s="1" t="n">
        <v>34</v>
      </c>
      <c r="E2977" s="1" t="inlineStr">
        <is>
          <t>CHO</t>
        </is>
      </c>
      <c r="F2977" s="1" t="n">
        <v>6.9347</v>
      </c>
      <c r="G2977" s="1" t="n">
        <v>4.524242</v>
      </c>
    </row>
    <row r="2978">
      <c r="A2978" s="2" t="inlineStr">
        <is>
          <t>G2</t>
        </is>
      </c>
      <c r="B2978" s="2" t="n">
        <v>74</v>
      </c>
      <c r="C2978" s="2">
        <f>_xlfn.XLOOKUP(B2978,Results!$B$23:$B$119,Results!$D$23:$D$119)</f>
        <v/>
      </c>
      <c r="D2978" s="2" t="n">
        <v>35</v>
      </c>
      <c r="E2978" s="2" t="inlineStr">
        <is>
          <t>CHO</t>
        </is>
      </c>
      <c r="F2978" s="2" t="n">
        <v>7.0487</v>
      </c>
      <c r="G2978" s="2" t="n">
        <v>4.633422</v>
      </c>
    </row>
    <row r="2979">
      <c r="A2979" s="1" t="inlineStr">
        <is>
          <t>G2</t>
        </is>
      </c>
      <c r="B2979" s="1" t="n">
        <v>74</v>
      </c>
      <c r="C2979" s="2">
        <f>_xlfn.XLOOKUP(B2979,Results!$B$23:$B$119,Results!$D$23:$D$119)</f>
        <v/>
      </c>
      <c r="D2979" s="1" t="n">
        <v>36</v>
      </c>
      <c r="E2979" s="1" t="inlineStr">
        <is>
          <t>CHO</t>
        </is>
      </c>
      <c r="F2979" s="1" t="n">
        <v>7.1527</v>
      </c>
      <c r="G2979" s="1" t="n">
        <v>4.732658</v>
      </c>
    </row>
    <row r="2980">
      <c r="A2980" s="2" t="inlineStr">
        <is>
          <t>G2</t>
        </is>
      </c>
      <c r="B2980" s="2" t="n">
        <v>74</v>
      </c>
      <c r="C2980" s="2">
        <f>_xlfn.XLOOKUP(B2980,Results!$B$23:$B$119,Results!$D$23:$D$119)</f>
        <v/>
      </c>
      <c r="D2980" s="2" t="n">
        <v>37</v>
      </c>
      <c r="E2980" s="2" t="inlineStr">
        <is>
          <t>CHO</t>
        </is>
      </c>
      <c r="F2980" s="2" t="n">
        <v>7.2473</v>
      </c>
      <c r="G2980" s="2" t="n">
        <v>4.822502</v>
      </c>
    </row>
    <row r="2981">
      <c r="A2981" s="1" t="inlineStr">
        <is>
          <t>G2</t>
        </is>
      </c>
      <c r="B2981" s="1" t="n">
        <v>74</v>
      </c>
      <c r="C2981" s="2">
        <f>_xlfn.XLOOKUP(B2981,Results!$B$23:$B$119,Results!$D$23:$D$119)</f>
        <v/>
      </c>
      <c r="D2981" s="1" t="n">
        <v>38</v>
      </c>
      <c r="E2981" s="1" t="inlineStr">
        <is>
          <t>CHO</t>
        </is>
      </c>
      <c r="F2981" s="1" t="n">
        <v>7.3268</v>
      </c>
      <c r="G2981" s="1" t="n">
        <v>4.897223</v>
      </c>
    </row>
    <row r="2982">
      <c r="A2982" s="2" t="inlineStr">
        <is>
          <t>G2</t>
        </is>
      </c>
      <c r="B2982" s="2" t="n">
        <v>74</v>
      </c>
      <c r="C2982" s="2">
        <f>_xlfn.XLOOKUP(B2982,Results!$B$23:$B$119,Results!$D$23:$D$119)</f>
        <v/>
      </c>
      <c r="D2982" s="2" t="n">
        <v>39</v>
      </c>
      <c r="E2982" s="2" t="inlineStr">
        <is>
          <t>CHO</t>
        </is>
      </c>
      <c r="F2982" s="2" t="n">
        <v>7.4041</v>
      </c>
      <c r="G2982" s="2" t="n">
        <v>4.969759</v>
      </c>
    </row>
    <row r="2983">
      <c r="A2983" s="1" t="inlineStr">
        <is>
          <t>G2</t>
        </is>
      </c>
      <c r="B2983" s="1" t="n">
        <v>74</v>
      </c>
      <c r="C2983" s="2">
        <f>_xlfn.XLOOKUP(B2983,Results!$B$23:$B$119,Results!$D$23:$D$119)</f>
        <v/>
      </c>
      <c r="D2983" s="1" t="n">
        <v>40</v>
      </c>
      <c r="E2983" s="1" t="inlineStr">
        <is>
          <t>CHO</t>
        </is>
      </c>
      <c r="F2983" s="1" t="n">
        <v>7.4477</v>
      </c>
      <c r="G2983" s="1" t="n">
        <v>5.008552</v>
      </c>
    </row>
    <row r="2984">
      <c r="A2984" s="2" t="inlineStr">
        <is>
          <t>G3</t>
        </is>
      </c>
      <c r="B2984" s="2" t="n">
        <v>75</v>
      </c>
      <c r="C2984" s="2">
        <f>_xlfn.XLOOKUP(B2984,Results!$B$23:$B$119,Results!$D$23:$D$119)</f>
        <v/>
      </c>
      <c r="D2984" s="2" t="n">
        <v>1</v>
      </c>
      <c r="E2984" s="2" t="inlineStr">
        <is>
          <t>CHO</t>
        </is>
      </c>
      <c r="F2984" s="2" t="n">
        <v>2.3352</v>
      </c>
      <c r="G2984" s="2" t="n">
        <v>0.00848</v>
      </c>
    </row>
    <row r="2985">
      <c r="A2985" s="1" t="inlineStr">
        <is>
          <t>G3</t>
        </is>
      </c>
      <c r="B2985" s="1" t="n">
        <v>75</v>
      </c>
      <c r="C2985" s="2">
        <f>_xlfn.XLOOKUP(B2985,Results!$B$23:$B$119,Results!$D$23:$D$119)</f>
        <v/>
      </c>
      <c r="D2985" s="1" t="n">
        <v>2</v>
      </c>
      <c r="E2985" s="1" t="inlineStr">
        <is>
          <t>CHO</t>
        </is>
      </c>
      <c r="F2985" s="1" t="n">
        <v>2.3369</v>
      </c>
      <c r="G2985" s="1" t="n">
        <v>0.004722</v>
      </c>
    </row>
    <row r="2986">
      <c r="A2986" s="2" t="inlineStr">
        <is>
          <t>G3</t>
        </is>
      </c>
      <c r="B2986" s="2" t="n">
        <v>75</v>
      </c>
      <c r="C2986" s="2">
        <f>_xlfn.XLOOKUP(B2986,Results!$B$23:$B$119,Results!$D$23:$D$119)</f>
        <v/>
      </c>
      <c r="D2986" s="2" t="n">
        <v>3</v>
      </c>
      <c r="E2986" s="2" t="inlineStr">
        <is>
          <t>CHO</t>
        </is>
      </c>
      <c r="F2986" s="2" t="n">
        <v>2.3393</v>
      </c>
      <c r="G2986" s="2" t="n">
        <v>0.001688</v>
      </c>
    </row>
    <row r="2987">
      <c r="A2987" s="1" t="inlineStr">
        <is>
          <t>G3</t>
        </is>
      </c>
      <c r="B2987" s="1" t="n">
        <v>75</v>
      </c>
      <c r="C2987" s="2">
        <f>_xlfn.XLOOKUP(B2987,Results!$B$23:$B$119,Results!$D$23:$D$119)</f>
        <v/>
      </c>
      <c r="D2987" s="1" t="n">
        <v>4</v>
      </c>
      <c r="E2987" s="1" t="inlineStr">
        <is>
          <t>CHO</t>
        </is>
      </c>
      <c r="F2987" s="1" t="n">
        <v>2.3441</v>
      </c>
      <c r="G2987" s="1" t="n">
        <v>0.001049</v>
      </c>
    </row>
    <row r="2988">
      <c r="A2988" s="2" t="inlineStr">
        <is>
          <t>G3</t>
        </is>
      </c>
      <c r="B2988" s="2" t="n">
        <v>75</v>
      </c>
      <c r="C2988" s="2">
        <f>_xlfn.XLOOKUP(B2988,Results!$B$23:$B$119,Results!$D$23:$D$119)</f>
        <v/>
      </c>
      <c r="D2988" s="2" t="n">
        <v>5</v>
      </c>
      <c r="E2988" s="2" t="inlineStr">
        <is>
          <t>CHO</t>
        </is>
      </c>
      <c r="F2988" s="2" t="n">
        <v>2.3466</v>
      </c>
      <c r="G2988" s="2" t="n">
        <v>-0.001916</v>
      </c>
    </row>
    <row r="2989">
      <c r="A2989" s="1" t="inlineStr">
        <is>
          <t>G3</t>
        </is>
      </c>
      <c r="B2989" s="1" t="n">
        <v>75</v>
      </c>
      <c r="C2989" s="2">
        <f>_xlfn.XLOOKUP(B2989,Results!$B$23:$B$119,Results!$D$23:$D$119)</f>
        <v/>
      </c>
      <c r="D2989" s="1" t="n">
        <v>6</v>
      </c>
      <c r="E2989" s="1" t="inlineStr">
        <is>
          <t>CHO</t>
        </is>
      </c>
      <c r="F2989" s="1" t="n">
        <v>2.3504</v>
      </c>
      <c r="G2989" s="1" t="n">
        <v>-0.003643</v>
      </c>
    </row>
    <row r="2990">
      <c r="A2990" s="2" t="inlineStr">
        <is>
          <t>G3</t>
        </is>
      </c>
      <c r="B2990" s="2" t="n">
        <v>75</v>
      </c>
      <c r="C2990" s="2">
        <f>_xlfn.XLOOKUP(B2990,Results!$B$23:$B$119,Results!$D$23:$D$119)</f>
        <v/>
      </c>
      <c r="D2990" s="2" t="n">
        <v>7</v>
      </c>
      <c r="E2990" s="2" t="inlineStr">
        <is>
          <t>CHO</t>
        </is>
      </c>
      <c r="F2990" s="2" t="n">
        <v>2.3605</v>
      </c>
      <c r="G2990" s="2" t="n">
        <v>0.001002</v>
      </c>
    </row>
    <row r="2991">
      <c r="A2991" s="1" t="inlineStr">
        <is>
          <t>G3</t>
        </is>
      </c>
      <c r="B2991" s="1" t="n">
        <v>75</v>
      </c>
      <c r="C2991" s="2">
        <f>_xlfn.XLOOKUP(B2991,Results!$B$23:$B$119,Results!$D$23:$D$119)</f>
        <v/>
      </c>
      <c r="D2991" s="1" t="n">
        <v>8</v>
      </c>
      <c r="E2991" s="1" t="inlineStr">
        <is>
          <t>CHO</t>
        </is>
      </c>
      <c r="F2991" s="1" t="n">
        <v>2.3682</v>
      </c>
      <c r="G2991" s="1" t="n">
        <v>0.003296</v>
      </c>
    </row>
    <row r="2992">
      <c r="A2992" s="2" t="inlineStr">
        <is>
          <t>G3</t>
        </is>
      </c>
      <c r="B2992" s="2" t="n">
        <v>75</v>
      </c>
      <c r="C2992" s="2">
        <f>_xlfn.XLOOKUP(B2992,Results!$B$23:$B$119,Results!$D$23:$D$119)</f>
        <v/>
      </c>
      <c r="D2992" s="2" t="n">
        <v>9</v>
      </c>
      <c r="E2992" s="2" t="inlineStr">
        <is>
          <t>CHO</t>
        </is>
      </c>
      <c r="F2992" s="2" t="n">
        <v>2.37</v>
      </c>
      <c r="G2992" s="2" t="n">
        <v>-0.000387</v>
      </c>
    </row>
    <row r="2993">
      <c r="A2993" s="1" t="inlineStr">
        <is>
          <t>G3</t>
        </is>
      </c>
      <c r="B2993" s="1" t="n">
        <v>75</v>
      </c>
      <c r="C2993" s="2">
        <f>_xlfn.XLOOKUP(B2993,Results!$B$23:$B$119,Results!$D$23:$D$119)</f>
        <v/>
      </c>
      <c r="D2993" s="1" t="n">
        <v>10</v>
      </c>
      <c r="E2993" s="1" t="inlineStr">
        <is>
          <t>CHO</t>
        </is>
      </c>
      <c r="F2993" s="1" t="n">
        <v>2.3738</v>
      </c>
      <c r="G2993" s="1" t="n">
        <v>-0.002059</v>
      </c>
    </row>
    <row r="2994">
      <c r="A2994" s="2" t="inlineStr">
        <is>
          <t>G3</t>
        </is>
      </c>
      <c r="B2994" s="2" t="n">
        <v>75</v>
      </c>
      <c r="C2994" s="2">
        <f>_xlfn.XLOOKUP(B2994,Results!$B$23:$B$119,Results!$D$23:$D$119)</f>
        <v/>
      </c>
      <c r="D2994" s="2" t="n">
        <v>11</v>
      </c>
      <c r="E2994" s="2" t="inlineStr">
        <is>
          <t>CHO</t>
        </is>
      </c>
      <c r="F2994" s="2" t="n">
        <v>2.3811</v>
      </c>
      <c r="G2994" s="2" t="n">
        <v>-0.000224</v>
      </c>
    </row>
    <row r="2995">
      <c r="A2995" s="1" t="inlineStr">
        <is>
          <t>G3</t>
        </is>
      </c>
      <c r="B2995" s="1" t="n">
        <v>75</v>
      </c>
      <c r="C2995" s="2">
        <f>_xlfn.XLOOKUP(B2995,Results!$B$23:$B$119,Results!$D$23:$D$119)</f>
        <v/>
      </c>
      <c r="D2995" s="1" t="n">
        <v>12</v>
      </c>
      <c r="E2995" s="1" t="inlineStr">
        <is>
          <t>CHO</t>
        </is>
      </c>
      <c r="F2995" s="1" t="n">
        <v>2.3868</v>
      </c>
      <c r="G2995" s="1" t="n">
        <v>7.499999999999999e-05</v>
      </c>
    </row>
    <row r="2996">
      <c r="A2996" s="2" t="inlineStr">
        <is>
          <t>G3</t>
        </is>
      </c>
      <c r="B2996" s="2" t="n">
        <v>75</v>
      </c>
      <c r="C2996" s="2">
        <f>_xlfn.XLOOKUP(B2996,Results!$B$23:$B$119,Results!$D$23:$D$119)</f>
        <v/>
      </c>
      <c r="D2996" s="2" t="n">
        <v>13</v>
      </c>
      <c r="E2996" s="2" t="inlineStr">
        <is>
          <t>CHO</t>
        </is>
      </c>
      <c r="F2996" s="2" t="n">
        <v>2.3934</v>
      </c>
      <c r="G2996" s="2" t="n">
        <v>0.001228</v>
      </c>
    </row>
    <row r="2997">
      <c r="A2997" s="1" t="inlineStr">
        <is>
          <t>G3</t>
        </is>
      </c>
      <c r="B2997" s="1" t="n">
        <v>75</v>
      </c>
      <c r="C2997" s="2">
        <f>_xlfn.XLOOKUP(B2997,Results!$B$23:$B$119,Results!$D$23:$D$119)</f>
        <v/>
      </c>
      <c r="D2997" s="1" t="n">
        <v>14</v>
      </c>
      <c r="E2997" s="1" t="inlineStr">
        <is>
          <t>CHO</t>
        </is>
      </c>
      <c r="F2997" s="1" t="n">
        <v>2.3976</v>
      </c>
      <c r="G2997" s="1" t="n">
        <v>-0.000109</v>
      </c>
    </row>
    <row r="2998">
      <c r="A2998" s="2" t="inlineStr">
        <is>
          <t>G3</t>
        </is>
      </c>
      <c r="B2998" s="2" t="n">
        <v>75</v>
      </c>
      <c r="C2998" s="2">
        <f>_xlfn.XLOOKUP(B2998,Results!$B$23:$B$119,Results!$D$23:$D$119)</f>
        <v/>
      </c>
      <c r="D2998" s="2" t="n">
        <v>15</v>
      </c>
      <c r="E2998" s="2" t="inlineStr">
        <is>
          <t>CHO</t>
        </is>
      </c>
      <c r="F2998" s="2" t="n">
        <v>2.4111</v>
      </c>
      <c r="G2998" s="2" t="n">
        <v>0.007937</v>
      </c>
    </row>
    <row r="2999">
      <c r="A2999" s="1" t="inlineStr">
        <is>
          <t>G3</t>
        </is>
      </c>
      <c r="B2999" s="1" t="n">
        <v>75</v>
      </c>
      <c r="C2999" s="2">
        <f>_xlfn.XLOOKUP(B2999,Results!$B$23:$B$119,Results!$D$23:$D$119)</f>
        <v/>
      </c>
      <c r="D2999" s="1" t="n">
        <v>16</v>
      </c>
      <c r="E2999" s="1" t="inlineStr">
        <is>
          <t>CHO</t>
        </is>
      </c>
      <c r="F2999" s="1" t="n">
        <v>2.4352</v>
      </c>
      <c r="G2999" s="1" t="n">
        <v>0.026655</v>
      </c>
    </row>
    <row r="3000">
      <c r="A3000" s="2" t="inlineStr">
        <is>
          <t>G3</t>
        </is>
      </c>
      <c r="B3000" s="2" t="n">
        <v>75</v>
      </c>
      <c r="C3000" s="2">
        <f>_xlfn.XLOOKUP(B3000,Results!$B$23:$B$119,Results!$D$23:$D$119)</f>
        <v/>
      </c>
      <c r="D3000" s="2" t="n">
        <v>17</v>
      </c>
      <c r="E3000" s="2" t="inlineStr">
        <is>
          <t>CHO</t>
        </is>
      </c>
      <c r="F3000" s="2" t="n">
        <v>2.4709</v>
      </c>
      <c r="G3000" s="2" t="n">
        <v>0.056818</v>
      </c>
    </row>
    <row r="3001">
      <c r="A3001" s="1" t="inlineStr">
        <is>
          <t>G3</t>
        </is>
      </c>
      <c r="B3001" s="1" t="n">
        <v>75</v>
      </c>
      <c r="C3001" s="2">
        <f>_xlfn.XLOOKUP(B3001,Results!$B$23:$B$119,Results!$D$23:$D$119)</f>
        <v/>
      </c>
      <c r="D3001" s="1" t="n">
        <v>18</v>
      </c>
      <c r="E3001" s="1" t="inlineStr">
        <is>
          <t>CHO</t>
        </is>
      </c>
      <c r="F3001" s="1" t="n">
        <v>2.5348</v>
      </c>
      <c r="G3001" s="1" t="n">
        <v>0.115267</v>
      </c>
    </row>
    <row r="3002">
      <c r="A3002" s="2" t="inlineStr">
        <is>
          <t>G3</t>
        </is>
      </c>
      <c r="B3002" s="2" t="n">
        <v>75</v>
      </c>
      <c r="C3002" s="2">
        <f>_xlfn.XLOOKUP(B3002,Results!$B$23:$B$119,Results!$D$23:$D$119)</f>
        <v/>
      </c>
      <c r="D3002" s="2" t="n">
        <v>19</v>
      </c>
      <c r="E3002" s="2" t="inlineStr">
        <is>
          <t>CHO</t>
        </is>
      </c>
      <c r="F3002" s="2" t="n">
        <v>2.6462</v>
      </c>
      <c r="G3002" s="2" t="n">
        <v>0.221212</v>
      </c>
    </row>
    <row r="3003">
      <c r="A3003" s="1" t="inlineStr">
        <is>
          <t>G3</t>
        </is>
      </c>
      <c r="B3003" s="1" t="n">
        <v>75</v>
      </c>
      <c r="C3003" s="2">
        <f>_xlfn.XLOOKUP(B3003,Results!$B$23:$B$119,Results!$D$23:$D$119)</f>
        <v/>
      </c>
      <c r="D3003" s="1" t="n">
        <v>20</v>
      </c>
      <c r="E3003" s="1" t="inlineStr">
        <is>
          <t>CHO</t>
        </is>
      </c>
      <c r="F3003" s="1" t="n">
        <v>2.8423</v>
      </c>
      <c r="G3003" s="1" t="n">
        <v>0.411892</v>
      </c>
    </row>
    <row r="3004">
      <c r="A3004" s="2" t="inlineStr">
        <is>
          <t>G3</t>
        </is>
      </c>
      <c r="B3004" s="2" t="n">
        <v>75</v>
      </c>
      <c r="C3004" s="2">
        <f>_xlfn.XLOOKUP(B3004,Results!$B$23:$B$119,Results!$D$23:$D$119)</f>
        <v/>
      </c>
      <c r="D3004" s="2" t="n">
        <v>21</v>
      </c>
      <c r="E3004" s="2" t="inlineStr">
        <is>
          <t>CHO</t>
        </is>
      </c>
      <c r="F3004" s="2" t="n">
        <v>3.1241</v>
      </c>
      <c r="G3004" s="2" t="n">
        <v>0.6882779999999999</v>
      </c>
    </row>
    <row r="3005">
      <c r="A3005" s="1" t="inlineStr">
        <is>
          <t>G3</t>
        </is>
      </c>
      <c r="B3005" s="1" t="n">
        <v>75</v>
      </c>
      <c r="C3005" s="2">
        <f>_xlfn.XLOOKUP(B3005,Results!$B$23:$B$119,Results!$D$23:$D$119)</f>
        <v/>
      </c>
      <c r="D3005" s="1" t="n">
        <v>22</v>
      </c>
      <c r="E3005" s="1" t="inlineStr">
        <is>
          <t>CHO</t>
        </is>
      </c>
      <c r="F3005" s="1" t="n">
        <v>3.4999</v>
      </c>
      <c r="G3005" s="1" t="n">
        <v>1.058568</v>
      </c>
    </row>
    <row r="3006">
      <c r="A3006" s="2" t="inlineStr">
        <is>
          <t>G3</t>
        </is>
      </c>
      <c r="B3006" s="2" t="n">
        <v>75</v>
      </c>
      <c r="C3006" s="2">
        <f>_xlfn.XLOOKUP(B3006,Results!$B$23:$B$119,Results!$D$23:$D$119)</f>
        <v/>
      </c>
      <c r="D3006" s="2" t="n">
        <v>23</v>
      </c>
      <c r="E3006" s="2" t="inlineStr">
        <is>
          <t>CHO</t>
        </is>
      </c>
      <c r="F3006" s="2" t="n">
        <v>3.9499</v>
      </c>
      <c r="G3006" s="2" t="n">
        <v>1.503101</v>
      </c>
    </row>
    <row r="3007">
      <c r="A3007" s="1" t="inlineStr">
        <is>
          <t>G3</t>
        </is>
      </c>
      <c r="B3007" s="1" t="n">
        <v>75</v>
      </c>
      <c r="C3007" s="2">
        <f>_xlfn.XLOOKUP(B3007,Results!$B$23:$B$119,Results!$D$23:$D$119)</f>
        <v/>
      </c>
      <c r="D3007" s="1" t="n">
        <v>24</v>
      </c>
      <c r="E3007" s="1" t="inlineStr">
        <is>
          <t>CHO</t>
        </is>
      </c>
      <c r="F3007" s="1" t="n">
        <v>4.4227</v>
      </c>
      <c r="G3007" s="1" t="n">
        <v>1.970441</v>
      </c>
    </row>
    <row r="3008">
      <c r="A3008" s="2" t="inlineStr">
        <is>
          <t>G3</t>
        </is>
      </c>
      <c r="B3008" s="2" t="n">
        <v>75</v>
      </c>
      <c r="C3008" s="2">
        <f>_xlfn.XLOOKUP(B3008,Results!$B$23:$B$119,Results!$D$23:$D$119)</f>
        <v/>
      </c>
      <c r="D3008" s="2" t="n">
        <v>25</v>
      </c>
      <c r="E3008" s="2" t="inlineStr">
        <is>
          <t>CHO</t>
        </is>
      </c>
      <c r="F3008" s="2" t="n">
        <v>4.8439</v>
      </c>
      <c r="G3008" s="2" t="n">
        <v>2.386177</v>
      </c>
    </row>
    <row r="3009">
      <c r="A3009" s="1" t="inlineStr">
        <is>
          <t>G3</t>
        </is>
      </c>
      <c r="B3009" s="1" t="n">
        <v>75</v>
      </c>
      <c r="C3009" s="2">
        <f>_xlfn.XLOOKUP(B3009,Results!$B$23:$B$119,Results!$D$23:$D$119)</f>
        <v/>
      </c>
      <c r="D3009" s="1" t="n">
        <v>26</v>
      </c>
      <c r="E3009" s="1" t="inlineStr">
        <is>
          <t>CHO</t>
        </is>
      </c>
      <c r="F3009" s="1" t="n">
        <v>5.2345</v>
      </c>
      <c r="G3009" s="1" t="n">
        <v>2.771398</v>
      </c>
    </row>
    <row r="3010">
      <c r="A3010" s="2" t="inlineStr">
        <is>
          <t>G3</t>
        </is>
      </c>
      <c r="B3010" s="2" t="n">
        <v>75</v>
      </c>
      <c r="C3010" s="2">
        <f>_xlfn.XLOOKUP(B3010,Results!$B$23:$B$119,Results!$D$23:$D$119)</f>
        <v/>
      </c>
      <c r="D3010" s="2" t="n">
        <v>27</v>
      </c>
      <c r="E3010" s="2" t="inlineStr">
        <is>
          <t>CHO</t>
        </is>
      </c>
      <c r="F3010" s="2" t="n">
        <v>5.5977</v>
      </c>
      <c r="G3010" s="2" t="n">
        <v>3.129121</v>
      </c>
    </row>
    <row r="3011">
      <c r="A3011" s="1" t="inlineStr">
        <is>
          <t>G3</t>
        </is>
      </c>
      <c r="B3011" s="1" t="n">
        <v>75</v>
      </c>
      <c r="C3011" s="2">
        <f>_xlfn.XLOOKUP(B3011,Results!$B$23:$B$119,Results!$D$23:$D$119)</f>
        <v/>
      </c>
      <c r="D3011" s="1" t="n">
        <v>28</v>
      </c>
      <c r="E3011" s="1" t="inlineStr">
        <is>
          <t>CHO</t>
        </is>
      </c>
      <c r="F3011" s="1" t="n">
        <v>5.9093</v>
      </c>
      <c r="G3011" s="1" t="n">
        <v>3.43526</v>
      </c>
    </row>
    <row r="3012">
      <c r="A3012" s="2" t="inlineStr">
        <is>
          <t>G3</t>
        </is>
      </c>
      <c r="B3012" s="2" t="n">
        <v>75</v>
      </c>
      <c r="C3012" s="2">
        <f>_xlfn.XLOOKUP(B3012,Results!$B$23:$B$119,Results!$D$23:$D$119)</f>
        <v/>
      </c>
      <c r="D3012" s="2" t="n">
        <v>29</v>
      </c>
      <c r="E3012" s="2" t="inlineStr">
        <is>
          <t>CHO</t>
        </is>
      </c>
      <c r="F3012" s="2" t="n">
        <v>6.1719</v>
      </c>
      <c r="G3012" s="2" t="n">
        <v>3.692389</v>
      </c>
    </row>
    <row r="3013">
      <c r="A3013" s="1" t="inlineStr">
        <is>
          <t>G3</t>
        </is>
      </c>
      <c r="B3013" s="1" t="n">
        <v>75</v>
      </c>
      <c r="C3013" s="2">
        <f>_xlfn.XLOOKUP(B3013,Results!$B$23:$B$119,Results!$D$23:$D$119)</f>
        <v/>
      </c>
      <c r="D3013" s="1" t="n">
        <v>30</v>
      </c>
      <c r="E3013" s="1" t="inlineStr">
        <is>
          <t>CHO</t>
        </is>
      </c>
      <c r="F3013" s="1" t="n">
        <v>6.4065</v>
      </c>
      <c r="G3013" s="1" t="n">
        <v>3.921482</v>
      </c>
    </row>
    <row r="3014">
      <c r="A3014" s="2" t="inlineStr">
        <is>
          <t>G3</t>
        </is>
      </c>
      <c r="B3014" s="2" t="n">
        <v>75</v>
      </c>
      <c r="C3014" s="2">
        <f>_xlfn.XLOOKUP(B3014,Results!$B$23:$B$119,Results!$D$23:$D$119)</f>
        <v/>
      </c>
      <c r="D3014" s="2" t="n">
        <v>31</v>
      </c>
      <c r="E3014" s="2" t="inlineStr">
        <is>
          <t>CHO</t>
        </is>
      </c>
      <c r="F3014" s="2" t="n">
        <v>6.6115</v>
      </c>
      <c r="G3014" s="2" t="n">
        <v>4.121024</v>
      </c>
    </row>
    <row r="3015">
      <c r="A3015" s="1" t="inlineStr">
        <is>
          <t>G3</t>
        </is>
      </c>
      <c r="B3015" s="1" t="n">
        <v>75</v>
      </c>
      <c r="C3015" s="2">
        <f>_xlfn.XLOOKUP(B3015,Results!$B$23:$B$119,Results!$D$23:$D$119)</f>
        <v/>
      </c>
      <c r="D3015" s="1" t="n">
        <v>32</v>
      </c>
      <c r="E3015" s="1" t="inlineStr">
        <is>
          <t>CHO</t>
        </is>
      </c>
      <c r="F3015" s="1" t="n">
        <v>6.7811</v>
      </c>
      <c r="G3015" s="1" t="n">
        <v>4.285247</v>
      </c>
    </row>
    <row r="3016">
      <c r="A3016" s="2" t="inlineStr">
        <is>
          <t>G3</t>
        </is>
      </c>
      <c r="B3016" s="2" t="n">
        <v>75</v>
      </c>
      <c r="C3016" s="2">
        <f>_xlfn.XLOOKUP(B3016,Results!$B$23:$B$119,Results!$D$23:$D$119)</f>
        <v/>
      </c>
      <c r="D3016" s="2" t="n">
        <v>33</v>
      </c>
      <c r="E3016" s="2" t="inlineStr">
        <is>
          <t>CHO</t>
        </is>
      </c>
      <c r="F3016" s="2" t="n">
        <v>6.9349</v>
      </c>
      <c r="G3016" s="2" t="n">
        <v>4.433539</v>
      </c>
    </row>
    <row r="3017">
      <c r="A3017" s="1" t="inlineStr">
        <is>
          <t>G3</t>
        </is>
      </c>
      <c r="B3017" s="1" t="n">
        <v>75</v>
      </c>
      <c r="C3017" s="2">
        <f>_xlfn.XLOOKUP(B3017,Results!$B$23:$B$119,Results!$D$23:$D$119)</f>
        <v/>
      </c>
      <c r="D3017" s="1" t="n">
        <v>34</v>
      </c>
      <c r="E3017" s="1" t="inlineStr">
        <is>
          <t>CHO</t>
        </is>
      </c>
      <c r="F3017" s="1" t="n">
        <v>7.0731</v>
      </c>
      <c r="G3017" s="1" t="n">
        <v>4.566321</v>
      </c>
    </row>
    <row r="3018">
      <c r="A3018" s="2" t="inlineStr">
        <is>
          <t>G3</t>
        </is>
      </c>
      <c r="B3018" s="2" t="n">
        <v>75</v>
      </c>
      <c r="C3018" s="2">
        <f>_xlfn.XLOOKUP(B3018,Results!$B$23:$B$119,Results!$D$23:$D$119)</f>
        <v/>
      </c>
      <c r="D3018" s="2" t="n">
        <v>35</v>
      </c>
      <c r="E3018" s="2" t="inlineStr">
        <is>
          <t>CHO</t>
        </is>
      </c>
      <c r="F3018" s="2" t="n">
        <v>7.1757</v>
      </c>
      <c r="G3018" s="2" t="n">
        <v>4.663395</v>
      </c>
    </row>
    <row r="3019">
      <c r="A3019" s="1" t="inlineStr">
        <is>
          <t>G3</t>
        </is>
      </c>
      <c r="B3019" s="1" t="n">
        <v>75</v>
      </c>
      <c r="C3019" s="2">
        <f>_xlfn.XLOOKUP(B3019,Results!$B$23:$B$119,Results!$D$23:$D$119)</f>
        <v/>
      </c>
      <c r="D3019" s="1" t="n">
        <v>36</v>
      </c>
      <c r="E3019" s="1" t="inlineStr">
        <is>
          <t>CHO</t>
        </is>
      </c>
      <c r="F3019" s="1" t="n">
        <v>7.27</v>
      </c>
      <c r="G3019" s="1" t="n">
        <v>4.752322</v>
      </c>
    </row>
    <row r="3020">
      <c r="A3020" s="2" t="inlineStr">
        <is>
          <t>G3</t>
        </is>
      </c>
      <c r="B3020" s="2" t="n">
        <v>75</v>
      </c>
      <c r="C3020" s="2">
        <f>_xlfn.XLOOKUP(B3020,Results!$B$23:$B$119,Results!$D$23:$D$119)</f>
        <v/>
      </c>
      <c r="D3020" s="2" t="n">
        <v>37</v>
      </c>
      <c r="E3020" s="2" t="inlineStr">
        <is>
          <t>CHO</t>
        </is>
      </c>
      <c r="F3020" s="2" t="n">
        <v>7.3653</v>
      </c>
      <c r="G3020" s="2" t="n">
        <v>4.842078</v>
      </c>
    </row>
    <row r="3021">
      <c r="A3021" s="1" t="inlineStr">
        <is>
          <t>G3</t>
        </is>
      </c>
      <c r="B3021" s="1" t="n">
        <v>75</v>
      </c>
      <c r="C3021" s="2">
        <f>_xlfn.XLOOKUP(B3021,Results!$B$23:$B$119,Results!$D$23:$D$119)</f>
        <v/>
      </c>
      <c r="D3021" s="1" t="n">
        <v>38</v>
      </c>
      <c r="E3021" s="1" t="inlineStr">
        <is>
          <t>CHO</t>
        </is>
      </c>
      <c r="F3021" s="1" t="n">
        <v>7.4468</v>
      </c>
      <c r="G3021" s="1" t="n">
        <v>4.918136</v>
      </c>
    </row>
    <row r="3022">
      <c r="A3022" s="2" t="inlineStr">
        <is>
          <t>G3</t>
        </is>
      </c>
      <c r="B3022" s="2" t="n">
        <v>75</v>
      </c>
      <c r="C3022" s="2">
        <f>_xlfn.XLOOKUP(B3022,Results!$B$23:$B$119,Results!$D$23:$D$119)</f>
        <v/>
      </c>
      <c r="D3022" s="2" t="n">
        <v>39</v>
      </c>
      <c r="E3022" s="2" t="inlineStr">
        <is>
          <t>CHO</t>
        </is>
      </c>
      <c r="F3022" s="2" t="n">
        <v>7.513</v>
      </c>
      <c r="G3022" s="2" t="n">
        <v>4.978942</v>
      </c>
    </row>
    <row r="3023">
      <c r="A3023" s="1" t="inlineStr">
        <is>
          <t>G3</t>
        </is>
      </c>
      <c r="B3023" s="1" t="n">
        <v>75</v>
      </c>
      <c r="C3023" s="2">
        <f>_xlfn.XLOOKUP(B3023,Results!$B$23:$B$119,Results!$D$23:$D$119)</f>
        <v/>
      </c>
      <c r="D3023" s="1" t="n">
        <v>40</v>
      </c>
      <c r="E3023" s="1" t="inlineStr">
        <is>
          <t>CHO</t>
        </is>
      </c>
      <c r="F3023" s="1" t="n">
        <v>7.574</v>
      </c>
      <c r="G3023" s="1" t="n">
        <v>5.034429</v>
      </c>
    </row>
    <row r="3024">
      <c r="A3024" s="2" t="inlineStr">
        <is>
          <t>G4</t>
        </is>
      </c>
      <c r="B3024" s="2" t="n">
        <v>76</v>
      </c>
      <c r="C3024" s="2">
        <f>_xlfn.XLOOKUP(B3024,Results!$B$23:$B$119,Results!$D$23:$D$119)</f>
        <v/>
      </c>
      <c r="D3024" s="2" t="n">
        <v>1</v>
      </c>
      <c r="E3024" s="2" t="inlineStr">
        <is>
          <t>CHO</t>
        </is>
      </c>
      <c r="F3024" s="2" t="n">
        <v>2.2339</v>
      </c>
      <c r="G3024" s="2" t="n">
        <v>-0.000372</v>
      </c>
    </row>
    <row r="3025">
      <c r="A3025" s="1" t="inlineStr">
        <is>
          <t>G4</t>
        </is>
      </c>
      <c r="B3025" s="1" t="n">
        <v>76</v>
      </c>
      <c r="C3025" s="2">
        <f>_xlfn.XLOOKUP(B3025,Results!$B$23:$B$119,Results!$D$23:$D$119)</f>
        <v/>
      </c>
      <c r="D3025" s="1" t="n">
        <v>2</v>
      </c>
      <c r="E3025" s="1" t="inlineStr">
        <is>
          <t>CHO</t>
        </is>
      </c>
      <c r="F3025" s="1" t="n">
        <v>2.2358</v>
      </c>
      <c r="G3025" s="1" t="n">
        <v>-0.003899</v>
      </c>
    </row>
    <row r="3026">
      <c r="A3026" s="2" t="inlineStr">
        <is>
          <t>G4</t>
        </is>
      </c>
      <c r="B3026" s="2" t="n">
        <v>76</v>
      </c>
      <c r="C3026" s="2">
        <f>_xlfn.XLOOKUP(B3026,Results!$B$23:$B$119,Results!$D$23:$D$119)</f>
        <v/>
      </c>
      <c r="D3026" s="2" t="n">
        <v>3</v>
      </c>
      <c r="E3026" s="2" t="inlineStr">
        <is>
          <t>CHO</t>
        </is>
      </c>
      <c r="F3026" s="2" t="n">
        <v>2.2437</v>
      </c>
      <c r="G3026" s="2" t="n">
        <v>-0.001518</v>
      </c>
    </row>
    <row r="3027">
      <c r="A3027" s="1" t="inlineStr">
        <is>
          <t>G4</t>
        </is>
      </c>
      <c r="B3027" s="1" t="n">
        <v>76</v>
      </c>
      <c r="C3027" s="2">
        <f>_xlfn.XLOOKUP(B3027,Results!$B$23:$B$119,Results!$D$23:$D$119)</f>
        <v/>
      </c>
      <c r="D3027" s="1" t="n">
        <v>4</v>
      </c>
      <c r="E3027" s="1" t="inlineStr">
        <is>
          <t>CHO</t>
        </is>
      </c>
      <c r="F3027" s="1" t="n">
        <v>2.2522</v>
      </c>
      <c r="G3027" s="1" t="n">
        <v>0.001548</v>
      </c>
    </row>
    <row r="3028">
      <c r="A3028" s="2" t="inlineStr">
        <is>
          <t>G4</t>
        </is>
      </c>
      <c r="B3028" s="2" t="n">
        <v>76</v>
      </c>
      <c r="C3028" s="2">
        <f>_xlfn.XLOOKUP(B3028,Results!$B$23:$B$119,Results!$D$23:$D$119)</f>
        <v/>
      </c>
      <c r="D3028" s="2" t="n">
        <v>5</v>
      </c>
      <c r="E3028" s="2" t="inlineStr">
        <is>
          <t>CHO</t>
        </is>
      </c>
      <c r="F3028" s="2" t="n">
        <v>2.2567</v>
      </c>
      <c r="G3028" s="2" t="n">
        <v>0.000669</v>
      </c>
    </row>
    <row r="3029">
      <c r="A3029" s="1" t="inlineStr">
        <is>
          <t>G4</t>
        </is>
      </c>
      <c r="B3029" s="1" t="n">
        <v>76</v>
      </c>
      <c r="C3029" s="2">
        <f>_xlfn.XLOOKUP(B3029,Results!$B$23:$B$119,Results!$D$23:$D$119)</f>
        <v/>
      </c>
      <c r="D3029" s="1" t="n">
        <v>6</v>
      </c>
      <c r="E3029" s="1" t="inlineStr">
        <is>
          <t>CHO</t>
        </is>
      </c>
      <c r="F3029" s="1" t="n">
        <v>2.2617</v>
      </c>
      <c r="G3029" s="1" t="n">
        <v>0.00024</v>
      </c>
    </row>
    <row r="3030">
      <c r="A3030" s="2" t="inlineStr">
        <is>
          <t>G4</t>
        </is>
      </c>
      <c r="B3030" s="2" t="n">
        <v>76</v>
      </c>
      <c r="C3030" s="2">
        <f>_xlfn.XLOOKUP(B3030,Results!$B$23:$B$119,Results!$D$23:$D$119)</f>
        <v/>
      </c>
      <c r="D3030" s="2" t="n">
        <v>7</v>
      </c>
      <c r="E3030" s="2" t="inlineStr">
        <is>
          <t>CHO</t>
        </is>
      </c>
      <c r="F3030" s="2" t="n">
        <v>2.2658</v>
      </c>
      <c r="G3030" s="2" t="n">
        <v>-0.00111</v>
      </c>
    </row>
    <row r="3031">
      <c r="A3031" s="1" t="inlineStr">
        <is>
          <t>G4</t>
        </is>
      </c>
      <c r="B3031" s="1" t="n">
        <v>76</v>
      </c>
      <c r="C3031" s="2">
        <f>_xlfn.XLOOKUP(B3031,Results!$B$23:$B$119,Results!$D$23:$D$119)</f>
        <v/>
      </c>
      <c r="D3031" s="1" t="n">
        <v>8</v>
      </c>
      <c r="E3031" s="1" t="inlineStr">
        <is>
          <t>CHO</t>
        </is>
      </c>
      <c r="F3031" s="1" t="n">
        <v>2.2738</v>
      </c>
      <c r="G3031" s="1" t="n">
        <v>0.001424</v>
      </c>
    </row>
    <row r="3032">
      <c r="A3032" s="2" t="inlineStr">
        <is>
          <t>G4</t>
        </is>
      </c>
      <c r="B3032" s="2" t="n">
        <v>76</v>
      </c>
      <c r="C3032" s="2">
        <f>_xlfn.XLOOKUP(B3032,Results!$B$23:$B$119,Results!$D$23:$D$119)</f>
        <v/>
      </c>
      <c r="D3032" s="2" t="n">
        <v>9</v>
      </c>
      <c r="E3032" s="2" t="inlineStr">
        <is>
          <t>CHO</t>
        </is>
      </c>
      <c r="F3032" s="2" t="n">
        <v>2.2787</v>
      </c>
      <c r="G3032" s="2" t="n">
        <v>0.000865</v>
      </c>
    </row>
    <row r="3033">
      <c r="A3033" s="1" t="inlineStr">
        <is>
          <t>G4</t>
        </is>
      </c>
      <c r="B3033" s="1" t="n">
        <v>76</v>
      </c>
      <c r="C3033" s="2">
        <f>_xlfn.XLOOKUP(B3033,Results!$B$23:$B$119,Results!$D$23:$D$119)</f>
        <v/>
      </c>
      <c r="D3033" s="1" t="n">
        <v>10</v>
      </c>
      <c r="E3033" s="1" t="inlineStr">
        <is>
          <t>CHO</t>
        </is>
      </c>
      <c r="F3033" s="1" t="n">
        <v>2.2815</v>
      </c>
      <c r="G3033" s="1" t="n">
        <v>-0.001747</v>
      </c>
    </row>
    <row r="3034">
      <c r="A3034" s="2" t="inlineStr">
        <is>
          <t>G4</t>
        </is>
      </c>
      <c r="B3034" s="2" t="n">
        <v>76</v>
      </c>
      <c r="C3034" s="2">
        <f>_xlfn.XLOOKUP(B3034,Results!$B$23:$B$119,Results!$D$23:$D$119)</f>
        <v/>
      </c>
      <c r="D3034" s="2" t="n">
        <v>11</v>
      </c>
      <c r="E3034" s="2" t="inlineStr">
        <is>
          <t>CHO</t>
        </is>
      </c>
      <c r="F3034" s="2" t="n">
        <v>2.2874</v>
      </c>
      <c r="G3034" s="2" t="n">
        <v>-0.001309</v>
      </c>
    </row>
    <row r="3035">
      <c r="A3035" s="1" t="inlineStr">
        <is>
          <t>G4</t>
        </is>
      </c>
      <c r="B3035" s="1" t="n">
        <v>76</v>
      </c>
      <c r="C3035" s="2">
        <f>_xlfn.XLOOKUP(B3035,Results!$B$23:$B$119,Results!$D$23:$D$119)</f>
        <v/>
      </c>
      <c r="D3035" s="1" t="n">
        <v>12</v>
      </c>
      <c r="E3035" s="1" t="inlineStr">
        <is>
          <t>CHO</t>
        </is>
      </c>
      <c r="F3035" s="1" t="n">
        <v>2.2933</v>
      </c>
      <c r="G3035" s="1" t="n">
        <v>-0.000857</v>
      </c>
    </row>
    <row r="3036">
      <c r="A3036" s="2" t="inlineStr">
        <is>
          <t>G4</t>
        </is>
      </c>
      <c r="B3036" s="2" t="n">
        <v>76</v>
      </c>
      <c r="C3036" s="2">
        <f>_xlfn.XLOOKUP(B3036,Results!$B$23:$B$119,Results!$D$23:$D$119)</f>
        <v/>
      </c>
      <c r="D3036" s="2" t="n">
        <v>13</v>
      </c>
      <c r="E3036" s="2" t="inlineStr">
        <is>
          <t>CHO</t>
        </is>
      </c>
      <c r="F3036" s="2" t="n">
        <v>2.3004</v>
      </c>
      <c r="G3036" s="2" t="n">
        <v>0.000797</v>
      </c>
    </row>
    <row r="3037">
      <c r="A3037" s="1" t="inlineStr">
        <is>
          <t>G4</t>
        </is>
      </c>
      <c r="B3037" s="1" t="n">
        <v>76</v>
      </c>
      <c r="C3037" s="2">
        <f>_xlfn.XLOOKUP(B3037,Results!$B$23:$B$119,Results!$D$23:$D$119)</f>
        <v/>
      </c>
      <c r="D3037" s="1" t="n">
        <v>14</v>
      </c>
      <c r="E3037" s="1" t="inlineStr">
        <is>
          <t>CHO</t>
        </is>
      </c>
      <c r="F3037" s="1" t="n">
        <v>2.306</v>
      </c>
      <c r="G3037" s="1" t="n">
        <v>0.0009970000000000001</v>
      </c>
    </row>
    <row r="3038">
      <c r="A3038" s="2" t="inlineStr">
        <is>
          <t>G4</t>
        </is>
      </c>
      <c r="B3038" s="2" t="n">
        <v>76</v>
      </c>
      <c r="C3038" s="2">
        <f>_xlfn.XLOOKUP(B3038,Results!$B$23:$B$119,Results!$D$23:$D$119)</f>
        <v/>
      </c>
      <c r="D3038" s="2" t="n">
        <v>15</v>
      </c>
      <c r="E3038" s="2" t="inlineStr">
        <is>
          <t>CHO</t>
        </is>
      </c>
      <c r="F3038" s="2" t="n">
        <v>2.3181</v>
      </c>
      <c r="G3038" s="2" t="n">
        <v>0.007706</v>
      </c>
    </row>
    <row r="3039">
      <c r="A3039" s="1" t="inlineStr">
        <is>
          <t>G4</t>
        </is>
      </c>
      <c r="B3039" s="1" t="n">
        <v>76</v>
      </c>
      <c r="C3039" s="2">
        <f>_xlfn.XLOOKUP(B3039,Results!$B$23:$B$119,Results!$D$23:$D$119)</f>
        <v/>
      </c>
      <c r="D3039" s="1" t="n">
        <v>16</v>
      </c>
      <c r="E3039" s="1" t="inlineStr">
        <is>
          <t>CHO</t>
        </is>
      </c>
      <c r="F3039" s="1" t="n">
        <v>2.3313</v>
      </c>
      <c r="G3039" s="1" t="n">
        <v>0.015454</v>
      </c>
    </row>
    <row r="3040">
      <c r="A3040" s="2" t="inlineStr">
        <is>
          <t>G4</t>
        </is>
      </c>
      <c r="B3040" s="2" t="n">
        <v>76</v>
      </c>
      <c r="C3040" s="2">
        <f>_xlfn.XLOOKUP(B3040,Results!$B$23:$B$119,Results!$D$23:$D$119)</f>
        <v/>
      </c>
      <c r="D3040" s="2" t="n">
        <v>17</v>
      </c>
      <c r="E3040" s="2" t="inlineStr">
        <is>
          <t>CHO</t>
        </is>
      </c>
      <c r="F3040" s="2" t="n">
        <v>2.3524</v>
      </c>
      <c r="G3040" s="2" t="n">
        <v>0.031136</v>
      </c>
    </row>
    <row r="3041">
      <c r="A3041" s="1" t="inlineStr">
        <is>
          <t>G4</t>
        </is>
      </c>
      <c r="B3041" s="1" t="n">
        <v>76</v>
      </c>
      <c r="C3041" s="2">
        <f>_xlfn.XLOOKUP(B3041,Results!$B$23:$B$119,Results!$D$23:$D$119)</f>
        <v/>
      </c>
      <c r="D3041" s="1" t="n">
        <v>18</v>
      </c>
      <c r="E3041" s="1" t="inlineStr">
        <is>
          <t>CHO</t>
        </is>
      </c>
      <c r="F3041" s="1" t="n">
        <v>2.391</v>
      </c>
      <c r="G3041" s="1" t="n">
        <v>0.06428499999999999</v>
      </c>
    </row>
    <row r="3042">
      <c r="A3042" s="2" t="inlineStr">
        <is>
          <t>G4</t>
        </is>
      </c>
      <c r="B3042" s="2" t="n">
        <v>76</v>
      </c>
      <c r="C3042" s="2">
        <f>_xlfn.XLOOKUP(B3042,Results!$B$23:$B$119,Results!$D$23:$D$119)</f>
        <v/>
      </c>
      <c r="D3042" s="2" t="n">
        <v>19</v>
      </c>
      <c r="E3042" s="2" t="inlineStr">
        <is>
          <t>CHO</t>
        </is>
      </c>
      <c r="F3042" s="2" t="n">
        <v>2.464</v>
      </c>
      <c r="G3042" s="2" t="n">
        <v>0.131839</v>
      </c>
    </row>
    <row r="3043">
      <c r="A3043" s="1" t="inlineStr">
        <is>
          <t>G4</t>
        </is>
      </c>
      <c r="B3043" s="1" t="n">
        <v>76</v>
      </c>
      <c r="C3043" s="2">
        <f>_xlfn.XLOOKUP(B3043,Results!$B$23:$B$119,Results!$D$23:$D$119)</f>
        <v/>
      </c>
      <c r="D3043" s="1" t="n">
        <v>20</v>
      </c>
      <c r="E3043" s="1" t="inlineStr">
        <is>
          <t>CHO</t>
        </is>
      </c>
      <c r="F3043" s="1" t="n">
        <v>2.5905</v>
      </c>
      <c r="G3043" s="1" t="n">
        <v>0.252892</v>
      </c>
    </row>
    <row r="3044">
      <c r="A3044" s="2" t="inlineStr">
        <is>
          <t>G4</t>
        </is>
      </c>
      <c r="B3044" s="2" t="n">
        <v>76</v>
      </c>
      <c r="C3044" s="2">
        <f>_xlfn.XLOOKUP(B3044,Results!$B$23:$B$119,Results!$D$23:$D$119)</f>
        <v/>
      </c>
      <c r="D3044" s="2" t="n">
        <v>21</v>
      </c>
      <c r="E3044" s="2" t="inlineStr">
        <is>
          <t>CHO</t>
        </is>
      </c>
      <c r="F3044" s="2" t="n">
        <v>2.8013</v>
      </c>
      <c r="G3044" s="2" t="n">
        <v>0.45824</v>
      </c>
    </row>
    <row r="3045">
      <c r="A3045" s="1" t="inlineStr">
        <is>
          <t>G4</t>
        </is>
      </c>
      <c r="B3045" s="1" t="n">
        <v>76</v>
      </c>
      <c r="C3045" s="2">
        <f>_xlfn.XLOOKUP(B3045,Results!$B$23:$B$119,Results!$D$23:$D$119)</f>
        <v/>
      </c>
      <c r="D3045" s="1" t="n">
        <v>22</v>
      </c>
      <c r="E3045" s="1" t="inlineStr">
        <is>
          <t>CHO</t>
        </is>
      </c>
      <c r="F3045" s="1" t="n">
        <v>3.1107</v>
      </c>
      <c r="G3045" s="1" t="n">
        <v>0.762216</v>
      </c>
    </row>
    <row r="3046">
      <c r="A3046" s="2" t="inlineStr">
        <is>
          <t>G4</t>
        </is>
      </c>
      <c r="B3046" s="2" t="n">
        <v>76</v>
      </c>
      <c r="C3046" s="2">
        <f>_xlfn.XLOOKUP(B3046,Results!$B$23:$B$119,Results!$D$23:$D$119)</f>
        <v/>
      </c>
      <c r="D3046" s="2" t="n">
        <v>23</v>
      </c>
      <c r="E3046" s="2" t="inlineStr">
        <is>
          <t>CHO</t>
        </is>
      </c>
      <c r="F3046" s="2" t="n">
        <v>3.506</v>
      </c>
      <c r="G3046" s="2" t="n">
        <v>1.152046</v>
      </c>
    </row>
    <row r="3047">
      <c r="A3047" s="1" t="inlineStr">
        <is>
          <t>G4</t>
        </is>
      </c>
      <c r="B3047" s="1" t="n">
        <v>76</v>
      </c>
      <c r="C3047" s="2">
        <f>_xlfn.XLOOKUP(B3047,Results!$B$23:$B$119,Results!$D$23:$D$119)</f>
        <v/>
      </c>
      <c r="D3047" s="1" t="n">
        <v>24</v>
      </c>
      <c r="E3047" s="1" t="inlineStr">
        <is>
          <t>CHO</t>
        </is>
      </c>
      <c r="F3047" s="1" t="n">
        <v>3.9493</v>
      </c>
      <c r="G3047" s="1" t="n">
        <v>1.589934</v>
      </c>
    </row>
    <row r="3048">
      <c r="A3048" s="2" t="inlineStr">
        <is>
          <t>G4</t>
        </is>
      </c>
      <c r="B3048" s="2" t="n">
        <v>76</v>
      </c>
      <c r="C3048" s="2">
        <f>_xlfn.XLOOKUP(B3048,Results!$B$23:$B$119,Results!$D$23:$D$119)</f>
        <v/>
      </c>
      <c r="D3048" s="2" t="n">
        <v>25</v>
      </c>
      <c r="E3048" s="2" t="inlineStr">
        <is>
          <t>CHO</t>
        </is>
      </c>
      <c r="F3048" s="2" t="n">
        <v>4.403</v>
      </c>
      <c r="G3048" s="2" t="n">
        <v>2.038157</v>
      </c>
    </row>
    <row r="3049">
      <c r="A3049" s="1" t="inlineStr">
        <is>
          <t>G4</t>
        </is>
      </c>
      <c r="B3049" s="1" t="n">
        <v>76</v>
      </c>
      <c r="C3049" s="2">
        <f>_xlfn.XLOOKUP(B3049,Results!$B$23:$B$119,Results!$D$23:$D$119)</f>
        <v/>
      </c>
      <c r="D3049" s="1" t="n">
        <v>26</v>
      </c>
      <c r="E3049" s="1" t="inlineStr">
        <is>
          <t>CHO</t>
        </is>
      </c>
      <c r="F3049" s="1" t="n">
        <v>4.8185</v>
      </c>
      <c r="G3049" s="1" t="n">
        <v>2.448219</v>
      </c>
    </row>
    <row r="3050">
      <c r="A3050" s="2" t="inlineStr">
        <is>
          <t>G4</t>
        </is>
      </c>
      <c r="B3050" s="2" t="n">
        <v>76</v>
      </c>
      <c r="C3050" s="2">
        <f>_xlfn.XLOOKUP(B3050,Results!$B$23:$B$119,Results!$D$23:$D$119)</f>
        <v/>
      </c>
      <c r="D3050" s="2" t="n">
        <v>27</v>
      </c>
      <c r="E3050" s="2" t="inlineStr">
        <is>
          <t>CHO</t>
        </is>
      </c>
      <c r="F3050" s="2" t="n">
        <v>5.2037</v>
      </c>
      <c r="G3050" s="2" t="n">
        <v>2.828029</v>
      </c>
    </row>
    <row r="3051">
      <c r="A3051" s="1" t="inlineStr">
        <is>
          <t>G4</t>
        </is>
      </c>
      <c r="B3051" s="1" t="n">
        <v>76</v>
      </c>
      <c r="C3051" s="2">
        <f>_xlfn.XLOOKUP(B3051,Results!$B$23:$B$119,Results!$D$23:$D$119)</f>
        <v/>
      </c>
      <c r="D3051" s="1" t="n">
        <v>28</v>
      </c>
      <c r="E3051" s="1" t="inlineStr">
        <is>
          <t>CHO</t>
        </is>
      </c>
      <c r="F3051" s="1" t="n">
        <v>5.5428</v>
      </c>
      <c r="G3051" s="1" t="n">
        <v>3.161677</v>
      </c>
    </row>
    <row r="3052">
      <c r="A3052" s="2" t="inlineStr">
        <is>
          <t>G4</t>
        </is>
      </c>
      <c r="B3052" s="2" t="n">
        <v>76</v>
      </c>
      <c r="C3052" s="2">
        <f>_xlfn.XLOOKUP(B3052,Results!$B$23:$B$119,Results!$D$23:$D$119)</f>
        <v/>
      </c>
      <c r="D3052" s="2" t="n">
        <v>29</v>
      </c>
      <c r="E3052" s="2" t="inlineStr">
        <is>
          <t>CHO</t>
        </is>
      </c>
      <c r="F3052" s="2" t="n">
        <v>5.8291</v>
      </c>
      <c r="G3052" s="2" t="n">
        <v>3.44252</v>
      </c>
    </row>
    <row r="3053">
      <c r="A3053" s="1" t="inlineStr">
        <is>
          <t>G4</t>
        </is>
      </c>
      <c r="B3053" s="1" t="n">
        <v>76</v>
      </c>
      <c r="C3053" s="2">
        <f>_xlfn.XLOOKUP(B3053,Results!$B$23:$B$119,Results!$D$23:$D$119)</f>
        <v/>
      </c>
      <c r="D3053" s="1" t="n">
        <v>30</v>
      </c>
      <c r="E3053" s="1" t="inlineStr">
        <is>
          <t>CHO</t>
        </is>
      </c>
      <c r="F3053" s="1" t="n">
        <v>6.079</v>
      </c>
      <c r="G3053" s="1" t="n">
        <v>3.687025</v>
      </c>
    </row>
    <row r="3054">
      <c r="A3054" s="2" t="inlineStr">
        <is>
          <t>G4</t>
        </is>
      </c>
      <c r="B3054" s="2" t="n">
        <v>76</v>
      </c>
      <c r="C3054" s="2">
        <f>_xlfn.XLOOKUP(B3054,Results!$B$23:$B$119,Results!$D$23:$D$119)</f>
        <v/>
      </c>
      <c r="D3054" s="2" t="n">
        <v>31</v>
      </c>
      <c r="E3054" s="2" t="inlineStr">
        <is>
          <t>CHO</t>
        </is>
      </c>
      <c r="F3054" s="2" t="n">
        <v>6.3001</v>
      </c>
      <c r="G3054" s="2" t="n">
        <v>3.902658</v>
      </c>
    </row>
    <row r="3055">
      <c r="A3055" s="1" t="inlineStr">
        <is>
          <t>G4</t>
        </is>
      </c>
      <c r="B3055" s="1" t="n">
        <v>76</v>
      </c>
      <c r="C3055" s="2">
        <f>_xlfn.XLOOKUP(B3055,Results!$B$23:$B$119,Results!$D$23:$D$119)</f>
        <v/>
      </c>
      <c r="D3055" s="1" t="n">
        <v>32</v>
      </c>
      <c r="E3055" s="1" t="inlineStr">
        <is>
          <t>CHO</t>
        </is>
      </c>
      <c r="F3055" s="1" t="n">
        <v>6.4935</v>
      </c>
      <c r="G3055" s="1" t="n">
        <v>4.090615</v>
      </c>
    </row>
    <row r="3056">
      <c r="A3056" s="2" t="inlineStr">
        <is>
          <t>G4</t>
        </is>
      </c>
      <c r="B3056" s="2" t="n">
        <v>76</v>
      </c>
      <c r="C3056" s="2">
        <f>_xlfn.XLOOKUP(B3056,Results!$B$23:$B$119,Results!$D$23:$D$119)</f>
        <v/>
      </c>
      <c r="D3056" s="2" t="n">
        <v>33</v>
      </c>
      <c r="E3056" s="2" t="inlineStr">
        <is>
          <t>CHO</t>
        </is>
      </c>
      <c r="F3056" s="2" t="n">
        <v>6.6567</v>
      </c>
      <c r="G3056" s="2" t="n">
        <v>4.248414</v>
      </c>
    </row>
    <row r="3057">
      <c r="A3057" s="1" t="inlineStr">
        <is>
          <t>G4</t>
        </is>
      </c>
      <c r="B3057" s="1" t="n">
        <v>76</v>
      </c>
      <c r="C3057" s="2">
        <f>_xlfn.XLOOKUP(B3057,Results!$B$23:$B$119,Results!$D$23:$D$119)</f>
        <v/>
      </c>
      <c r="D3057" s="1" t="n">
        <v>34</v>
      </c>
      <c r="E3057" s="1" t="inlineStr">
        <is>
          <t>CHO</t>
        </is>
      </c>
      <c r="F3057" s="1" t="n">
        <v>6.788</v>
      </c>
      <c r="G3057" s="1" t="n">
        <v>4.374288</v>
      </c>
    </row>
    <row r="3058">
      <c r="A3058" s="2" t="inlineStr">
        <is>
          <t>G4</t>
        </is>
      </c>
      <c r="B3058" s="2" t="n">
        <v>76</v>
      </c>
      <c r="C3058" s="2">
        <f>_xlfn.XLOOKUP(B3058,Results!$B$23:$B$119,Results!$D$23:$D$119)</f>
        <v/>
      </c>
      <c r="D3058" s="2" t="n">
        <v>35</v>
      </c>
      <c r="E3058" s="2" t="inlineStr">
        <is>
          <t>CHO</t>
        </is>
      </c>
      <c r="F3058" s="2" t="n">
        <v>6.9149</v>
      </c>
      <c r="G3058" s="2" t="n">
        <v>4.495667</v>
      </c>
    </row>
    <row r="3059">
      <c r="A3059" s="1" t="inlineStr">
        <is>
          <t>G4</t>
        </is>
      </c>
      <c r="B3059" s="1" t="n">
        <v>76</v>
      </c>
      <c r="C3059" s="2">
        <f>_xlfn.XLOOKUP(B3059,Results!$B$23:$B$119,Results!$D$23:$D$119)</f>
        <v/>
      </c>
      <c r="D3059" s="1" t="n">
        <v>36</v>
      </c>
      <c r="E3059" s="1" t="inlineStr">
        <is>
          <t>CHO</t>
        </is>
      </c>
      <c r="F3059" s="1" t="n">
        <v>7.0204</v>
      </c>
      <c r="G3059" s="1" t="n">
        <v>4.595734</v>
      </c>
    </row>
    <row r="3060">
      <c r="A3060" s="2" t="inlineStr">
        <is>
          <t>G4</t>
        </is>
      </c>
      <c r="B3060" s="2" t="n">
        <v>76</v>
      </c>
      <c r="C3060" s="2">
        <f>_xlfn.XLOOKUP(B3060,Results!$B$23:$B$119,Results!$D$23:$D$119)</f>
        <v/>
      </c>
      <c r="D3060" s="2" t="n">
        <v>37</v>
      </c>
      <c r="E3060" s="2" t="inlineStr">
        <is>
          <t>CHO</t>
        </is>
      </c>
      <c r="F3060" s="2" t="n">
        <v>7.1093</v>
      </c>
      <c r="G3060" s="2" t="n">
        <v>4.679259</v>
      </c>
    </row>
    <row r="3061">
      <c r="A3061" s="1" t="inlineStr">
        <is>
          <t>G4</t>
        </is>
      </c>
      <c r="B3061" s="1" t="n">
        <v>76</v>
      </c>
      <c r="C3061" s="2">
        <f>_xlfn.XLOOKUP(B3061,Results!$B$23:$B$119,Results!$D$23:$D$119)</f>
        <v/>
      </c>
      <c r="D3061" s="1" t="n">
        <v>38</v>
      </c>
      <c r="E3061" s="1" t="inlineStr">
        <is>
          <t>CHO</t>
        </is>
      </c>
      <c r="F3061" s="1" t="n">
        <v>7.1947</v>
      </c>
      <c r="G3061" s="1" t="n">
        <v>4.759229</v>
      </c>
    </row>
    <row r="3062">
      <c r="A3062" s="2" t="inlineStr">
        <is>
          <t>G4</t>
        </is>
      </c>
      <c r="B3062" s="2" t="n">
        <v>76</v>
      </c>
      <c r="C3062" s="2">
        <f>_xlfn.XLOOKUP(B3062,Results!$B$23:$B$119,Results!$D$23:$D$119)</f>
        <v/>
      </c>
      <c r="D3062" s="2" t="n">
        <v>39</v>
      </c>
      <c r="E3062" s="2" t="inlineStr">
        <is>
          <t>CHO</t>
        </is>
      </c>
      <c r="F3062" s="2" t="n">
        <v>7.2641</v>
      </c>
      <c r="G3062" s="2" t="n">
        <v>4.823114</v>
      </c>
    </row>
    <row r="3063">
      <c r="A3063" s="1" t="inlineStr">
        <is>
          <t>G4</t>
        </is>
      </c>
      <c r="B3063" s="1" t="n">
        <v>76</v>
      </c>
      <c r="C3063" s="2">
        <f>_xlfn.XLOOKUP(B3063,Results!$B$23:$B$119,Results!$D$23:$D$119)</f>
        <v/>
      </c>
      <c r="D3063" s="1" t="n">
        <v>40</v>
      </c>
      <c r="E3063" s="1" t="inlineStr">
        <is>
          <t>CHO</t>
        </is>
      </c>
      <c r="F3063" s="1" t="n">
        <v>7.3171</v>
      </c>
      <c r="G3063" s="1" t="n">
        <v>4.870724</v>
      </c>
    </row>
    <row r="3064">
      <c r="A3064" s="2" t="inlineStr">
        <is>
          <t>G5</t>
        </is>
      </c>
      <c r="B3064" s="2" t="n">
        <v>77</v>
      </c>
      <c r="C3064" s="2">
        <f>_xlfn.XLOOKUP(B3064,Results!$B$23:$B$119,Results!$D$23:$D$119)</f>
        <v/>
      </c>
      <c r="D3064" s="2" t="n">
        <v>1</v>
      </c>
      <c r="E3064" s="2" t="inlineStr">
        <is>
          <t>CHO</t>
        </is>
      </c>
      <c r="F3064" s="2" t="n">
        <v>2.3213</v>
      </c>
      <c r="G3064" s="2" t="n">
        <v>0.042068</v>
      </c>
    </row>
    <row r="3065">
      <c r="A3065" s="1" t="inlineStr">
        <is>
          <t>G5</t>
        </is>
      </c>
      <c r="B3065" s="1" t="n">
        <v>77</v>
      </c>
      <c r="C3065" s="2">
        <f>_xlfn.XLOOKUP(B3065,Results!$B$23:$B$119,Results!$D$23:$D$119)</f>
        <v/>
      </c>
      <c r="D3065" s="1" t="n">
        <v>2</v>
      </c>
      <c r="E3065" s="1" t="inlineStr">
        <is>
          <t>CHO</t>
        </is>
      </c>
      <c r="F3065" s="1" t="n">
        <v>2.3098</v>
      </c>
      <c r="G3065" s="1" t="n">
        <v>0.025271</v>
      </c>
    </row>
    <row r="3066">
      <c r="A3066" s="2" t="inlineStr">
        <is>
          <t>G5</t>
        </is>
      </c>
      <c r="B3066" s="2" t="n">
        <v>77</v>
      </c>
      <c r="C3066" s="2">
        <f>_xlfn.XLOOKUP(B3066,Results!$B$23:$B$119,Results!$D$23:$D$119)</f>
        <v/>
      </c>
      <c r="D3066" s="2" t="n">
        <v>3</v>
      </c>
      <c r="E3066" s="2" t="inlineStr">
        <is>
          <t>CHO</t>
        </is>
      </c>
      <c r="F3066" s="2" t="n">
        <v>2.296</v>
      </c>
      <c r="G3066" s="2" t="n">
        <v>0.006112</v>
      </c>
    </row>
    <row r="3067">
      <c r="A3067" s="1" t="inlineStr">
        <is>
          <t>G5</t>
        </is>
      </c>
      <c r="B3067" s="1" t="n">
        <v>77</v>
      </c>
      <c r="C3067" s="2">
        <f>_xlfn.XLOOKUP(B3067,Results!$B$23:$B$119,Results!$D$23:$D$119)</f>
        <v/>
      </c>
      <c r="D3067" s="1" t="n">
        <v>4</v>
      </c>
      <c r="E3067" s="1" t="inlineStr">
        <is>
          <t>CHO</t>
        </is>
      </c>
      <c r="F3067" s="1" t="n">
        <v>2.296</v>
      </c>
      <c r="G3067" s="1" t="n">
        <v>0.000783</v>
      </c>
    </row>
    <row r="3068">
      <c r="A3068" s="2" t="inlineStr">
        <is>
          <t>G5</t>
        </is>
      </c>
      <c r="B3068" s="2" t="n">
        <v>77</v>
      </c>
      <c r="C3068" s="2">
        <f>_xlfn.XLOOKUP(B3068,Results!$B$23:$B$119,Results!$D$23:$D$119)</f>
        <v/>
      </c>
      <c r="D3068" s="2" t="n">
        <v>5</v>
      </c>
      <c r="E3068" s="2" t="inlineStr">
        <is>
          <t>CHO</t>
        </is>
      </c>
      <c r="F3068" s="2" t="n">
        <v>2.2996</v>
      </c>
      <c r="G3068" s="2" t="n">
        <v>-0.000916</v>
      </c>
    </row>
    <row r="3069">
      <c r="A3069" s="1" t="inlineStr">
        <is>
          <t>G5</t>
        </is>
      </c>
      <c r="B3069" s="1" t="n">
        <v>77</v>
      </c>
      <c r="C3069" s="2">
        <f>_xlfn.XLOOKUP(B3069,Results!$B$23:$B$119,Results!$D$23:$D$119)</f>
        <v/>
      </c>
      <c r="D3069" s="1" t="n">
        <v>6</v>
      </c>
      <c r="E3069" s="1" t="inlineStr">
        <is>
          <t>CHO</t>
        </is>
      </c>
      <c r="F3069" s="1" t="n">
        <v>2.3028</v>
      </c>
      <c r="G3069" s="1" t="n">
        <v>-0.003029</v>
      </c>
    </row>
    <row r="3070">
      <c r="A3070" s="2" t="inlineStr">
        <is>
          <t>G5</t>
        </is>
      </c>
      <c r="B3070" s="2" t="n">
        <v>77</v>
      </c>
      <c r="C3070" s="2">
        <f>_xlfn.XLOOKUP(B3070,Results!$B$23:$B$119,Results!$D$23:$D$119)</f>
        <v/>
      </c>
      <c r="D3070" s="2" t="n">
        <v>7</v>
      </c>
      <c r="E3070" s="2" t="inlineStr">
        <is>
          <t>CHO</t>
        </is>
      </c>
      <c r="F3070" s="2" t="n">
        <v>2.3085</v>
      </c>
      <c r="G3070" s="2" t="n">
        <v>-0.00259</v>
      </c>
    </row>
    <row r="3071">
      <c r="A3071" s="1" t="inlineStr">
        <is>
          <t>G5</t>
        </is>
      </c>
      <c r="B3071" s="1" t="n">
        <v>77</v>
      </c>
      <c r="C3071" s="2">
        <f>_xlfn.XLOOKUP(B3071,Results!$B$23:$B$119,Results!$D$23:$D$119)</f>
        <v/>
      </c>
      <c r="D3071" s="1" t="n">
        <v>8</v>
      </c>
      <c r="E3071" s="1" t="inlineStr">
        <is>
          <t>CHO</t>
        </is>
      </c>
      <c r="F3071" s="1" t="n">
        <v>2.3128</v>
      </c>
      <c r="G3071" s="1" t="n">
        <v>-0.003612</v>
      </c>
    </row>
    <row r="3072">
      <c r="A3072" s="2" t="inlineStr">
        <is>
          <t>G5</t>
        </is>
      </c>
      <c r="B3072" s="2" t="n">
        <v>77</v>
      </c>
      <c r="C3072" s="2">
        <f>_xlfn.XLOOKUP(B3072,Results!$B$23:$B$119,Results!$D$23:$D$119)</f>
        <v/>
      </c>
      <c r="D3072" s="2" t="n">
        <v>9</v>
      </c>
      <c r="E3072" s="2" t="inlineStr">
        <is>
          <t>CHO</t>
        </is>
      </c>
      <c r="F3072" s="2" t="n">
        <v>2.3203</v>
      </c>
      <c r="G3072" s="2" t="n">
        <v>-0.001412</v>
      </c>
    </row>
    <row r="3073">
      <c r="A3073" s="1" t="inlineStr">
        <is>
          <t>G5</t>
        </is>
      </c>
      <c r="B3073" s="1" t="n">
        <v>77</v>
      </c>
      <c r="C3073" s="2">
        <f>_xlfn.XLOOKUP(B3073,Results!$B$23:$B$119,Results!$D$23:$D$119)</f>
        <v/>
      </c>
      <c r="D3073" s="1" t="n">
        <v>10</v>
      </c>
      <c r="E3073" s="1" t="inlineStr">
        <is>
          <t>CHO</t>
        </is>
      </c>
      <c r="F3073" s="1" t="n">
        <v>2.3255</v>
      </c>
      <c r="G3073" s="1" t="n">
        <v>-0.00155</v>
      </c>
    </row>
    <row r="3074">
      <c r="A3074" s="2" t="inlineStr">
        <is>
          <t>G5</t>
        </is>
      </c>
      <c r="B3074" s="2" t="n">
        <v>77</v>
      </c>
      <c r="C3074" s="2">
        <f>_xlfn.XLOOKUP(B3074,Results!$B$23:$B$119,Results!$D$23:$D$119)</f>
        <v/>
      </c>
      <c r="D3074" s="2" t="n">
        <v>11</v>
      </c>
      <c r="E3074" s="2" t="inlineStr">
        <is>
          <t>CHO</t>
        </is>
      </c>
      <c r="F3074" s="2" t="n">
        <v>2.3352</v>
      </c>
      <c r="G3074" s="2" t="n">
        <v>0.002823</v>
      </c>
    </row>
    <row r="3075">
      <c r="A3075" s="1" t="inlineStr">
        <is>
          <t>G5</t>
        </is>
      </c>
      <c r="B3075" s="1" t="n">
        <v>77</v>
      </c>
      <c r="C3075" s="2">
        <f>_xlfn.XLOOKUP(B3075,Results!$B$23:$B$119,Results!$D$23:$D$119)</f>
        <v/>
      </c>
      <c r="D3075" s="1" t="n">
        <v>12</v>
      </c>
      <c r="E3075" s="1" t="inlineStr">
        <is>
          <t>CHO</t>
        </is>
      </c>
      <c r="F3075" s="1" t="n">
        <v>2.3388</v>
      </c>
      <c r="G3075" s="1" t="n">
        <v>0.001127</v>
      </c>
    </row>
    <row r="3076">
      <c r="A3076" s="2" t="inlineStr">
        <is>
          <t>G5</t>
        </is>
      </c>
      <c r="B3076" s="2" t="n">
        <v>77</v>
      </c>
      <c r="C3076" s="2">
        <f>_xlfn.XLOOKUP(B3076,Results!$B$23:$B$119,Results!$D$23:$D$119)</f>
        <v/>
      </c>
      <c r="D3076" s="2" t="n">
        <v>13</v>
      </c>
      <c r="E3076" s="2" t="inlineStr">
        <is>
          <t>CHO</t>
        </is>
      </c>
      <c r="F3076" s="2" t="n">
        <v>2.3427</v>
      </c>
      <c r="G3076" s="2" t="n">
        <v>-0.000241</v>
      </c>
    </row>
    <row r="3077">
      <c r="A3077" s="1" t="inlineStr">
        <is>
          <t>G5</t>
        </is>
      </c>
      <c r="B3077" s="1" t="n">
        <v>77</v>
      </c>
      <c r="C3077" s="2">
        <f>_xlfn.XLOOKUP(B3077,Results!$B$23:$B$119,Results!$D$23:$D$119)</f>
        <v/>
      </c>
      <c r="D3077" s="1" t="n">
        <v>14</v>
      </c>
      <c r="E3077" s="1" t="inlineStr">
        <is>
          <t>CHO</t>
        </is>
      </c>
      <c r="F3077" s="1" t="n">
        <v>2.3508</v>
      </c>
      <c r="G3077" s="1" t="n">
        <v>0.002505</v>
      </c>
    </row>
    <row r="3078">
      <c r="A3078" s="2" t="inlineStr">
        <is>
          <t>G5</t>
        </is>
      </c>
      <c r="B3078" s="2" t="n">
        <v>77</v>
      </c>
      <c r="C3078" s="2">
        <f>_xlfn.XLOOKUP(B3078,Results!$B$23:$B$119,Results!$D$23:$D$119)</f>
        <v/>
      </c>
      <c r="D3078" s="2" t="n">
        <v>15</v>
      </c>
      <c r="E3078" s="2" t="inlineStr">
        <is>
          <t>CHO</t>
        </is>
      </c>
      <c r="F3078" s="2" t="n">
        <v>2.3618</v>
      </c>
      <c r="G3078" s="2" t="n">
        <v>0.008232</v>
      </c>
    </row>
    <row r="3079">
      <c r="A3079" s="1" t="inlineStr">
        <is>
          <t>G5</t>
        </is>
      </c>
      <c r="B3079" s="1" t="n">
        <v>77</v>
      </c>
      <c r="C3079" s="2">
        <f>_xlfn.XLOOKUP(B3079,Results!$B$23:$B$119,Results!$D$23:$D$119)</f>
        <v/>
      </c>
      <c r="D3079" s="1" t="n">
        <v>16</v>
      </c>
      <c r="E3079" s="1" t="inlineStr">
        <is>
          <t>CHO</t>
        </is>
      </c>
      <c r="F3079" s="1" t="n">
        <v>2.3744</v>
      </c>
      <c r="G3079" s="1" t="n">
        <v>0.015434</v>
      </c>
    </row>
    <row r="3080">
      <c r="A3080" s="2" t="inlineStr">
        <is>
          <t>G5</t>
        </is>
      </c>
      <c r="B3080" s="2" t="n">
        <v>77</v>
      </c>
      <c r="C3080" s="2">
        <f>_xlfn.XLOOKUP(B3080,Results!$B$23:$B$119,Results!$D$23:$D$119)</f>
        <v/>
      </c>
      <c r="D3080" s="2" t="n">
        <v>17</v>
      </c>
      <c r="E3080" s="2" t="inlineStr">
        <is>
          <t>CHO</t>
        </is>
      </c>
      <c r="F3080" s="2" t="n">
        <v>2.3927</v>
      </c>
      <c r="G3080" s="2" t="n">
        <v>0.028463</v>
      </c>
    </row>
    <row r="3081">
      <c r="A3081" s="1" t="inlineStr">
        <is>
          <t>G5</t>
        </is>
      </c>
      <c r="B3081" s="1" t="n">
        <v>77</v>
      </c>
      <c r="C3081" s="2">
        <f>_xlfn.XLOOKUP(B3081,Results!$B$23:$B$119,Results!$D$23:$D$119)</f>
        <v/>
      </c>
      <c r="D3081" s="1" t="n">
        <v>18</v>
      </c>
      <c r="E3081" s="1" t="inlineStr">
        <is>
          <t>CHO</t>
        </is>
      </c>
      <c r="F3081" s="1" t="n">
        <v>2.4299</v>
      </c>
      <c r="G3081" s="1" t="n">
        <v>0.060356</v>
      </c>
    </row>
    <row r="3082">
      <c r="A3082" s="2" t="inlineStr">
        <is>
          <t>G5</t>
        </is>
      </c>
      <c r="B3082" s="2" t="n">
        <v>77</v>
      </c>
      <c r="C3082" s="2">
        <f>_xlfn.XLOOKUP(B3082,Results!$B$23:$B$119,Results!$D$23:$D$119)</f>
        <v/>
      </c>
      <c r="D3082" s="2" t="n">
        <v>19</v>
      </c>
      <c r="E3082" s="2" t="inlineStr">
        <is>
          <t>CHO</t>
        </is>
      </c>
      <c r="F3082" s="2" t="n">
        <v>2.5017</v>
      </c>
      <c r="G3082" s="2" t="n">
        <v>0.126882</v>
      </c>
    </row>
    <row r="3083">
      <c r="A3083" s="1" t="inlineStr">
        <is>
          <t>G5</t>
        </is>
      </c>
      <c r="B3083" s="1" t="n">
        <v>77</v>
      </c>
      <c r="C3083" s="2">
        <f>_xlfn.XLOOKUP(B3083,Results!$B$23:$B$119,Results!$D$23:$D$119)</f>
        <v/>
      </c>
      <c r="D3083" s="1" t="n">
        <v>20</v>
      </c>
      <c r="E3083" s="1" t="inlineStr">
        <is>
          <t>CHO</t>
        </is>
      </c>
      <c r="F3083" s="1" t="n">
        <v>2.6282</v>
      </c>
      <c r="G3083" s="1" t="n">
        <v>0.248067</v>
      </c>
    </row>
    <row r="3084">
      <c r="A3084" s="2" t="inlineStr">
        <is>
          <t>G5</t>
        </is>
      </c>
      <c r="B3084" s="2" t="n">
        <v>77</v>
      </c>
      <c r="C3084" s="2">
        <f>_xlfn.XLOOKUP(B3084,Results!$B$23:$B$119,Results!$D$23:$D$119)</f>
        <v/>
      </c>
      <c r="D3084" s="2" t="n">
        <v>21</v>
      </c>
      <c r="E3084" s="2" t="inlineStr">
        <is>
          <t>CHO</t>
        </is>
      </c>
      <c r="F3084" s="2" t="n">
        <v>2.8371</v>
      </c>
      <c r="G3084" s="2" t="n">
        <v>0.45164</v>
      </c>
    </row>
    <row r="3085">
      <c r="A3085" s="1" t="inlineStr">
        <is>
          <t>G5</t>
        </is>
      </c>
      <c r="B3085" s="1" t="n">
        <v>77</v>
      </c>
      <c r="C3085" s="2">
        <f>_xlfn.XLOOKUP(B3085,Results!$B$23:$B$119,Results!$D$23:$D$119)</f>
        <v/>
      </c>
      <c r="D3085" s="1" t="n">
        <v>22</v>
      </c>
      <c r="E3085" s="1" t="inlineStr">
        <is>
          <t>CHO</t>
        </is>
      </c>
      <c r="F3085" s="1" t="n">
        <v>3.1525</v>
      </c>
      <c r="G3085" s="1" t="n">
        <v>0.761717</v>
      </c>
    </row>
    <row r="3086">
      <c r="A3086" s="2" t="inlineStr">
        <is>
          <t>G5</t>
        </is>
      </c>
      <c r="B3086" s="2" t="n">
        <v>77</v>
      </c>
      <c r="C3086" s="2">
        <f>_xlfn.XLOOKUP(B3086,Results!$B$23:$B$119,Results!$D$23:$D$119)</f>
        <v/>
      </c>
      <c r="D3086" s="2" t="n">
        <v>23</v>
      </c>
      <c r="E3086" s="2" t="inlineStr">
        <is>
          <t>CHO</t>
        </is>
      </c>
      <c r="F3086" s="2" t="n">
        <v>3.5511</v>
      </c>
      <c r="G3086" s="2" t="n">
        <v>1.155011</v>
      </c>
    </row>
    <row r="3087">
      <c r="A3087" s="1" t="inlineStr">
        <is>
          <t>G5</t>
        </is>
      </c>
      <c r="B3087" s="1" t="n">
        <v>77</v>
      </c>
      <c r="C3087" s="2">
        <f>_xlfn.XLOOKUP(B3087,Results!$B$23:$B$119,Results!$D$23:$D$119)</f>
        <v/>
      </c>
      <c r="D3087" s="1" t="n">
        <v>24</v>
      </c>
      <c r="E3087" s="1" t="inlineStr">
        <is>
          <t>CHO</t>
        </is>
      </c>
      <c r="F3087" s="1" t="n">
        <v>3.9982</v>
      </c>
      <c r="G3087" s="1" t="n">
        <v>1.596827</v>
      </c>
    </row>
    <row r="3088">
      <c r="A3088" s="2" t="inlineStr">
        <is>
          <t>G5</t>
        </is>
      </c>
      <c r="B3088" s="2" t="n">
        <v>77</v>
      </c>
      <c r="C3088" s="2">
        <f>_xlfn.XLOOKUP(B3088,Results!$B$23:$B$119,Results!$D$23:$D$119)</f>
        <v/>
      </c>
      <c r="D3088" s="2" t="n">
        <v>25</v>
      </c>
      <c r="E3088" s="2" t="inlineStr">
        <is>
          <t>CHO</t>
        </is>
      </c>
      <c r="F3088" s="2" t="n">
        <v>4.4511</v>
      </c>
      <c r="G3088" s="2" t="n">
        <v>2.04435</v>
      </c>
    </row>
    <row r="3089">
      <c r="A3089" s="1" t="inlineStr">
        <is>
          <t>G5</t>
        </is>
      </c>
      <c r="B3089" s="1" t="n">
        <v>77</v>
      </c>
      <c r="C3089" s="2">
        <f>_xlfn.XLOOKUP(B3089,Results!$B$23:$B$119,Results!$D$23:$D$119)</f>
        <v/>
      </c>
      <c r="D3089" s="1" t="n">
        <v>26</v>
      </c>
      <c r="E3089" s="1" t="inlineStr">
        <is>
          <t>CHO</t>
        </is>
      </c>
      <c r="F3089" s="1" t="n">
        <v>4.8696</v>
      </c>
      <c r="G3089" s="1" t="n">
        <v>2.457544</v>
      </c>
    </row>
    <row r="3090">
      <c r="A3090" s="2" t="inlineStr">
        <is>
          <t>G5</t>
        </is>
      </c>
      <c r="B3090" s="2" t="n">
        <v>77</v>
      </c>
      <c r="C3090" s="2">
        <f>_xlfn.XLOOKUP(B3090,Results!$B$23:$B$119,Results!$D$23:$D$119)</f>
        <v/>
      </c>
      <c r="D3090" s="2" t="n">
        <v>27</v>
      </c>
      <c r="E3090" s="2" t="inlineStr">
        <is>
          <t>CHO</t>
        </is>
      </c>
      <c r="F3090" s="2" t="n">
        <v>5.2577</v>
      </c>
      <c r="G3090" s="2" t="n">
        <v>2.840353</v>
      </c>
    </row>
    <row r="3091">
      <c r="A3091" s="1" t="inlineStr">
        <is>
          <t>G5</t>
        </is>
      </c>
      <c r="B3091" s="1" t="n">
        <v>77</v>
      </c>
      <c r="C3091" s="2">
        <f>_xlfn.XLOOKUP(B3091,Results!$B$23:$B$119,Results!$D$23:$D$119)</f>
        <v/>
      </c>
      <c r="D3091" s="1" t="n">
        <v>28</v>
      </c>
      <c r="E3091" s="1" t="inlineStr">
        <is>
          <t>CHO</t>
        </is>
      </c>
      <c r="F3091" s="1" t="n">
        <v>5.5955</v>
      </c>
      <c r="G3091" s="1" t="n">
        <v>3.172879</v>
      </c>
    </row>
    <row r="3092">
      <c r="A3092" s="2" t="inlineStr">
        <is>
          <t>G5</t>
        </is>
      </c>
      <c r="B3092" s="2" t="n">
        <v>77</v>
      </c>
      <c r="C3092" s="2">
        <f>_xlfn.XLOOKUP(B3092,Results!$B$23:$B$119,Results!$D$23:$D$119)</f>
        <v/>
      </c>
      <c r="D3092" s="2" t="n">
        <v>29</v>
      </c>
      <c r="E3092" s="2" t="inlineStr">
        <is>
          <t>CHO</t>
        </is>
      </c>
      <c r="F3092" s="2" t="n">
        <v>5.9053</v>
      </c>
      <c r="G3092" s="2" t="n">
        <v>3.477318</v>
      </c>
    </row>
    <row r="3093">
      <c r="A3093" s="1" t="inlineStr">
        <is>
          <t>G5</t>
        </is>
      </c>
      <c r="B3093" s="1" t="n">
        <v>77</v>
      </c>
      <c r="C3093" s="2">
        <f>_xlfn.XLOOKUP(B3093,Results!$B$23:$B$119,Results!$D$23:$D$119)</f>
        <v/>
      </c>
      <c r="D3093" s="1" t="n">
        <v>30</v>
      </c>
      <c r="E3093" s="1" t="inlineStr">
        <is>
          <t>CHO</t>
        </is>
      </c>
      <c r="F3093" s="1" t="n">
        <v>6.1509</v>
      </c>
      <c r="G3093" s="1" t="n">
        <v>3.717608</v>
      </c>
    </row>
    <row r="3094">
      <c r="A3094" s="2" t="inlineStr">
        <is>
          <t>G5</t>
        </is>
      </c>
      <c r="B3094" s="2" t="n">
        <v>77</v>
      </c>
      <c r="C3094" s="2">
        <f>_xlfn.XLOOKUP(B3094,Results!$B$23:$B$119,Results!$D$23:$D$119)</f>
        <v/>
      </c>
      <c r="D3094" s="2" t="n">
        <v>31</v>
      </c>
      <c r="E3094" s="2" t="inlineStr">
        <is>
          <t>CHO</t>
        </is>
      </c>
      <c r="F3094" s="2" t="n">
        <v>6.3575</v>
      </c>
      <c r="G3094" s="2" t="n">
        <v>3.918945</v>
      </c>
    </row>
    <row r="3095">
      <c r="A3095" s="1" t="inlineStr">
        <is>
          <t>G5</t>
        </is>
      </c>
      <c r="B3095" s="1" t="n">
        <v>77</v>
      </c>
      <c r="C3095" s="2">
        <f>_xlfn.XLOOKUP(B3095,Results!$B$23:$B$119,Results!$D$23:$D$119)</f>
        <v/>
      </c>
      <c r="D3095" s="1" t="n">
        <v>32</v>
      </c>
      <c r="E3095" s="1" t="inlineStr">
        <is>
          <t>CHO</t>
        </is>
      </c>
      <c r="F3095" s="1" t="n">
        <v>6.5573</v>
      </c>
      <c r="G3095" s="1" t="n">
        <v>4.113384</v>
      </c>
    </row>
    <row r="3096">
      <c r="A3096" s="2" t="inlineStr">
        <is>
          <t>G5</t>
        </is>
      </c>
      <c r="B3096" s="2" t="n">
        <v>77</v>
      </c>
      <c r="C3096" s="2">
        <f>_xlfn.XLOOKUP(B3096,Results!$B$23:$B$119,Results!$D$23:$D$119)</f>
        <v/>
      </c>
      <c r="D3096" s="2" t="n">
        <v>33</v>
      </c>
      <c r="E3096" s="2" t="inlineStr">
        <is>
          <t>CHO</t>
        </is>
      </c>
      <c r="F3096" s="2" t="n">
        <v>6.7267</v>
      </c>
      <c r="G3096" s="2" t="n">
        <v>4.277442</v>
      </c>
    </row>
    <row r="3097">
      <c r="A3097" s="1" t="inlineStr">
        <is>
          <t>G5</t>
        </is>
      </c>
      <c r="B3097" s="1" t="n">
        <v>77</v>
      </c>
      <c r="C3097" s="2">
        <f>_xlfn.XLOOKUP(B3097,Results!$B$23:$B$119,Results!$D$23:$D$119)</f>
        <v/>
      </c>
      <c r="D3097" s="1" t="n">
        <v>34</v>
      </c>
      <c r="E3097" s="1" t="inlineStr">
        <is>
          <t>CHO</t>
        </is>
      </c>
      <c r="F3097" s="1" t="n">
        <v>6.8507</v>
      </c>
      <c r="G3097" s="1" t="n">
        <v>4.396167</v>
      </c>
    </row>
    <row r="3098">
      <c r="A3098" s="2" t="inlineStr">
        <is>
          <t>G5</t>
        </is>
      </c>
      <c r="B3098" s="2" t="n">
        <v>77</v>
      </c>
      <c r="C3098" s="2">
        <f>_xlfn.XLOOKUP(B3098,Results!$B$23:$B$119,Results!$D$23:$D$119)</f>
        <v/>
      </c>
      <c r="D3098" s="2" t="n">
        <v>35</v>
      </c>
      <c r="E3098" s="2" t="inlineStr">
        <is>
          <t>CHO</t>
        </is>
      </c>
      <c r="F3098" s="2" t="n">
        <v>6.9682</v>
      </c>
      <c r="G3098" s="2" t="n">
        <v>4.508369</v>
      </c>
    </row>
    <row r="3099">
      <c r="A3099" s="1" t="inlineStr">
        <is>
          <t>G5</t>
        </is>
      </c>
      <c r="B3099" s="1" t="n">
        <v>77</v>
      </c>
      <c r="C3099" s="2">
        <f>_xlfn.XLOOKUP(B3099,Results!$B$23:$B$119,Results!$D$23:$D$119)</f>
        <v/>
      </c>
      <c r="D3099" s="1" t="n">
        <v>36</v>
      </c>
      <c r="E3099" s="1" t="inlineStr">
        <is>
          <t>CHO</t>
        </is>
      </c>
      <c r="F3099" s="1" t="n">
        <v>7.0743</v>
      </c>
      <c r="G3099" s="1" t="n">
        <v>4.609117</v>
      </c>
    </row>
    <row r="3100">
      <c r="A3100" s="2" t="inlineStr">
        <is>
          <t>G5</t>
        </is>
      </c>
      <c r="B3100" s="2" t="n">
        <v>77</v>
      </c>
      <c r="C3100" s="2">
        <f>_xlfn.XLOOKUP(B3100,Results!$B$23:$B$119,Results!$D$23:$D$119)</f>
        <v/>
      </c>
      <c r="D3100" s="2" t="n">
        <v>37</v>
      </c>
      <c r="E3100" s="2" t="inlineStr">
        <is>
          <t>CHO</t>
        </is>
      </c>
      <c r="F3100" s="2" t="n">
        <v>7.1478</v>
      </c>
      <c r="G3100" s="2" t="n">
        <v>4.677394</v>
      </c>
    </row>
    <row r="3101">
      <c r="A3101" s="1" t="inlineStr">
        <is>
          <t>G5</t>
        </is>
      </c>
      <c r="B3101" s="1" t="n">
        <v>77</v>
      </c>
      <c r="C3101" s="2">
        <f>_xlfn.XLOOKUP(B3101,Results!$B$23:$B$119,Results!$D$23:$D$119)</f>
        <v/>
      </c>
      <c r="D3101" s="1" t="n">
        <v>38</v>
      </c>
      <c r="E3101" s="1" t="inlineStr">
        <is>
          <t>CHO</t>
        </is>
      </c>
      <c r="F3101" s="1" t="n">
        <v>7.2354</v>
      </c>
      <c r="G3101" s="1" t="n">
        <v>4.759631</v>
      </c>
    </row>
    <row r="3102">
      <c r="A3102" s="2" t="inlineStr">
        <is>
          <t>G5</t>
        </is>
      </c>
      <c r="B3102" s="2" t="n">
        <v>77</v>
      </c>
      <c r="C3102" s="2">
        <f>_xlfn.XLOOKUP(B3102,Results!$B$23:$B$119,Results!$D$23:$D$119)</f>
        <v/>
      </c>
      <c r="D3102" s="2" t="n">
        <v>39</v>
      </c>
      <c r="E3102" s="2" t="inlineStr">
        <is>
          <t>CHO</t>
        </is>
      </c>
      <c r="F3102" s="2" t="n">
        <v>7.3045</v>
      </c>
      <c r="G3102" s="2" t="n">
        <v>4.823436</v>
      </c>
    </row>
    <row r="3103">
      <c r="A3103" s="1" t="inlineStr">
        <is>
          <t>G5</t>
        </is>
      </c>
      <c r="B3103" s="1" t="n">
        <v>77</v>
      </c>
      <c r="C3103" s="2">
        <f>_xlfn.XLOOKUP(B3103,Results!$B$23:$B$119,Results!$D$23:$D$119)</f>
        <v/>
      </c>
      <c r="D3103" s="1" t="n">
        <v>40</v>
      </c>
      <c r="E3103" s="1" t="inlineStr">
        <is>
          <t>CHO</t>
        </is>
      </c>
      <c r="F3103" s="1" t="n">
        <v>7.3483</v>
      </c>
      <c r="G3103" s="1" t="n">
        <v>4.861946</v>
      </c>
    </row>
    <row r="3104">
      <c r="A3104" s="2" t="inlineStr">
        <is>
          <t>G6</t>
        </is>
      </c>
      <c r="B3104" s="2" t="n">
        <v>78</v>
      </c>
      <c r="C3104" s="2">
        <f>_xlfn.XLOOKUP(B3104,Results!$B$23:$B$119,Results!$D$23:$D$119)</f>
        <v/>
      </c>
      <c r="D3104" s="2" t="n">
        <v>1</v>
      </c>
      <c r="E3104" s="2" t="inlineStr">
        <is>
          <t>CHO</t>
        </is>
      </c>
      <c r="F3104" s="2" t="n">
        <v>2.2754</v>
      </c>
      <c r="G3104" s="2" t="n">
        <v>0.008257</v>
      </c>
    </row>
    <row r="3105">
      <c r="A3105" s="1" t="inlineStr">
        <is>
          <t>G6</t>
        </is>
      </c>
      <c r="B3105" s="1" t="n">
        <v>78</v>
      </c>
      <c r="C3105" s="2">
        <f>_xlfn.XLOOKUP(B3105,Results!$B$23:$B$119,Results!$D$23:$D$119)</f>
        <v/>
      </c>
      <c r="D3105" s="1" t="n">
        <v>2</v>
      </c>
      <c r="E3105" s="1" t="inlineStr">
        <is>
          <t>CHO</t>
        </is>
      </c>
      <c r="F3105" s="1" t="n">
        <v>2.2751</v>
      </c>
      <c r="G3105" s="1" t="n">
        <v>0.002785</v>
      </c>
    </row>
    <row r="3106">
      <c r="A3106" s="2" t="inlineStr">
        <is>
          <t>G6</t>
        </is>
      </c>
      <c r="B3106" s="2" t="n">
        <v>78</v>
      </c>
      <c r="C3106" s="2">
        <f>_xlfn.XLOOKUP(B3106,Results!$B$23:$B$119,Results!$D$23:$D$119)</f>
        <v/>
      </c>
      <c r="D3106" s="2" t="n">
        <v>3</v>
      </c>
      <c r="E3106" s="2" t="inlineStr">
        <is>
          <t>CHO</t>
        </is>
      </c>
      <c r="F3106" s="2" t="n">
        <v>2.2781</v>
      </c>
      <c r="G3106" s="2" t="n">
        <v>0.000561</v>
      </c>
    </row>
    <row r="3107">
      <c r="A3107" s="1" t="inlineStr">
        <is>
          <t>G6</t>
        </is>
      </c>
      <c r="B3107" s="1" t="n">
        <v>78</v>
      </c>
      <c r="C3107" s="2">
        <f>_xlfn.XLOOKUP(B3107,Results!$B$23:$B$119,Results!$D$23:$D$119)</f>
        <v/>
      </c>
      <c r="D3107" s="1" t="n">
        <v>4</v>
      </c>
      <c r="E3107" s="1" t="inlineStr">
        <is>
          <t>CHO</t>
        </is>
      </c>
      <c r="F3107" s="1" t="n">
        <v>2.2851</v>
      </c>
      <c r="G3107" s="1" t="n">
        <v>0.002361</v>
      </c>
    </row>
    <row r="3108">
      <c r="A3108" s="2" t="inlineStr">
        <is>
          <t>G6</t>
        </is>
      </c>
      <c r="B3108" s="2" t="n">
        <v>78</v>
      </c>
      <c r="C3108" s="2">
        <f>_xlfn.XLOOKUP(B3108,Results!$B$23:$B$119,Results!$D$23:$D$119)</f>
        <v/>
      </c>
      <c r="D3108" s="2" t="n">
        <v>5</v>
      </c>
      <c r="E3108" s="2" t="inlineStr">
        <is>
          <t>CHO</t>
        </is>
      </c>
      <c r="F3108" s="2" t="n">
        <v>2.2877</v>
      </c>
      <c r="G3108" s="2" t="n">
        <v>-0.000256</v>
      </c>
    </row>
    <row r="3109">
      <c r="A3109" s="1" t="inlineStr">
        <is>
          <t>G6</t>
        </is>
      </c>
      <c r="B3109" s="1" t="n">
        <v>78</v>
      </c>
      <c r="C3109" s="2">
        <f>_xlfn.XLOOKUP(B3109,Results!$B$23:$B$119,Results!$D$23:$D$119)</f>
        <v/>
      </c>
      <c r="D3109" s="1" t="n">
        <v>6</v>
      </c>
      <c r="E3109" s="1" t="inlineStr">
        <is>
          <t>CHO</t>
        </is>
      </c>
      <c r="F3109" s="1" t="n">
        <v>2.2919</v>
      </c>
      <c r="G3109" s="1" t="n">
        <v>-0.00127</v>
      </c>
    </row>
    <row r="3110">
      <c r="A3110" s="2" t="inlineStr">
        <is>
          <t>G6</t>
        </is>
      </c>
      <c r="B3110" s="2" t="n">
        <v>78</v>
      </c>
      <c r="C3110" s="2">
        <f>_xlfn.XLOOKUP(B3110,Results!$B$23:$B$119,Results!$D$23:$D$119)</f>
        <v/>
      </c>
      <c r="D3110" s="2" t="n">
        <v>7</v>
      </c>
      <c r="E3110" s="2" t="inlineStr">
        <is>
          <t>CHO</t>
        </is>
      </c>
      <c r="F3110" s="2" t="n">
        <v>2.3009</v>
      </c>
      <c r="G3110" s="2" t="n">
        <v>0.002569</v>
      </c>
    </row>
    <row r="3111">
      <c r="A3111" s="1" t="inlineStr">
        <is>
          <t>G6</t>
        </is>
      </c>
      <c r="B3111" s="1" t="n">
        <v>78</v>
      </c>
      <c r="C3111" s="2">
        <f>_xlfn.XLOOKUP(B3111,Results!$B$23:$B$119,Results!$D$23:$D$119)</f>
        <v/>
      </c>
      <c r="D3111" s="1" t="n">
        <v>8</v>
      </c>
      <c r="E3111" s="1" t="inlineStr">
        <is>
          <t>CHO</t>
        </is>
      </c>
      <c r="F3111" s="1" t="n">
        <v>2.3041</v>
      </c>
      <c r="G3111" s="1" t="n">
        <v>0.000494</v>
      </c>
    </row>
    <row r="3112">
      <c r="A3112" s="2" t="inlineStr">
        <is>
          <t>G6</t>
        </is>
      </c>
      <c r="B3112" s="2" t="n">
        <v>78</v>
      </c>
      <c r="C3112" s="2">
        <f>_xlfn.XLOOKUP(B3112,Results!$B$23:$B$119,Results!$D$23:$D$119)</f>
        <v/>
      </c>
      <c r="D3112" s="2" t="n">
        <v>9</v>
      </c>
      <c r="E3112" s="2" t="inlineStr">
        <is>
          <t>CHO</t>
        </is>
      </c>
      <c r="F3112" s="2" t="n">
        <v>2.3071</v>
      </c>
      <c r="G3112" s="2" t="n">
        <v>-0.001666</v>
      </c>
    </row>
    <row r="3113">
      <c r="A3113" s="1" t="inlineStr">
        <is>
          <t>G6</t>
        </is>
      </c>
      <c r="B3113" s="1" t="n">
        <v>78</v>
      </c>
      <c r="C3113" s="2">
        <f>_xlfn.XLOOKUP(B3113,Results!$B$23:$B$119,Results!$D$23:$D$119)</f>
        <v/>
      </c>
      <c r="D3113" s="1" t="n">
        <v>10</v>
      </c>
      <c r="E3113" s="1" t="inlineStr">
        <is>
          <t>CHO</t>
        </is>
      </c>
      <c r="F3113" s="1" t="n">
        <v>2.3102</v>
      </c>
      <c r="G3113" s="1" t="n">
        <v>-0.0038</v>
      </c>
    </row>
    <row r="3114">
      <c r="A3114" s="2" t="inlineStr">
        <is>
          <t>G6</t>
        </is>
      </c>
      <c r="B3114" s="2" t="n">
        <v>78</v>
      </c>
      <c r="C3114" s="2">
        <f>_xlfn.XLOOKUP(B3114,Results!$B$23:$B$119,Results!$D$23:$D$119)</f>
        <v/>
      </c>
      <c r="D3114" s="2" t="n">
        <v>11</v>
      </c>
      <c r="E3114" s="2" t="inlineStr">
        <is>
          <t>CHO</t>
        </is>
      </c>
      <c r="F3114" s="2" t="n">
        <v>2.3171</v>
      </c>
      <c r="G3114" s="2" t="n">
        <v>-0.002068</v>
      </c>
    </row>
    <row r="3115">
      <c r="A3115" s="1" t="inlineStr">
        <is>
          <t>G6</t>
        </is>
      </c>
      <c r="B3115" s="1" t="n">
        <v>78</v>
      </c>
      <c r="C3115" s="2">
        <f>_xlfn.XLOOKUP(B3115,Results!$B$23:$B$119,Results!$D$23:$D$119)</f>
        <v/>
      </c>
      <c r="D3115" s="1" t="n">
        <v>12</v>
      </c>
      <c r="E3115" s="1" t="inlineStr">
        <is>
          <t>CHO</t>
        </is>
      </c>
      <c r="F3115" s="1" t="n">
        <v>2.3221</v>
      </c>
      <c r="G3115" s="1" t="n">
        <v>-0.002303</v>
      </c>
    </row>
    <row r="3116">
      <c r="A3116" s="2" t="inlineStr">
        <is>
          <t>G6</t>
        </is>
      </c>
      <c r="B3116" s="2" t="n">
        <v>78</v>
      </c>
      <c r="C3116" s="2">
        <f>_xlfn.XLOOKUP(B3116,Results!$B$23:$B$119,Results!$D$23:$D$119)</f>
        <v/>
      </c>
      <c r="D3116" s="2" t="n">
        <v>13</v>
      </c>
      <c r="E3116" s="2" t="inlineStr">
        <is>
          <t>CHO</t>
        </is>
      </c>
      <c r="F3116" s="2" t="n">
        <v>2.3298</v>
      </c>
      <c r="G3116" s="2" t="n">
        <v>0.000195</v>
      </c>
    </row>
    <row r="3117">
      <c r="A3117" s="1" t="inlineStr">
        <is>
          <t>G6</t>
        </is>
      </c>
      <c r="B3117" s="1" t="n">
        <v>78</v>
      </c>
      <c r="C3117" s="2">
        <f>_xlfn.XLOOKUP(B3117,Results!$B$23:$B$119,Results!$D$23:$D$119)</f>
        <v/>
      </c>
      <c r="D3117" s="1" t="n">
        <v>14</v>
      </c>
      <c r="E3117" s="1" t="inlineStr">
        <is>
          <t>CHO</t>
        </is>
      </c>
      <c r="F3117" s="1" t="n">
        <v>2.3359</v>
      </c>
      <c r="G3117" s="1" t="n">
        <v>0.001059</v>
      </c>
    </row>
    <row r="3118">
      <c r="A3118" s="2" t="inlineStr">
        <is>
          <t>G6</t>
        </is>
      </c>
      <c r="B3118" s="2" t="n">
        <v>78</v>
      </c>
      <c r="C3118" s="2">
        <f>_xlfn.XLOOKUP(B3118,Results!$B$23:$B$119,Results!$D$23:$D$119)</f>
        <v/>
      </c>
      <c r="D3118" s="2" t="n">
        <v>15</v>
      </c>
      <c r="E3118" s="2" t="inlineStr">
        <is>
          <t>CHO</t>
        </is>
      </c>
      <c r="F3118" s="2" t="n">
        <v>2.3441</v>
      </c>
      <c r="G3118" s="2" t="n">
        <v>0.004124</v>
      </c>
    </row>
    <row r="3119">
      <c r="A3119" s="1" t="inlineStr">
        <is>
          <t>G6</t>
        </is>
      </c>
      <c r="B3119" s="1" t="n">
        <v>78</v>
      </c>
      <c r="C3119" s="2">
        <f>_xlfn.XLOOKUP(B3119,Results!$B$23:$B$119,Results!$D$23:$D$119)</f>
        <v/>
      </c>
      <c r="D3119" s="1" t="n">
        <v>16</v>
      </c>
      <c r="E3119" s="1" t="inlineStr">
        <is>
          <t>CHO</t>
        </is>
      </c>
      <c r="F3119" s="1" t="n">
        <v>2.3573</v>
      </c>
      <c r="G3119" s="1" t="n">
        <v>0.012091</v>
      </c>
    </row>
    <row r="3120">
      <c r="A3120" s="2" t="inlineStr">
        <is>
          <t>G6</t>
        </is>
      </c>
      <c r="B3120" s="2" t="n">
        <v>78</v>
      </c>
      <c r="C3120" s="2">
        <f>_xlfn.XLOOKUP(B3120,Results!$B$23:$B$119,Results!$D$23:$D$119)</f>
        <v/>
      </c>
      <c r="D3120" s="2" t="n">
        <v>17</v>
      </c>
      <c r="E3120" s="2" t="inlineStr">
        <is>
          <t>CHO</t>
        </is>
      </c>
      <c r="F3120" s="2" t="n">
        <v>2.3788</v>
      </c>
      <c r="G3120" s="2" t="n">
        <v>0.028382</v>
      </c>
    </row>
    <row r="3121">
      <c r="A3121" s="1" t="inlineStr">
        <is>
          <t>G6</t>
        </is>
      </c>
      <c r="B3121" s="1" t="n">
        <v>78</v>
      </c>
      <c r="C3121" s="2">
        <f>_xlfn.XLOOKUP(B3121,Results!$B$23:$B$119,Results!$D$23:$D$119)</f>
        <v/>
      </c>
      <c r="D3121" s="1" t="n">
        <v>18</v>
      </c>
      <c r="E3121" s="1" t="inlineStr">
        <is>
          <t>CHO</t>
        </is>
      </c>
      <c r="F3121" s="1" t="n">
        <v>2.4197</v>
      </c>
      <c r="G3121" s="1" t="n">
        <v>0.064081</v>
      </c>
    </row>
    <row r="3122">
      <c r="A3122" s="2" t="inlineStr">
        <is>
          <t>G6</t>
        </is>
      </c>
      <c r="B3122" s="2" t="n">
        <v>78</v>
      </c>
      <c r="C3122" s="2">
        <f>_xlfn.XLOOKUP(B3122,Results!$B$23:$B$119,Results!$D$23:$D$119)</f>
        <v/>
      </c>
      <c r="D3122" s="2" t="n">
        <v>19</v>
      </c>
      <c r="E3122" s="2" t="inlineStr">
        <is>
          <t>CHO</t>
        </is>
      </c>
      <c r="F3122" s="2" t="n">
        <v>2.4913</v>
      </c>
      <c r="G3122" s="2" t="n">
        <v>0.130409</v>
      </c>
    </row>
    <row r="3123">
      <c r="A3123" s="1" t="inlineStr">
        <is>
          <t>G6</t>
        </is>
      </c>
      <c r="B3123" s="1" t="n">
        <v>78</v>
      </c>
      <c r="C3123" s="2">
        <f>_xlfn.XLOOKUP(B3123,Results!$B$23:$B$119,Results!$D$23:$D$119)</f>
        <v/>
      </c>
      <c r="D3123" s="1" t="n">
        <v>20</v>
      </c>
      <c r="E3123" s="1" t="inlineStr">
        <is>
          <t>CHO</t>
        </is>
      </c>
      <c r="F3123" s="1" t="n">
        <v>2.6188</v>
      </c>
      <c r="G3123" s="1" t="n">
        <v>0.25276</v>
      </c>
    </row>
    <row r="3124">
      <c r="A3124" s="2" t="inlineStr">
        <is>
          <t>G6</t>
        </is>
      </c>
      <c r="B3124" s="2" t="n">
        <v>78</v>
      </c>
      <c r="C3124" s="2">
        <f>_xlfn.XLOOKUP(B3124,Results!$B$23:$B$119,Results!$D$23:$D$119)</f>
        <v/>
      </c>
      <c r="D3124" s="2" t="n">
        <v>21</v>
      </c>
      <c r="E3124" s="2" t="inlineStr">
        <is>
          <t>CHO</t>
        </is>
      </c>
      <c r="F3124" s="2" t="n">
        <v>2.8312</v>
      </c>
      <c r="G3124" s="2" t="n">
        <v>0.459965</v>
      </c>
    </row>
    <row r="3125">
      <c r="A3125" s="1" t="inlineStr">
        <is>
          <t>G6</t>
        </is>
      </c>
      <c r="B3125" s="1" t="n">
        <v>78</v>
      </c>
      <c r="C3125" s="2">
        <f>_xlfn.XLOOKUP(B3125,Results!$B$23:$B$119,Results!$D$23:$D$119)</f>
        <v/>
      </c>
      <c r="D3125" s="1" t="n">
        <v>22</v>
      </c>
      <c r="E3125" s="1" t="inlineStr">
        <is>
          <t>CHO</t>
        </is>
      </c>
      <c r="F3125" s="1" t="n">
        <v>3.1447</v>
      </c>
      <c r="G3125" s="1" t="n">
        <v>0.76828</v>
      </c>
    </row>
    <row r="3126">
      <c r="A3126" s="2" t="inlineStr">
        <is>
          <t>G6</t>
        </is>
      </c>
      <c r="B3126" s="2" t="n">
        <v>78</v>
      </c>
      <c r="C3126" s="2">
        <f>_xlfn.XLOOKUP(B3126,Results!$B$23:$B$119,Results!$D$23:$D$119)</f>
        <v/>
      </c>
      <c r="D3126" s="2" t="n">
        <v>23</v>
      </c>
      <c r="E3126" s="2" t="inlineStr">
        <is>
          <t>CHO</t>
        </is>
      </c>
      <c r="F3126" s="2" t="n">
        <v>3.5419</v>
      </c>
      <c r="G3126" s="2" t="n">
        <v>1.1602</v>
      </c>
    </row>
    <row r="3127">
      <c r="A3127" s="1" t="inlineStr">
        <is>
          <t>G6</t>
        </is>
      </c>
      <c r="B3127" s="1" t="n">
        <v>78</v>
      </c>
      <c r="C3127" s="2">
        <f>_xlfn.XLOOKUP(B3127,Results!$B$23:$B$119,Results!$D$23:$D$119)</f>
        <v/>
      </c>
      <c r="D3127" s="1" t="n">
        <v>24</v>
      </c>
      <c r="E3127" s="1" t="inlineStr">
        <is>
          <t>CHO</t>
        </is>
      </c>
      <c r="F3127" s="1" t="n">
        <v>3.9879</v>
      </c>
      <c r="G3127" s="1" t="n">
        <v>1.601002</v>
      </c>
    </row>
    <row r="3128">
      <c r="A3128" s="2" t="inlineStr">
        <is>
          <t>G6</t>
        </is>
      </c>
      <c r="B3128" s="2" t="n">
        <v>78</v>
      </c>
      <c r="C3128" s="2">
        <f>_xlfn.XLOOKUP(B3128,Results!$B$23:$B$119,Results!$D$23:$D$119)</f>
        <v/>
      </c>
      <c r="D3128" s="2" t="n">
        <v>25</v>
      </c>
      <c r="E3128" s="2" t="inlineStr">
        <is>
          <t>CHO</t>
        </is>
      </c>
      <c r="F3128" s="2" t="n">
        <v>4.4358</v>
      </c>
      <c r="G3128" s="2" t="n">
        <v>2.043692</v>
      </c>
    </row>
    <row r="3129">
      <c r="A3129" s="1" t="inlineStr">
        <is>
          <t>G6</t>
        </is>
      </c>
      <c r="B3129" s="1" t="n">
        <v>78</v>
      </c>
      <c r="C3129" s="2">
        <f>_xlfn.XLOOKUP(B3129,Results!$B$23:$B$119,Results!$D$23:$D$119)</f>
        <v/>
      </c>
      <c r="D3129" s="1" t="n">
        <v>26</v>
      </c>
      <c r="E3129" s="1" t="inlineStr">
        <is>
          <t>CHO</t>
        </is>
      </c>
      <c r="F3129" s="1" t="n">
        <v>4.8515</v>
      </c>
      <c r="G3129" s="1" t="n">
        <v>2.454195</v>
      </c>
    </row>
    <row r="3130">
      <c r="A3130" s="2" t="inlineStr">
        <is>
          <t>G6</t>
        </is>
      </c>
      <c r="B3130" s="2" t="n">
        <v>78</v>
      </c>
      <c r="C3130" s="2">
        <f>_xlfn.XLOOKUP(B3130,Results!$B$23:$B$119,Results!$D$23:$D$119)</f>
        <v/>
      </c>
      <c r="D3130" s="2" t="n">
        <v>27</v>
      </c>
      <c r="E3130" s="2" t="inlineStr">
        <is>
          <t>CHO</t>
        </is>
      </c>
      <c r="F3130" s="2" t="n">
        <v>5.2312</v>
      </c>
      <c r="G3130" s="2" t="n">
        <v>2.828667</v>
      </c>
    </row>
    <row r="3131">
      <c r="A3131" s="1" t="inlineStr">
        <is>
          <t>G6</t>
        </is>
      </c>
      <c r="B3131" s="1" t="n">
        <v>78</v>
      </c>
      <c r="C3131" s="2">
        <f>_xlfn.XLOOKUP(B3131,Results!$B$23:$B$119,Results!$D$23:$D$119)</f>
        <v/>
      </c>
      <c r="D3131" s="1" t="n">
        <v>28</v>
      </c>
      <c r="E3131" s="1" t="inlineStr">
        <is>
          <t>CHO</t>
        </is>
      </c>
      <c r="F3131" s="1" t="n">
        <v>5.5711</v>
      </c>
      <c r="G3131" s="1" t="n">
        <v>3.163386</v>
      </c>
    </row>
    <row r="3132">
      <c r="A3132" s="2" t="inlineStr">
        <is>
          <t>G6</t>
        </is>
      </c>
      <c r="B3132" s="2" t="n">
        <v>78</v>
      </c>
      <c r="C3132" s="2">
        <f>_xlfn.XLOOKUP(B3132,Results!$B$23:$B$119,Results!$D$23:$D$119)</f>
        <v/>
      </c>
      <c r="D3132" s="2" t="n">
        <v>29</v>
      </c>
      <c r="E3132" s="2" t="inlineStr">
        <is>
          <t>CHO</t>
        </is>
      </c>
      <c r="F3132" s="2" t="n">
        <v>5.8561</v>
      </c>
      <c r="G3132" s="2" t="n">
        <v>3.443163</v>
      </c>
    </row>
    <row r="3133">
      <c r="A3133" s="1" t="inlineStr">
        <is>
          <t>G6</t>
        </is>
      </c>
      <c r="B3133" s="1" t="n">
        <v>78</v>
      </c>
      <c r="C3133" s="2">
        <f>_xlfn.XLOOKUP(B3133,Results!$B$23:$B$119,Results!$D$23:$D$119)</f>
        <v/>
      </c>
      <c r="D3133" s="1" t="n">
        <v>30</v>
      </c>
      <c r="E3133" s="1" t="inlineStr">
        <is>
          <t>CHO</t>
        </is>
      </c>
      <c r="F3133" s="1" t="n">
        <v>6.1141</v>
      </c>
      <c r="G3133" s="1" t="n">
        <v>3.695963</v>
      </c>
    </row>
    <row r="3134">
      <c r="A3134" s="2" t="inlineStr">
        <is>
          <t>G6</t>
        </is>
      </c>
      <c r="B3134" s="2" t="n">
        <v>78</v>
      </c>
      <c r="C3134" s="2">
        <f>_xlfn.XLOOKUP(B3134,Results!$B$23:$B$119,Results!$D$23:$D$119)</f>
        <v/>
      </c>
      <c r="D3134" s="2" t="n">
        <v>31</v>
      </c>
      <c r="E3134" s="2" t="inlineStr">
        <is>
          <t>CHO</t>
        </is>
      </c>
      <c r="F3134" s="2" t="n">
        <v>6.3388</v>
      </c>
      <c r="G3134" s="2" t="n">
        <v>3.915493</v>
      </c>
    </row>
    <row r="3135">
      <c r="A3135" s="1" t="inlineStr">
        <is>
          <t>G6</t>
        </is>
      </c>
      <c r="B3135" s="1" t="n">
        <v>78</v>
      </c>
      <c r="C3135" s="2">
        <f>_xlfn.XLOOKUP(B3135,Results!$B$23:$B$119,Results!$D$23:$D$119)</f>
        <v/>
      </c>
      <c r="D3135" s="1" t="n">
        <v>32</v>
      </c>
      <c r="E3135" s="1" t="inlineStr">
        <is>
          <t>CHO</t>
        </is>
      </c>
      <c r="F3135" s="1" t="n">
        <v>6.5219</v>
      </c>
      <c r="G3135" s="1" t="n">
        <v>4.093361</v>
      </c>
    </row>
    <row r="3136">
      <c r="A3136" s="2" t="inlineStr">
        <is>
          <t>G6</t>
        </is>
      </c>
      <c r="B3136" s="2" t="n">
        <v>78</v>
      </c>
      <c r="C3136" s="2">
        <f>_xlfn.XLOOKUP(B3136,Results!$B$23:$B$119,Results!$D$23:$D$119)</f>
        <v/>
      </c>
      <c r="D3136" s="2" t="n">
        <v>33</v>
      </c>
      <c r="E3136" s="2" t="inlineStr">
        <is>
          <t>CHO</t>
        </is>
      </c>
      <c r="F3136" s="2" t="n">
        <v>6.6816</v>
      </c>
      <c r="G3136" s="2" t="n">
        <v>4.247818</v>
      </c>
    </row>
    <row r="3137">
      <c r="A3137" s="1" t="inlineStr">
        <is>
          <t>G6</t>
        </is>
      </c>
      <c r="B3137" s="1" t="n">
        <v>78</v>
      </c>
      <c r="C3137" s="2">
        <f>_xlfn.XLOOKUP(B3137,Results!$B$23:$B$119,Results!$D$23:$D$119)</f>
        <v/>
      </c>
      <c r="D3137" s="1" t="n">
        <v>34</v>
      </c>
      <c r="E3137" s="1" t="inlineStr">
        <is>
          <t>CHO</t>
        </is>
      </c>
      <c r="F3137" s="1" t="n">
        <v>6.8262</v>
      </c>
      <c r="G3137" s="1" t="n">
        <v>4.387212</v>
      </c>
    </row>
    <row r="3138">
      <c r="A3138" s="2" t="inlineStr">
        <is>
          <t>G6</t>
        </is>
      </c>
      <c r="B3138" s="2" t="n">
        <v>78</v>
      </c>
      <c r="C3138" s="2">
        <f>_xlfn.XLOOKUP(B3138,Results!$B$23:$B$119,Results!$D$23:$D$119)</f>
        <v/>
      </c>
      <c r="D3138" s="2" t="n">
        <v>35</v>
      </c>
      <c r="E3138" s="2" t="inlineStr">
        <is>
          <t>CHO</t>
        </is>
      </c>
      <c r="F3138" s="2" t="n">
        <v>6.9394</v>
      </c>
      <c r="G3138" s="2" t="n">
        <v>4.495232</v>
      </c>
    </row>
    <row r="3139">
      <c r="A3139" s="1" t="inlineStr">
        <is>
          <t>G6</t>
        </is>
      </c>
      <c r="B3139" s="1" t="n">
        <v>78</v>
      </c>
      <c r="C3139" s="2">
        <f>_xlfn.XLOOKUP(B3139,Results!$B$23:$B$119,Results!$D$23:$D$119)</f>
        <v/>
      </c>
      <c r="D3139" s="1" t="n">
        <v>36</v>
      </c>
      <c r="E3139" s="1" t="inlineStr">
        <is>
          <t>CHO</t>
        </is>
      </c>
      <c r="F3139" s="1" t="n">
        <v>7.0431</v>
      </c>
      <c r="G3139" s="1" t="n">
        <v>4.593709</v>
      </c>
    </row>
    <row r="3140">
      <c r="A3140" s="2" t="inlineStr">
        <is>
          <t>G6</t>
        </is>
      </c>
      <c r="B3140" s="2" t="n">
        <v>78</v>
      </c>
      <c r="C3140" s="2">
        <f>_xlfn.XLOOKUP(B3140,Results!$B$23:$B$119,Results!$D$23:$D$119)</f>
        <v/>
      </c>
      <c r="D3140" s="2" t="n">
        <v>37</v>
      </c>
      <c r="E3140" s="2" t="inlineStr">
        <is>
          <t>CHO</t>
        </is>
      </c>
      <c r="F3140" s="2" t="n">
        <v>7.1426</v>
      </c>
      <c r="G3140" s="2" t="n">
        <v>4.688016</v>
      </c>
    </row>
    <row r="3141">
      <c r="A3141" s="1" t="inlineStr">
        <is>
          <t>G6</t>
        </is>
      </c>
      <c r="B3141" s="1" t="n">
        <v>78</v>
      </c>
      <c r="C3141" s="2">
        <f>_xlfn.XLOOKUP(B3141,Results!$B$23:$B$119,Results!$D$23:$D$119)</f>
        <v/>
      </c>
      <c r="D3141" s="1" t="n">
        <v>38</v>
      </c>
      <c r="E3141" s="1" t="inlineStr">
        <is>
          <t>CHO</t>
        </is>
      </c>
      <c r="F3141" s="1" t="n">
        <v>7.2171</v>
      </c>
      <c r="G3141" s="1" t="n">
        <v>4.757305</v>
      </c>
    </row>
    <row r="3142">
      <c r="A3142" s="2" t="inlineStr">
        <is>
          <t>G6</t>
        </is>
      </c>
      <c r="B3142" s="2" t="n">
        <v>78</v>
      </c>
      <c r="C3142" s="2">
        <f>_xlfn.XLOOKUP(B3142,Results!$B$23:$B$119,Results!$D$23:$D$119)</f>
        <v/>
      </c>
      <c r="D3142" s="2" t="n">
        <v>39</v>
      </c>
      <c r="E3142" s="2" t="inlineStr">
        <is>
          <t>CHO</t>
        </is>
      </c>
      <c r="F3142" s="2" t="n">
        <v>7.2755</v>
      </c>
      <c r="G3142" s="2" t="n">
        <v>4.810499</v>
      </c>
    </row>
    <row r="3143">
      <c r="A3143" s="1" t="inlineStr">
        <is>
          <t>G6</t>
        </is>
      </c>
      <c r="B3143" s="1" t="n">
        <v>78</v>
      </c>
      <c r="C3143" s="2">
        <f>_xlfn.XLOOKUP(B3143,Results!$B$23:$B$119,Results!$D$23:$D$119)</f>
        <v/>
      </c>
      <c r="D3143" s="1" t="n">
        <v>40</v>
      </c>
      <c r="E3143" s="1" t="inlineStr">
        <is>
          <t>CHO</t>
        </is>
      </c>
      <c r="F3143" s="1" t="n">
        <v>7.3346</v>
      </c>
      <c r="G3143" s="1" t="n">
        <v>4.864412</v>
      </c>
    </row>
    <row r="3144">
      <c r="A3144" s="2" t="inlineStr">
        <is>
          <t>G7</t>
        </is>
      </c>
      <c r="B3144" s="2" t="n">
        <v>79</v>
      </c>
      <c r="C3144" s="2">
        <f>_xlfn.XLOOKUP(B3144,Results!$B$23:$B$119,Results!$D$23:$D$119)</f>
        <v/>
      </c>
      <c r="D3144" s="2" t="n">
        <v>1</v>
      </c>
      <c r="E3144" s="2" t="inlineStr"/>
      <c r="F3144" s="2" t="inlineStr"/>
      <c r="G3144" s="2" t="inlineStr"/>
    </row>
    <row r="3145">
      <c r="A3145" s="1" t="inlineStr">
        <is>
          <t>G7</t>
        </is>
      </c>
      <c r="B3145" s="1" t="n">
        <v>79</v>
      </c>
      <c r="C3145" s="2">
        <f>_xlfn.XLOOKUP(B3145,Results!$B$23:$B$119,Results!$D$23:$D$119)</f>
        <v/>
      </c>
      <c r="D3145" s="1" t="n">
        <v>2</v>
      </c>
      <c r="E3145" s="1" t="inlineStr"/>
      <c r="F3145" s="1" t="inlineStr"/>
      <c r="G3145" s="1" t="inlineStr"/>
    </row>
    <row r="3146">
      <c r="A3146" s="2" t="inlineStr">
        <is>
          <t>G7</t>
        </is>
      </c>
      <c r="B3146" s="2" t="n">
        <v>79</v>
      </c>
      <c r="C3146" s="2">
        <f>_xlfn.XLOOKUP(B3146,Results!$B$23:$B$119,Results!$D$23:$D$119)</f>
        <v/>
      </c>
      <c r="D3146" s="2" t="n">
        <v>3</v>
      </c>
      <c r="E3146" s="2" t="inlineStr"/>
      <c r="F3146" s="2" t="inlineStr"/>
      <c r="G3146" s="2" t="inlineStr"/>
    </row>
    <row r="3147">
      <c r="A3147" s="1" t="inlineStr">
        <is>
          <t>G7</t>
        </is>
      </c>
      <c r="B3147" s="1" t="n">
        <v>79</v>
      </c>
      <c r="C3147" s="2">
        <f>_xlfn.XLOOKUP(B3147,Results!$B$23:$B$119,Results!$D$23:$D$119)</f>
        <v/>
      </c>
      <c r="D3147" s="1" t="n">
        <v>4</v>
      </c>
      <c r="E3147" s="1" t="inlineStr"/>
      <c r="F3147" s="1" t="inlineStr"/>
      <c r="G3147" s="1" t="inlineStr"/>
    </row>
    <row r="3148">
      <c r="A3148" s="2" t="inlineStr">
        <is>
          <t>G7</t>
        </is>
      </c>
      <c r="B3148" s="2" t="n">
        <v>79</v>
      </c>
      <c r="C3148" s="2">
        <f>_xlfn.XLOOKUP(B3148,Results!$B$23:$B$119,Results!$D$23:$D$119)</f>
        <v/>
      </c>
      <c r="D3148" s="2" t="n">
        <v>5</v>
      </c>
      <c r="E3148" s="2" t="inlineStr"/>
      <c r="F3148" s="2" t="inlineStr"/>
      <c r="G3148" s="2" t="inlineStr"/>
    </row>
    <row r="3149">
      <c r="A3149" s="1" t="inlineStr">
        <is>
          <t>G7</t>
        </is>
      </c>
      <c r="B3149" s="1" t="n">
        <v>79</v>
      </c>
      <c r="C3149" s="2">
        <f>_xlfn.XLOOKUP(B3149,Results!$B$23:$B$119,Results!$D$23:$D$119)</f>
        <v/>
      </c>
      <c r="D3149" s="1" t="n">
        <v>6</v>
      </c>
      <c r="E3149" s="1" t="inlineStr"/>
      <c r="F3149" s="1" t="inlineStr"/>
      <c r="G3149" s="1" t="inlineStr"/>
    </row>
    <row r="3150">
      <c r="A3150" s="2" t="inlineStr">
        <is>
          <t>G7</t>
        </is>
      </c>
      <c r="B3150" s="2" t="n">
        <v>79</v>
      </c>
      <c r="C3150" s="2">
        <f>_xlfn.XLOOKUP(B3150,Results!$B$23:$B$119,Results!$D$23:$D$119)</f>
        <v/>
      </c>
      <c r="D3150" s="2" t="n">
        <v>7</v>
      </c>
      <c r="E3150" s="2" t="inlineStr"/>
      <c r="F3150" s="2" t="inlineStr"/>
      <c r="G3150" s="2" t="inlineStr"/>
    </row>
    <row r="3151">
      <c r="A3151" s="1" t="inlineStr">
        <is>
          <t>G7</t>
        </is>
      </c>
      <c r="B3151" s="1" t="n">
        <v>79</v>
      </c>
      <c r="C3151" s="2">
        <f>_xlfn.XLOOKUP(B3151,Results!$B$23:$B$119,Results!$D$23:$D$119)</f>
        <v/>
      </c>
      <c r="D3151" s="1" t="n">
        <v>8</v>
      </c>
      <c r="E3151" s="1" t="inlineStr"/>
      <c r="F3151" s="1" t="inlineStr"/>
      <c r="G3151" s="1" t="inlineStr"/>
    </row>
    <row r="3152">
      <c r="A3152" s="2" t="inlineStr">
        <is>
          <t>G7</t>
        </is>
      </c>
      <c r="B3152" s="2" t="n">
        <v>79</v>
      </c>
      <c r="C3152" s="2">
        <f>_xlfn.XLOOKUP(B3152,Results!$B$23:$B$119,Results!$D$23:$D$119)</f>
        <v/>
      </c>
      <c r="D3152" s="2" t="n">
        <v>9</v>
      </c>
      <c r="E3152" s="2" t="inlineStr"/>
      <c r="F3152" s="2" t="inlineStr"/>
      <c r="G3152" s="2" t="inlineStr"/>
    </row>
    <row r="3153">
      <c r="A3153" s="1" t="inlineStr">
        <is>
          <t>G7</t>
        </is>
      </c>
      <c r="B3153" s="1" t="n">
        <v>79</v>
      </c>
      <c r="C3153" s="2">
        <f>_xlfn.XLOOKUP(B3153,Results!$B$23:$B$119,Results!$D$23:$D$119)</f>
        <v/>
      </c>
      <c r="D3153" s="1" t="n">
        <v>10</v>
      </c>
      <c r="E3153" s="1" t="inlineStr"/>
      <c r="F3153" s="1" t="inlineStr"/>
      <c r="G3153" s="1" t="inlineStr"/>
    </row>
    <row r="3154">
      <c r="A3154" s="2" t="inlineStr">
        <is>
          <t>G7</t>
        </is>
      </c>
      <c r="B3154" s="2" t="n">
        <v>79</v>
      </c>
      <c r="C3154" s="2">
        <f>_xlfn.XLOOKUP(B3154,Results!$B$23:$B$119,Results!$D$23:$D$119)</f>
        <v/>
      </c>
      <c r="D3154" s="2" t="n">
        <v>11</v>
      </c>
      <c r="E3154" s="2" t="inlineStr"/>
      <c r="F3154" s="2" t="inlineStr"/>
      <c r="G3154" s="2" t="inlineStr"/>
    </row>
    <row r="3155">
      <c r="A3155" s="1" t="inlineStr">
        <is>
          <t>G7</t>
        </is>
      </c>
      <c r="B3155" s="1" t="n">
        <v>79</v>
      </c>
      <c r="C3155" s="2">
        <f>_xlfn.XLOOKUP(B3155,Results!$B$23:$B$119,Results!$D$23:$D$119)</f>
        <v/>
      </c>
      <c r="D3155" s="1" t="n">
        <v>12</v>
      </c>
      <c r="E3155" s="1" t="inlineStr"/>
      <c r="F3155" s="1" t="inlineStr"/>
      <c r="G3155" s="1" t="inlineStr"/>
    </row>
    <row r="3156">
      <c r="A3156" s="2" t="inlineStr">
        <is>
          <t>G7</t>
        </is>
      </c>
      <c r="B3156" s="2" t="n">
        <v>79</v>
      </c>
      <c r="C3156" s="2">
        <f>_xlfn.XLOOKUP(B3156,Results!$B$23:$B$119,Results!$D$23:$D$119)</f>
        <v/>
      </c>
      <c r="D3156" s="2" t="n">
        <v>13</v>
      </c>
      <c r="E3156" s="2" t="inlineStr"/>
      <c r="F3156" s="2" t="inlineStr"/>
      <c r="G3156" s="2" t="inlineStr"/>
    </row>
    <row r="3157">
      <c r="A3157" s="1" t="inlineStr">
        <is>
          <t>G7</t>
        </is>
      </c>
      <c r="B3157" s="1" t="n">
        <v>79</v>
      </c>
      <c r="C3157" s="2">
        <f>_xlfn.XLOOKUP(B3157,Results!$B$23:$B$119,Results!$D$23:$D$119)</f>
        <v/>
      </c>
      <c r="D3157" s="1" t="n">
        <v>14</v>
      </c>
      <c r="E3157" s="1" t="inlineStr"/>
      <c r="F3157" s="1" t="inlineStr"/>
      <c r="G3157" s="1" t="inlineStr"/>
    </row>
    <row r="3158">
      <c r="A3158" s="2" t="inlineStr">
        <is>
          <t>G7</t>
        </is>
      </c>
      <c r="B3158" s="2" t="n">
        <v>79</v>
      </c>
      <c r="C3158" s="2">
        <f>_xlfn.XLOOKUP(B3158,Results!$B$23:$B$119,Results!$D$23:$D$119)</f>
        <v/>
      </c>
      <c r="D3158" s="2" t="n">
        <v>15</v>
      </c>
      <c r="E3158" s="2" t="inlineStr"/>
      <c r="F3158" s="2" t="inlineStr"/>
      <c r="G3158" s="2" t="inlineStr"/>
    </row>
    <row r="3159">
      <c r="A3159" s="1" t="inlineStr">
        <is>
          <t>G7</t>
        </is>
      </c>
      <c r="B3159" s="1" t="n">
        <v>79</v>
      </c>
      <c r="C3159" s="2">
        <f>_xlfn.XLOOKUP(B3159,Results!$B$23:$B$119,Results!$D$23:$D$119)</f>
        <v/>
      </c>
      <c r="D3159" s="1" t="n">
        <v>16</v>
      </c>
      <c r="E3159" s="1" t="inlineStr"/>
      <c r="F3159" s="1" t="inlineStr"/>
      <c r="G3159" s="1" t="inlineStr"/>
    </row>
    <row r="3160">
      <c r="A3160" s="2" t="inlineStr">
        <is>
          <t>G7</t>
        </is>
      </c>
      <c r="B3160" s="2" t="n">
        <v>79</v>
      </c>
      <c r="C3160" s="2">
        <f>_xlfn.XLOOKUP(B3160,Results!$B$23:$B$119,Results!$D$23:$D$119)</f>
        <v/>
      </c>
      <c r="D3160" s="2" t="n">
        <v>17</v>
      </c>
      <c r="E3160" s="2" t="inlineStr"/>
      <c r="F3160" s="2" t="inlineStr"/>
      <c r="G3160" s="2" t="inlineStr"/>
    </row>
    <row r="3161">
      <c r="A3161" s="1" t="inlineStr">
        <is>
          <t>G7</t>
        </is>
      </c>
      <c r="B3161" s="1" t="n">
        <v>79</v>
      </c>
      <c r="C3161" s="2">
        <f>_xlfn.XLOOKUP(B3161,Results!$B$23:$B$119,Results!$D$23:$D$119)</f>
        <v/>
      </c>
      <c r="D3161" s="1" t="n">
        <v>18</v>
      </c>
      <c r="E3161" s="1" t="inlineStr"/>
      <c r="F3161" s="1" t="inlineStr"/>
      <c r="G3161" s="1" t="inlineStr"/>
    </row>
    <row r="3162">
      <c r="A3162" s="2" t="inlineStr">
        <is>
          <t>G7</t>
        </is>
      </c>
      <c r="B3162" s="2" t="n">
        <v>79</v>
      </c>
      <c r="C3162" s="2">
        <f>_xlfn.XLOOKUP(B3162,Results!$B$23:$B$119,Results!$D$23:$D$119)</f>
        <v/>
      </c>
      <c r="D3162" s="2" t="n">
        <v>19</v>
      </c>
      <c r="E3162" s="2" t="inlineStr"/>
      <c r="F3162" s="2" t="inlineStr"/>
      <c r="G3162" s="2" t="inlineStr"/>
    </row>
    <row r="3163">
      <c r="A3163" s="1" t="inlineStr">
        <is>
          <t>G7</t>
        </is>
      </c>
      <c r="B3163" s="1" t="n">
        <v>79</v>
      </c>
      <c r="C3163" s="2">
        <f>_xlfn.XLOOKUP(B3163,Results!$B$23:$B$119,Results!$D$23:$D$119)</f>
        <v/>
      </c>
      <c r="D3163" s="1" t="n">
        <v>20</v>
      </c>
      <c r="E3163" s="1" t="inlineStr"/>
      <c r="F3163" s="1" t="inlineStr"/>
      <c r="G3163" s="1" t="inlineStr"/>
    </row>
    <row r="3164">
      <c r="A3164" s="2" t="inlineStr">
        <is>
          <t>G7</t>
        </is>
      </c>
      <c r="B3164" s="2" t="n">
        <v>79</v>
      </c>
      <c r="C3164" s="2">
        <f>_xlfn.XLOOKUP(B3164,Results!$B$23:$B$119,Results!$D$23:$D$119)</f>
        <v/>
      </c>
      <c r="D3164" s="2" t="n">
        <v>21</v>
      </c>
      <c r="E3164" s="2" t="inlineStr"/>
      <c r="F3164" s="2" t="inlineStr"/>
      <c r="G3164" s="2" t="inlineStr"/>
    </row>
    <row r="3165">
      <c r="A3165" s="1" t="inlineStr">
        <is>
          <t>G7</t>
        </is>
      </c>
      <c r="B3165" s="1" t="n">
        <v>79</v>
      </c>
      <c r="C3165" s="2">
        <f>_xlfn.XLOOKUP(B3165,Results!$B$23:$B$119,Results!$D$23:$D$119)</f>
        <v/>
      </c>
      <c r="D3165" s="1" t="n">
        <v>22</v>
      </c>
      <c r="E3165" s="1" t="inlineStr"/>
      <c r="F3165" s="1" t="inlineStr"/>
      <c r="G3165" s="1" t="inlineStr"/>
    </row>
    <row r="3166">
      <c r="A3166" s="2" t="inlineStr">
        <is>
          <t>G7</t>
        </is>
      </c>
      <c r="B3166" s="2" t="n">
        <v>79</v>
      </c>
      <c r="C3166" s="2">
        <f>_xlfn.XLOOKUP(B3166,Results!$B$23:$B$119,Results!$D$23:$D$119)</f>
        <v/>
      </c>
      <c r="D3166" s="2" t="n">
        <v>23</v>
      </c>
      <c r="E3166" s="2" t="inlineStr"/>
      <c r="F3166" s="2" t="inlineStr"/>
      <c r="G3166" s="2" t="inlineStr"/>
    </row>
    <row r="3167">
      <c r="A3167" s="1" t="inlineStr">
        <is>
          <t>G7</t>
        </is>
      </c>
      <c r="B3167" s="1" t="n">
        <v>79</v>
      </c>
      <c r="C3167" s="2">
        <f>_xlfn.XLOOKUP(B3167,Results!$B$23:$B$119,Results!$D$23:$D$119)</f>
        <v/>
      </c>
      <c r="D3167" s="1" t="n">
        <v>24</v>
      </c>
      <c r="E3167" s="1" t="inlineStr"/>
      <c r="F3167" s="1" t="inlineStr"/>
      <c r="G3167" s="1" t="inlineStr"/>
    </row>
    <row r="3168">
      <c r="A3168" s="2" t="inlineStr">
        <is>
          <t>G7</t>
        </is>
      </c>
      <c r="B3168" s="2" t="n">
        <v>79</v>
      </c>
      <c r="C3168" s="2">
        <f>_xlfn.XLOOKUP(B3168,Results!$B$23:$B$119,Results!$D$23:$D$119)</f>
        <v/>
      </c>
      <c r="D3168" s="2" t="n">
        <v>25</v>
      </c>
      <c r="E3168" s="2" t="inlineStr"/>
      <c r="F3168" s="2" t="inlineStr"/>
      <c r="G3168" s="2" t="inlineStr"/>
    </row>
    <row r="3169">
      <c r="A3169" s="1" t="inlineStr">
        <is>
          <t>G7</t>
        </is>
      </c>
      <c r="B3169" s="1" t="n">
        <v>79</v>
      </c>
      <c r="C3169" s="2">
        <f>_xlfn.XLOOKUP(B3169,Results!$B$23:$B$119,Results!$D$23:$D$119)</f>
        <v/>
      </c>
      <c r="D3169" s="1" t="n">
        <v>26</v>
      </c>
      <c r="E3169" s="1" t="inlineStr"/>
      <c r="F3169" s="1" t="inlineStr"/>
      <c r="G3169" s="1" t="inlineStr"/>
    </row>
    <row r="3170">
      <c r="A3170" s="2" t="inlineStr">
        <is>
          <t>G7</t>
        </is>
      </c>
      <c r="B3170" s="2" t="n">
        <v>79</v>
      </c>
      <c r="C3170" s="2">
        <f>_xlfn.XLOOKUP(B3170,Results!$B$23:$B$119,Results!$D$23:$D$119)</f>
        <v/>
      </c>
      <c r="D3170" s="2" t="n">
        <v>27</v>
      </c>
      <c r="E3170" s="2" t="inlineStr"/>
      <c r="F3170" s="2" t="inlineStr"/>
      <c r="G3170" s="2" t="inlineStr"/>
    </row>
    <row r="3171">
      <c r="A3171" s="1" t="inlineStr">
        <is>
          <t>G7</t>
        </is>
      </c>
      <c r="B3171" s="1" t="n">
        <v>79</v>
      </c>
      <c r="C3171" s="2">
        <f>_xlfn.XLOOKUP(B3171,Results!$B$23:$B$119,Results!$D$23:$D$119)</f>
        <v/>
      </c>
      <c r="D3171" s="1" t="n">
        <v>28</v>
      </c>
      <c r="E3171" s="1" t="inlineStr"/>
      <c r="F3171" s="1" t="inlineStr"/>
      <c r="G3171" s="1" t="inlineStr"/>
    </row>
    <row r="3172">
      <c r="A3172" s="2" t="inlineStr">
        <is>
          <t>G7</t>
        </is>
      </c>
      <c r="B3172" s="2" t="n">
        <v>79</v>
      </c>
      <c r="C3172" s="2">
        <f>_xlfn.XLOOKUP(B3172,Results!$B$23:$B$119,Results!$D$23:$D$119)</f>
        <v/>
      </c>
      <c r="D3172" s="2" t="n">
        <v>29</v>
      </c>
      <c r="E3172" s="2" t="inlineStr"/>
      <c r="F3172" s="2" t="inlineStr"/>
      <c r="G3172" s="2" t="inlineStr"/>
    </row>
    <row r="3173">
      <c r="A3173" s="1" t="inlineStr">
        <is>
          <t>G7</t>
        </is>
      </c>
      <c r="B3173" s="1" t="n">
        <v>79</v>
      </c>
      <c r="C3173" s="2">
        <f>_xlfn.XLOOKUP(B3173,Results!$B$23:$B$119,Results!$D$23:$D$119)</f>
        <v/>
      </c>
      <c r="D3173" s="1" t="n">
        <v>30</v>
      </c>
      <c r="E3173" s="1" t="inlineStr"/>
      <c r="F3173" s="1" t="inlineStr"/>
      <c r="G3173" s="1" t="inlineStr"/>
    </row>
    <row r="3174">
      <c r="A3174" s="2" t="inlineStr">
        <is>
          <t>G7</t>
        </is>
      </c>
      <c r="B3174" s="2" t="n">
        <v>79</v>
      </c>
      <c r="C3174" s="2">
        <f>_xlfn.XLOOKUP(B3174,Results!$B$23:$B$119,Results!$D$23:$D$119)</f>
        <v/>
      </c>
      <c r="D3174" s="2" t="n">
        <v>31</v>
      </c>
      <c r="E3174" s="2" t="inlineStr"/>
      <c r="F3174" s="2" t="inlineStr"/>
      <c r="G3174" s="2" t="inlineStr"/>
    </row>
    <row r="3175">
      <c r="A3175" s="1" t="inlineStr">
        <is>
          <t>G7</t>
        </is>
      </c>
      <c r="B3175" s="1" t="n">
        <v>79</v>
      </c>
      <c r="C3175" s="2">
        <f>_xlfn.XLOOKUP(B3175,Results!$B$23:$B$119,Results!$D$23:$D$119)</f>
        <v/>
      </c>
      <c r="D3175" s="1" t="n">
        <v>32</v>
      </c>
      <c r="E3175" s="1" t="inlineStr"/>
      <c r="F3175" s="1" t="inlineStr"/>
      <c r="G3175" s="1" t="inlineStr"/>
    </row>
    <row r="3176">
      <c r="A3176" s="2" t="inlineStr">
        <is>
          <t>G7</t>
        </is>
      </c>
      <c r="B3176" s="2" t="n">
        <v>79</v>
      </c>
      <c r="C3176" s="2">
        <f>_xlfn.XLOOKUP(B3176,Results!$B$23:$B$119,Results!$D$23:$D$119)</f>
        <v/>
      </c>
      <c r="D3176" s="2" t="n">
        <v>33</v>
      </c>
      <c r="E3176" s="2" t="inlineStr"/>
      <c r="F3176" s="2" t="inlineStr"/>
      <c r="G3176" s="2" t="inlineStr"/>
    </row>
    <row r="3177">
      <c r="A3177" s="1" t="inlineStr">
        <is>
          <t>G7</t>
        </is>
      </c>
      <c r="B3177" s="1" t="n">
        <v>79</v>
      </c>
      <c r="C3177" s="2">
        <f>_xlfn.XLOOKUP(B3177,Results!$B$23:$B$119,Results!$D$23:$D$119)</f>
        <v/>
      </c>
      <c r="D3177" s="1" t="n">
        <v>34</v>
      </c>
      <c r="E3177" s="1" t="inlineStr"/>
      <c r="F3177" s="1" t="inlineStr"/>
      <c r="G3177" s="1" t="inlineStr"/>
    </row>
    <row r="3178">
      <c r="A3178" s="2" t="inlineStr">
        <is>
          <t>G7</t>
        </is>
      </c>
      <c r="B3178" s="2" t="n">
        <v>79</v>
      </c>
      <c r="C3178" s="2">
        <f>_xlfn.XLOOKUP(B3178,Results!$B$23:$B$119,Results!$D$23:$D$119)</f>
        <v/>
      </c>
      <c r="D3178" s="2" t="n">
        <v>35</v>
      </c>
      <c r="E3178" s="2" t="inlineStr"/>
      <c r="F3178" s="2" t="inlineStr"/>
      <c r="G3178" s="2" t="inlineStr"/>
    </row>
    <row r="3179">
      <c r="A3179" s="1" t="inlineStr">
        <is>
          <t>G7</t>
        </is>
      </c>
      <c r="B3179" s="1" t="n">
        <v>79</v>
      </c>
      <c r="C3179" s="2">
        <f>_xlfn.XLOOKUP(B3179,Results!$B$23:$B$119,Results!$D$23:$D$119)</f>
        <v/>
      </c>
      <c r="D3179" s="1" t="n">
        <v>36</v>
      </c>
      <c r="E3179" s="1" t="inlineStr"/>
      <c r="F3179" s="1" t="inlineStr"/>
      <c r="G3179" s="1" t="inlineStr"/>
    </row>
    <row r="3180">
      <c r="A3180" s="2" t="inlineStr">
        <is>
          <t>G7</t>
        </is>
      </c>
      <c r="B3180" s="2" t="n">
        <v>79</v>
      </c>
      <c r="C3180" s="2">
        <f>_xlfn.XLOOKUP(B3180,Results!$B$23:$B$119,Results!$D$23:$D$119)</f>
        <v/>
      </c>
      <c r="D3180" s="2" t="n">
        <v>37</v>
      </c>
      <c r="E3180" s="2" t="inlineStr"/>
      <c r="F3180" s="2" t="inlineStr"/>
      <c r="G3180" s="2" t="inlineStr"/>
    </row>
    <row r="3181">
      <c r="A3181" s="1" t="inlineStr">
        <is>
          <t>G7</t>
        </is>
      </c>
      <c r="B3181" s="1" t="n">
        <v>79</v>
      </c>
      <c r="C3181" s="2">
        <f>_xlfn.XLOOKUP(B3181,Results!$B$23:$B$119,Results!$D$23:$D$119)</f>
        <v/>
      </c>
      <c r="D3181" s="1" t="n">
        <v>38</v>
      </c>
      <c r="E3181" s="1" t="inlineStr"/>
      <c r="F3181" s="1" t="inlineStr"/>
      <c r="G3181" s="1" t="inlineStr"/>
    </row>
    <row r="3182">
      <c r="A3182" s="2" t="inlineStr">
        <is>
          <t>G7</t>
        </is>
      </c>
      <c r="B3182" s="2" t="n">
        <v>79</v>
      </c>
      <c r="C3182" s="2">
        <f>_xlfn.XLOOKUP(B3182,Results!$B$23:$B$119,Results!$D$23:$D$119)</f>
        <v/>
      </c>
      <c r="D3182" s="2" t="n">
        <v>39</v>
      </c>
      <c r="E3182" s="2" t="inlineStr"/>
      <c r="F3182" s="2" t="inlineStr"/>
      <c r="G3182" s="2" t="inlineStr"/>
    </row>
    <row r="3183">
      <c r="A3183" s="1" t="inlineStr">
        <is>
          <t>G7</t>
        </is>
      </c>
      <c r="B3183" s="1" t="n">
        <v>79</v>
      </c>
      <c r="C3183" s="2">
        <f>_xlfn.XLOOKUP(B3183,Results!$B$23:$B$119,Results!$D$23:$D$119)</f>
        <v/>
      </c>
      <c r="D3183" s="1" t="n">
        <v>40</v>
      </c>
      <c r="E3183" s="1" t="inlineStr"/>
      <c r="F3183" s="1" t="inlineStr"/>
      <c r="G3183" s="1" t="inlineStr"/>
    </row>
    <row r="3184">
      <c r="A3184" s="2" t="inlineStr">
        <is>
          <t>G8</t>
        </is>
      </c>
      <c r="B3184" s="2" t="n">
        <v>80</v>
      </c>
      <c r="C3184" s="2">
        <f>_xlfn.XLOOKUP(B3184,Results!$B$23:$B$119,Results!$D$23:$D$119)</f>
        <v/>
      </c>
      <c r="D3184" s="2" t="n">
        <v>1</v>
      </c>
      <c r="E3184" s="2" t="inlineStr"/>
      <c r="F3184" s="2" t="inlineStr"/>
      <c r="G3184" s="2" t="inlineStr"/>
    </row>
    <row r="3185">
      <c r="A3185" s="1" t="inlineStr">
        <is>
          <t>G8</t>
        </is>
      </c>
      <c r="B3185" s="1" t="n">
        <v>80</v>
      </c>
      <c r="C3185" s="2">
        <f>_xlfn.XLOOKUP(B3185,Results!$B$23:$B$119,Results!$D$23:$D$119)</f>
        <v/>
      </c>
      <c r="D3185" s="1" t="n">
        <v>2</v>
      </c>
      <c r="E3185" s="1" t="inlineStr"/>
      <c r="F3185" s="1" t="inlineStr"/>
      <c r="G3185" s="1" t="inlineStr"/>
    </row>
    <row r="3186">
      <c r="A3186" s="2" t="inlineStr">
        <is>
          <t>G8</t>
        </is>
      </c>
      <c r="B3186" s="2" t="n">
        <v>80</v>
      </c>
      <c r="C3186" s="2">
        <f>_xlfn.XLOOKUP(B3186,Results!$B$23:$B$119,Results!$D$23:$D$119)</f>
        <v/>
      </c>
      <c r="D3186" s="2" t="n">
        <v>3</v>
      </c>
      <c r="E3186" s="2" t="inlineStr"/>
      <c r="F3186" s="2" t="inlineStr"/>
      <c r="G3186" s="2" t="inlineStr"/>
    </row>
    <row r="3187">
      <c r="A3187" s="1" t="inlineStr">
        <is>
          <t>G8</t>
        </is>
      </c>
      <c r="B3187" s="1" t="n">
        <v>80</v>
      </c>
      <c r="C3187" s="2">
        <f>_xlfn.XLOOKUP(B3187,Results!$B$23:$B$119,Results!$D$23:$D$119)</f>
        <v/>
      </c>
      <c r="D3187" s="1" t="n">
        <v>4</v>
      </c>
      <c r="E3187" s="1" t="inlineStr"/>
      <c r="F3187" s="1" t="inlineStr"/>
      <c r="G3187" s="1" t="inlineStr"/>
    </row>
    <row r="3188">
      <c r="A3188" s="2" t="inlineStr">
        <is>
          <t>G8</t>
        </is>
      </c>
      <c r="B3188" s="2" t="n">
        <v>80</v>
      </c>
      <c r="C3188" s="2">
        <f>_xlfn.XLOOKUP(B3188,Results!$B$23:$B$119,Results!$D$23:$D$119)</f>
        <v/>
      </c>
      <c r="D3188" s="2" t="n">
        <v>5</v>
      </c>
      <c r="E3188" s="2" t="inlineStr"/>
      <c r="F3188" s="2" t="inlineStr"/>
      <c r="G3188" s="2" t="inlineStr"/>
    </row>
    <row r="3189">
      <c r="A3189" s="1" t="inlineStr">
        <is>
          <t>G8</t>
        </is>
      </c>
      <c r="B3189" s="1" t="n">
        <v>80</v>
      </c>
      <c r="C3189" s="2">
        <f>_xlfn.XLOOKUP(B3189,Results!$B$23:$B$119,Results!$D$23:$D$119)</f>
        <v/>
      </c>
      <c r="D3189" s="1" t="n">
        <v>6</v>
      </c>
      <c r="E3189" s="1" t="inlineStr"/>
      <c r="F3189" s="1" t="inlineStr"/>
      <c r="G3189" s="1" t="inlineStr"/>
    </row>
    <row r="3190">
      <c r="A3190" s="2" t="inlineStr">
        <is>
          <t>G8</t>
        </is>
      </c>
      <c r="B3190" s="2" t="n">
        <v>80</v>
      </c>
      <c r="C3190" s="2">
        <f>_xlfn.XLOOKUP(B3190,Results!$B$23:$B$119,Results!$D$23:$D$119)</f>
        <v/>
      </c>
      <c r="D3190" s="2" t="n">
        <v>7</v>
      </c>
      <c r="E3190" s="2" t="inlineStr"/>
      <c r="F3190" s="2" t="inlineStr"/>
      <c r="G3190" s="2" t="inlineStr"/>
    </row>
    <row r="3191">
      <c r="A3191" s="1" t="inlineStr">
        <is>
          <t>G8</t>
        </is>
      </c>
      <c r="B3191" s="1" t="n">
        <v>80</v>
      </c>
      <c r="C3191" s="2">
        <f>_xlfn.XLOOKUP(B3191,Results!$B$23:$B$119,Results!$D$23:$D$119)</f>
        <v/>
      </c>
      <c r="D3191" s="1" t="n">
        <v>8</v>
      </c>
      <c r="E3191" s="1" t="inlineStr"/>
      <c r="F3191" s="1" t="inlineStr"/>
      <c r="G3191" s="1" t="inlineStr"/>
    </row>
    <row r="3192">
      <c r="A3192" s="2" t="inlineStr">
        <is>
          <t>G8</t>
        </is>
      </c>
      <c r="B3192" s="2" t="n">
        <v>80</v>
      </c>
      <c r="C3192" s="2">
        <f>_xlfn.XLOOKUP(B3192,Results!$B$23:$B$119,Results!$D$23:$D$119)</f>
        <v/>
      </c>
      <c r="D3192" s="2" t="n">
        <v>9</v>
      </c>
      <c r="E3192" s="2" t="inlineStr"/>
      <c r="F3192" s="2" t="inlineStr"/>
      <c r="G3192" s="2" t="inlineStr"/>
    </row>
    <row r="3193">
      <c r="A3193" s="1" t="inlineStr">
        <is>
          <t>G8</t>
        </is>
      </c>
      <c r="B3193" s="1" t="n">
        <v>80</v>
      </c>
      <c r="C3193" s="2">
        <f>_xlfn.XLOOKUP(B3193,Results!$B$23:$B$119,Results!$D$23:$D$119)</f>
        <v/>
      </c>
      <c r="D3193" s="1" t="n">
        <v>10</v>
      </c>
      <c r="E3193" s="1" t="inlineStr"/>
      <c r="F3193" s="1" t="inlineStr"/>
      <c r="G3193" s="1" t="inlineStr"/>
    </row>
    <row r="3194">
      <c r="A3194" s="2" t="inlineStr">
        <is>
          <t>G8</t>
        </is>
      </c>
      <c r="B3194" s="2" t="n">
        <v>80</v>
      </c>
      <c r="C3194" s="2">
        <f>_xlfn.XLOOKUP(B3194,Results!$B$23:$B$119,Results!$D$23:$D$119)</f>
        <v/>
      </c>
      <c r="D3194" s="2" t="n">
        <v>11</v>
      </c>
      <c r="E3194" s="2" t="inlineStr"/>
      <c r="F3194" s="2" t="inlineStr"/>
      <c r="G3194" s="2" t="inlineStr"/>
    </row>
    <row r="3195">
      <c r="A3195" s="1" t="inlineStr">
        <is>
          <t>G8</t>
        </is>
      </c>
      <c r="B3195" s="1" t="n">
        <v>80</v>
      </c>
      <c r="C3195" s="2">
        <f>_xlfn.XLOOKUP(B3195,Results!$B$23:$B$119,Results!$D$23:$D$119)</f>
        <v/>
      </c>
      <c r="D3195" s="1" t="n">
        <v>12</v>
      </c>
      <c r="E3195" s="1" t="inlineStr"/>
      <c r="F3195" s="1" t="inlineStr"/>
      <c r="G3195" s="1" t="inlineStr"/>
    </row>
    <row r="3196">
      <c r="A3196" s="2" t="inlineStr">
        <is>
          <t>G8</t>
        </is>
      </c>
      <c r="B3196" s="2" t="n">
        <v>80</v>
      </c>
      <c r="C3196" s="2">
        <f>_xlfn.XLOOKUP(B3196,Results!$B$23:$B$119,Results!$D$23:$D$119)</f>
        <v/>
      </c>
      <c r="D3196" s="2" t="n">
        <v>13</v>
      </c>
      <c r="E3196" s="2" t="inlineStr"/>
      <c r="F3196" s="2" t="inlineStr"/>
      <c r="G3196" s="2" t="inlineStr"/>
    </row>
    <row r="3197">
      <c r="A3197" s="1" t="inlineStr">
        <is>
          <t>G8</t>
        </is>
      </c>
      <c r="B3197" s="1" t="n">
        <v>80</v>
      </c>
      <c r="C3197" s="2">
        <f>_xlfn.XLOOKUP(B3197,Results!$B$23:$B$119,Results!$D$23:$D$119)</f>
        <v/>
      </c>
      <c r="D3197" s="1" t="n">
        <v>14</v>
      </c>
      <c r="E3197" s="1" t="inlineStr"/>
      <c r="F3197" s="1" t="inlineStr"/>
      <c r="G3197" s="1" t="inlineStr"/>
    </row>
    <row r="3198">
      <c r="A3198" s="2" t="inlineStr">
        <is>
          <t>G8</t>
        </is>
      </c>
      <c r="B3198" s="2" t="n">
        <v>80</v>
      </c>
      <c r="C3198" s="2">
        <f>_xlfn.XLOOKUP(B3198,Results!$B$23:$B$119,Results!$D$23:$D$119)</f>
        <v/>
      </c>
      <c r="D3198" s="2" t="n">
        <v>15</v>
      </c>
      <c r="E3198" s="2" t="inlineStr"/>
      <c r="F3198" s="2" t="inlineStr"/>
      <c r="G3198" s="2" t="inlineStr"/>
    </row>
    <row r="3199">
      <c r="A3199" s="1" t="inlineStr">
        <is>
          <t>G8</t>
        </is>
      </c>
      <c r="B3199" s="1" t="n">
        <v>80</v>
      </c>
      <c r="C3199" s="2">
        <f>_xlfn.XLOOKUP(B3199,Results!$B$23:$B$119,Results!$D$23:$D$119)</f>
        <v/>
      </c>
      <c r="D3199" s="1" t="n">
        <v>16</v>
      </c>
      <c r="E3199" s="1" t="inlineStr"/>
      <c r="F3199" s="1" t="inlineStr"/>
      <c r="G3199" s="1" t="inlineStr"/>
    </row>
    <row r="3200">
      <c r="A3200" s="2" t="inlineStr">
        <is>
          <t>G8</t>
        </is>
      </c>
      <c r="B3200" s="2" t="n">
        <v>80</v>
      </c>
      <c r="C3200" s="2">
        <f>_xlfn.XLOOKUP(B3200,Results!$B$23:$B$119,Results!$D$23:$D$119)</f>
        <v/>
      </c>
      <c r="D3200" s="2" t="n">
        <v>17</v>
      </c>
      <c r="E3200" s="2" t="inlineStr"/>
      <c r="F3200" s="2" t="inlineStr"/>
      <c r="G3200" s="2" t="inlineStr"/>
    </row>
    <row r="3201">
      <c r="A3201" s="1" t="inlineStr">
        <is>
          <t>G8</t>
        </is>
      </c>
      <c r="B3201" s="1" t="n">
        <v>80</v>
      </c>
      <c r="C3201" s="2">
        <f>_xlfn.XLOOKUP(B3201,Results!$B$23:$B$119,Results!$D$23:$D$119)</f>
        <v/>
      </c>
      <c r="D3201" s="1" t="n">
        <v>18</v>
      </c>
      <c r="E3201" s="1" t="inlineStr"/>
      <c r="F3201" s="1" t="inlineStr"/>
      <c r="G3201" s="1" t="inlineStr"/>
    </row>
    <row r="3202">
      <c r="A3202" s="2" t="inlineStr">
        <is>
          <t>G8</t>
        </is>
      </c>
      <c r="B3202" s="2" t="n">
        <v>80</v>
      </c>
      <c r="C3202" s="2">
        <f>_xlfn.XLOOKUP(B3202,Results!$B$23:$B$119,Results!$D$23:$D$119)</f>
        <v/>
      </c>
      <c r="D3202" s="2" t="n">
        <v>19</v>
      </c>
      <c r="E3202" s="2" t="inlineStr"/>
      <c r="F3202" s="2" t="inlineStr"/>
      <c r="G3202" s="2" t="inlineStr"/>
    </row>
    <row r="3203">
      <c r="A3203" s="1" t="inlineStr">
        <is>
          <t>G8</t>
        </is>
      </c>
      <c r="B3203" s="1" t="n">
        <v>80</v>
      </c>
      <c r="C3203" s="2">
        <f>_xlfn.XLOOKUP(B3203,Results!$B$23:$B$119,Results!$D$23:$D$119)</f>
        <v/>
      </c>
      <c r="D3203" s="1" t="n">
        <v>20</v>
      </c>
      <c r="E3203" s="1" t="inlineStr"/>
      <c r="F3203" s="1" t="inlineStr"/>
      <c r="G3203" s="1" t="inlineStr"/>
    </row>
    <row r="3204">
      <c r="A3204" s="2" t="inlineStr">
        <is>
          <t>G8</t>
        </is>
      </c>
      <c r="B3204" s="2" t="n">
        <v>80</v>
      </c>
      <c r="C3204" s="2">
        <f>_xlfn.XLOOKUP(B3204,Results!$B$23:$B$119,Results!$D$23:$D$119)</f>
        <v/>
      </c>
      <c r="D3204" s="2" t="n">
        <v>21</v>
      </c>
      <c r="E3204" s="2" t="inlineStr"/>
      <c r="F3204" s="2" t="inlineStr"/>
      <c r="G3204" s="2" t="inlineStr"/>
    </row>
    <row r="3205">
      <c r="A3205" s="1" t="inlineStr">
        <is>
          <t>G8</t>
        </is>
      </c>
      <c r="B3205" s="1" t="n">
        <v>80</v>
      </c>
      <c r="C3205" s="2">
        <f>_xlfn.XLOOKUP(B3205,Results!$B$23:$B$119,Results!$D$23:$D$119)</f>
        <v/>
      </c>
      <c r="D3205" s="1" t="n">
        <v>22</v>
      </c>
      <c r="E3205" s="1" t="inlineStr"/>
      <c r="F3205" s="1" t="inlineStr"/>
      <c r="G3205" s="1" t="inlineStr"/>
    </row>
    <row r="3206">
      <c r="A3206" s="2" t="inlineStr">
        <is>
          <t>G8</t>
        </is>
      </c>
      <c r="B3206" s="2" t="n">
        <v>80</v>
      </c>
      <c r="C3206" s="2">
        <f>_xlfn.XLOOKUP(B3206,Results!$B$23:$B$119,Results!$D$23:$D$119)</f>
        <v/>
      </c>
      <c r="D3206" s="2" t="n">
        <v>23</v>
      </c>
      <c r="E3206" s="2" t="inlineStr"/>
      <c r="F3206" s="2" t="inlineStr"/>
      <c r="G3206" s="2" t="inlineStr"/>
    </row>
    <row r="3207">
      <c r="A3207" s="1" t="inlineStr">
        <is>
          <t>G8</t>
        </is>
      </c>
      <c r="B3207" s="1" t="n">
        <v>80</v>
      </c>
      <c r="C3207" s="2">
        <f>_xlfn.XLOOKUP(B3207,Results!$B$23:$B$119,Results!$D$23:$D$119)</f>
        <v/>
      </c>
      <c r="D3207" s="1" t="n">
        <v>24</v>
      </c>
      <c r="E3207" s="1" t="inlineStr"/>
      <c r="F3207" s="1" t="inlineStr"/>
      <c r="G3207" s="1" t="inlineStr"/>
    </row>
    <row r="3208">
      <c r="A3208" s="2" t="inlineStr">
        <is>
          <t>G8</t>
        </is>
      </c>
      <c r="B3208" s="2" t="n">
        <v>80</v>
      </c>
      <c r="C3208" s="2">
        <f>_xlfn.XLOOKUP(B3208,Results!$B$23:$B$119,Results!$D$23:$D$119)</f>
        <v/>
      </c>
      <c r="D3208" s="2" t="n">
        <v>25</v>
      </c>
      <c r="E3208" s="2" t="inlineStr"/>
      <c r="F3208" s="2" t="inlineStr"/>
      <c r="G3208" s="2" t="inlineStr"/>
    </row>
    <row r="3209">
      <c r="A3209" s="1" t="inlineStr">
        <is>
          <t>G8</t>
        </is>
      </c>
      <c r="B3209" s="1" t="n">
        <v>80</v>
      </c>
      <c r="C3209" s="2">
        <f>_xlfn.XLOOKUP(B3209,Results!$B$23:$B$119,Results!$D$23:$D$119)</f>
        <v/>
      </c>
      <c r="D3209" s="1" t="n">
        <v>26</v>
      </c>
      <c r="E3209" s="1" t="inlineStr"/>
      <c r="F3209" s="1" t="inlineStr"/>
      <c r="G3209" s="1" t="inlineStr"/>
    </row>
    <row r="3210">
      <c r="A3210" s="2" t="inlineStr">
        <is>
          <t>G8</t>
        </is>
      </c>
      <c r="B3210" s="2" t="n">
        <v>80</v>
      </c>
      <c r="C3210" s="2">
        <f>_xlfn.XLOOKUP(B3210,Results!$B$23:$B$119,Results!$D$23:$D$119)</f>
        <v/>
      </c>
      <c r="D3210" s="2" t="n">
        <v>27</v>
      </c>
      <c r="E3210" s="2" t="inlineStr"/>
      <c r="F3210" s="2" t="inlineStr"/>
      <c r="G3210" s="2" t="inlineStr"/>
    </row>
    <row r="3211">
      <c r="A3211" s="1" t="inlineStr">
        <is>
          <t>G8</t>
        </is>
      </c>
      <c r="B3211" s="1" t="n">
        <v>80</v>
      </c>
      <c r="C3211" s="2">
        <f>_xlfn.XLOOKUP(B3211,Results!$B$23:$B$119,Results!$D$23:$D$119)</f>
        <v/>
      </c>
      <c r="D3211" s="1" t="n">
        <v>28</v>
      </c>
      <c r="E3211" s="1" t="inlineStr"/>
      <c r="F3211" s="1" t="inlineStr"/>
      <c r="G3211" s="1" t="inlineStr"/>
    </row>
    <row r="3212">
      <c r="A3212" s="2" t="inlineStr">
        <is>
          <t>G8</t>
        </is>
      </c>
      <c r="B3212" s="2" t="n">
        <v>80</v>
      </c>
      <c r="C3212" s="2">
        <f>_xlfn.XLOOKUP(B3212,Results!$B$23:$B$119,Results!$D$23:$D$119)</f>
        <v/>
      </c>
      <c r="D3212" s="2" t="n">
        <v>29</v>
      </c>
      <c r="E3212" s="2" t="inlineStr"/>
      <c r="F3212" s="2" t="inlineStr"/>
      <c r="G3212" s="2" t="inlineStr"/>
    </row>
    <row r="3213">
      <c r="A3213" s="1" t="inlineStr">
        <is>
          <t>G8</t>
        </is>
      </c>
      <c r="B3213" s="1" t="n">
        <v>80</v>
      </c>
      <c r="C3213" s="2">
        <f>_xlfn.XLOOKUP(B3213,Results!$B$23:$B$119,Results!$D$23:$D$119)</f>
        <v/>
      </c>
      <c r="D3213" s="1" t="n">
        <v>30</v>
      </c>
      <c r="E3213" s="1" t="inlineStr"/>
      <c r="F3213" s="1" t="inlineStr"/>
      <c r="G3213" s="1" t="inlineStr"/>
    </row>
    <row r="3214">
      <c r="A3214" s="2" t="inlineStr">
        <is>
          <t>G8</t>
        </is>
      </c>
      <c r="B3214" s="2" t="n">
        <v>80</v>
      </c>
      <c r="C3214" s="2">
        <f>_xlfn.XLOOKUP(B3214,Results!$B$23:$B$119,Results!$D$23:$D$119)</f>
        <v/>
      </c>
      <c r="D3214" s="2" t="n">
        <v>31</v>
      </c>
      <c r="E3214" s="2" t="inlineStr"/>
      <c r="F3214" s="2" t="inlineStr"/>
      <c r="G3214" s="2" t="inlineStr"/>
    </row>
    <row r="3215">
      <c r="A3215" s="1" t="inlineStr">
        <is>
          <t>G8</t>
        </is>
      </c>
      <c r="B3215" s="1" t="n">
        <v>80</v>
      </c>
      <c r="C3215" s="2">
        <f>_xlfn.XLOOKUP(B3215,Results!$B$23:$B$119,Results!$D$23:$D$119)</f>
        <v/>
      </c>
      <c r="D3215" s="1" t="n">
        <v>32</v>
      </c>
      <c r="E3215" s="1" t="inlineStr"/>
      <c r="F3215" s="1" t="inlineStr"/>
      <c r="G3215" s="1" t="inlineStr"/>
    </row>
    <row r="3216">
      <c r="A3216" s="2" t="inlineStr">
        <is>
          <t>G8</t>
        </is>
      </c>
      <c r="B3216" s="2" t="n">
        <v>80</v>
      </c>
      <c r="C3216" s="2">
        <f>_xlfn.XLOOKUP(B3216,Results!$B$23:$B$119,Results!$D$23:$D$119)</f>
        <v/>
      </c>
      <c r="D3216" s="2" t="n">
        <v>33</v>
      </c>
      <c r="E3216" s="2" t="inlineStr"/>
      <c r="F3216" s="2" t="inlineStr"/>
      <c r="G3216" s="2" t="inlineStr"/>
    </row>
    <row r="3217">
      <c r="A3217" s="1" t="inlineStr">
        <is>
          <t>G8</t>
        </is>
      </c>
      <c r="B3217" s="1" t="n">
        <v>80</v>
      </c>
      <c r="C3217" s="2">
        <f>_xlfn.XLOOKUP(B3217,Results!$B$23:$B$119,Results!$D$23:$D$119)</f>
        <v/>
      </c>
      <c r="D3217" s="1" t="n">
        <v>34</v>
      </c>
      <c r="E3217" s="1" t="inlineStr"/>
      <c r="F3217" s="1" t="inlineStr"/>
      <c r="G3217" s="1" t="inlineStr"/>
    </row>
    <row r="3218">
      <c r="A3218" s="2" t="inlineStr">
        <is>
          <t>G8</t>
        </is>
      </c>
      <c r="B3218" s="2" t="n">
        <v>80</v>
      </c>
      <c r="C3218" s="2">
        <f>_xlfn.XLOOKUP(B3218,Results!$B$23:$B$119,Results!$D$23:$D$119)</f>
        <v/>
      </c>
      <c r="D3218" s="2" t="n">
        <v>35</v>
      </c>
      <c r="E3218" s="2" t="inlineStr"/>
      <c r="F3218" s="2" t="inlineStr"/>
      <c r="G3218" s="2" t="inlineStr"/>
    </row>
    <row r="3219">
      <c r="A3219" s="1" t="inlineStr">
        <is>
          <t>G8</t>
        </is>
      </c>
      <c r="B3219" s="1" t="n">
        <v>80</v>
      </c>
      <c r="C3219" s="2">
        <f>_xlfn.XLOOKUP(B3219,Results!$B$23:$B$119,Results!$D$23:$D$119)</f>
        <v/>
      </c>
      <c r="D3219" s="1" t="n">
        <v>36</v>
      </c>
      <c r="E3219" s="1" t="inlineStr"/>
      <c r="F3219" s="1" t="inlineStr"/>
      <c r="G3219" s="1" t="inlineStr"/>
    </row>
    <row r="3220">
      <c r="A3220" s="2" t="inlineStr">
        <is>
          <t>G8</t>
        </is>
      </c>
      <c r="B3220" s="2" t="n">
        <v>80</v>
      </c>
      <c r="C3220" s="2">
        <f>_xlfn.XLOOKUP(B3220,Results!$B$23:$B$119,Results!$D$23:$D$119)</f>
        <v/>
      </c>
      <c r="D3220" s="2" t="n">
        <v>37</v>
      </c>
      <c r="E3220" s="2" t="inlineStr"/>
      <c r="F3220" s="2" t="inlineStr"/>
      <c r="G3220" s="2" t="inlineStr"/>
    </row>
    <row r="3221">
      <c r="A3221" s="1" t="inlineStr">
        <is>
          <t>G8</t>
        </is>
      </c>
      <c r="B3221" s="1" t="n">
        <v>80</v>
      </c>
      <c r="C3221" s="2">
        <f>_xlfn.XLOOKUP(B3221,Results!$B$23:$B$119,Results!$D$23:$D$119)</f>
        <v/>
      </c>
      <c r="D3221" s="1" t="n">
        <v>38</v>
      </c>
      <c r="E3221" s="1" t="inlineStr"/>
      <c r="F3221" s="1" t="inlineStr"/>
      <c r="G3221" s="1" t="inlineStr"/>
    </row>
    <row r="3222">
      <c r="A3222" s="2" t="inlineStr">
        <is>
          <t>G8</t>
        </is>
      </c>
      <c r="B3222" s="2" t="n">
        <v>80</v>
      </c>
      <c r="C3222" s="2">
        <f>_xlfn.XLOOKUP(B3222,Results!$B$23:$B$119,Results!$D$23:$D$119)</f>
        <v/>
      </c>
      <c r="D3222" s="2" t="n">
        <v>39</v>
      </c>
      <c r="E3222" s="2" t="inlineStr"/>
      <c r="F3222" s="2" t="inlineStr"/>
      <c r="G3222" s="2" t="inlineStr"/>
    </row>
    <row r="3223">
      <c r="A3223" s="1" t="inlineStr">
        <is>
          <t>G8</t>
        </is>
      </c>
      <c r="B3223" s="1" t="n">
        <v>80</v>
      </c>
      <c r="C3223" s="2">
        <f>_xlfn.XLOOKUP(B3223,Results!$B$23:$B$119,Results!$D$23:$D$119)</f>
        <v/>
      </c>
      <c r="D3223" s="1" t="n">
        <v>40</v>
      </c>
      <c r="E3223" s="1" t="inlineStr"/>
      <c r="F3223" s="1" t="inlineStr"/>
      <c r="G3223" s="1" t="inlineStr"/>
    </row>
    <row r="3224">
      <c r="A3224" s="2" t="inlineStr">
        <is>
          <t>G9</t>
        </is>
      </c>
      <c r="B3224" s="2" t="n">
        <v>81</v>
      </c>
      <c r="C3224" s="2">
        <f>_xlfn.XLOOKUP(B3224,Results!$B$23:$B$119,Results!$D$23:$D$119)</f>
        <v/>
      </c>
      <c r="D3224" s="2" t="n">
        <v>1</v>
      </c>
      <c r="E3224" s="2" t="inlineStr"/>
      <c r="F3224" s="2" t="inlineStr"/>
      <c r="G3224" s="2" t="inlineStr"/>
    </row>
    <row r="3225">
      <c r="A3225" s="1" t="inlineStr">
        <is>
          <t>G9</t>
        </is>
      </c>
      <c r="B3225" s="1" t="n">
        <v>81</v>
      </c>
      <c r="C3225" s="2">
        <f>_xlfn.XLOOKUP(B3225,Results!$B$23:$B$119,Results!$D$23:$D$119)</f>
        <v/>
      </c>
      <c r="D3225" s="1" t="n">
        <v>2</v>
      </c>
      <c r="E3225" s="1" t="inlineStr"/>
      <c r="F3225" s="1" t="inlineStr"/>
      <c r="G3225" s="1" t="inlineStr"/>
    </row>
    <row r="3226">
      <c r="A3226" s="2" t="inlineStr">
        <is>
          <t>G9</t>
        </is>
      </c>
      <c r="B3226" s="2" t="n">
        <v>81</v>
      </c>
      <c r="C3226" s="2">
        <f>_xlfn.XLOOKUP(B3226,Results!$B$23:$B$119,Results!$D$23:$D$119)</f>
        <v/>
      </c>
      <c r="D3226" s="2" t="n">
        <v>3</v>
      </c>
      <c r="E3226" s="2" t="inlineStr"/>
      <c r="F3226" s="2" t="inlineStr"/>
      <c r="G3226" s="2" t="inlineStr"/>
    </row>
    <row r="3227">
      <c r="A3227" s="1" t="inlineStr">
        <is>
          <t>G9</t>
        </is>
      </c>
      <c r="B3227" s="1" t="n">
        <v>81</v>
      </c>
      <c r="C3227" s="2">
        <f>_xlfn.XLOOKUP(B3227,Results!$B$23:$B$119,Results!$D$23:$D$119)</f>
        <v/>
      </c>
      <c r="D3227" s="1" t="n">
        <v>4</v>
      </c>
      <c r="E3227" s="1" t="inlineStr"/>
      <c r="F3227" s="1" t="inlineStr"/>
      <c r="G3227" s="1" t="inlineStr"/>
    </row>
    <row r="3228">
      <c r="A3228" s="2" t="inlineStr">
        <is>
          <t>G9</t>
        </is>
      </c>
      <c r="B3228" s="2" t="n">
        <v>81</v>
      </c>
      <c r="C3228" s="2">
        <f>_xlfn.XLOOKUP(B3228,Results!$B$23:$B$119,Results!$D$23:$D$119)</f>
        <v/>
      </c>
      <c r="D3228" s="2" t="n">
        <v>5</v>
      </c>
      <c r="E3228" s="2" t="inlineStr"/>
      <c r="F3228" s="2" t="inlineStr"/>
      <c r="G3228" s="2" t="inlineStr"/>
    </row>
    <row r="3229">
      <c r="A3229" s="1" t="inlineStr">
        <is>
          <t>G9</t>
        </is>
      </c>
      <c r="B3229" s="1" t="n">
        <v>81</v>
      </c>
      <c r="C3229" s="2">
        <f>_xlfn.XLOOKUP(B3229,Results!$B$23:$B$119,Results!$D$23:$D$119)</f>
        <v/>
      </c>
      <c r="D3229" s="1" t="n">
        <v>6</v>
      </c>
      <c r="E3229" s="1" t="inlineStr"/>
      <c r="F3229" s="1" t="inlineStr"/>
      <c r="G3229" s="1" t="inlineStr"/>
    </row>
    <row r="3230">
      <c r="A3230" s="2" t="inlineStr">
        <is>
          <t>G9</t>
        </is>
      </c>
      <c r="B3230" s="2" t="n">
        <v>81</v>
      </c>
      <c r="C3230" s="2">
        <f>_xlfn.XLOOKUP(B3230,Results!$B$23:$B$119,Results!$D$23:$D$119)</f>
        <v/>
      </c>
      <c r="D3230" s="2" t="n">
        <v>7</v>
      </c>
      <c r="E3230" s="2" t="inlineStr"/>
      <c r="F3230" s="2" t="inlineStr"/>
      <c r="G3230" s="2" t="inlineStr"/>
    </row>
    <row r="3231">
      <c r="A3231" s="1" t="inlineStr">
        <is>
          <t>G9</t>
        </is>
      </c>
      <c r="B3231" s="1" t="n">
        <v>81</v>
      </c>
      <c r="C3231" s="2">
        <f>_xlfn.XLOOKUP(B3231,Results!$B$23:$B$119,Results!$D$23:$D$119)</f>
        <v/>
      </c>
      <c r="D3231" s="1" t="n">
        <v>8</v>
      </c>
      <c r="E3231" s="1" t="inlineStr"/>
      <c r="F3231" s="1" t="inlineStr"/>
      <c r="G3231" s="1" t="inlineStr"/>
    </row>
    <row r="3232">
      <c r="A3232" s="2" t="inlineStr">
        <is>
          <t>G9</t>
        </is>
      </c>
      <c r="B3232" s="2" t="n">
        <v>81</v>
      </c>
      <c r="C3232" s="2">
        <f>_xlfn.XLOOKUP(B3232,Results!$B$23:$B$119,Results!$D$23:$D$119)</f>
        <v/>
      </c>
      <c r="D3232" s="2" t="n">
        <v>9</v>
      </c>
      <c r="E3232" s="2" t="inlineStr"/>
      <c r="F3232" s="2" t="inlineStr"/>
      <c r="G3232" s="2" t="inlineStr"/>
    </row>
    <row r="3233">
      <c r="A3233" s="1" t="inlineStr">
        <is>
          <t>G9</t>
        </is>
      </c>
      <c r="B3233" s="1" t="n">
        <v>81</v>
      </c>
      <c r="C3233" s="2">
        <f>_xlfn.XLOOKUP(B3233,Results!$B$23:$B$119,Results!$D$23:$D$119)</f>
        <v/>
      </c>
      <c r="D3233" s="1" t="n">
        <v>10</v>
      </c>
      <c r="E3233" s="1" t="inlineStr"/>
      <c r="F3233" s="1" t="inlineStr"/>
      <c r="G3233" s="1" t="inlineStr"/>
    </row>
    <row r="3234">
      <c r="A3234" s="2" t="inlineStr">
        <is>
          <t>G9</t>
        </is>
      </c>
      <c r="B3234" s="2" t="n">
        <v>81</v>
      </c>
      <c r="C3234" s="2">
        <f>_xlfn.XLOOKUP(B3234,Results!$B$23:$B$119,Results!$D$23:$D$119)</f>
        <v/>
      </c>
      <c r="D3234" s="2" t="n">
        <v>11</v>
      </c>
      <c r="E3234" s="2" t="inlineStr"/>
      <c r="F3234" s="2" t="inlineStr"/>
      <c r="G3234" s="2" t="inlineStr"/>
    </row>
    <row r="3235">
      <c r="A3235" s="1" t="inlineStr">
        <is>
          <t>G9</t>
        </is>
      </c>
      <c r="B3235" s="1" t="n">
        <v>81</v>
      </c>
      <c r="C3235" s="2">
        <f>_xlfn.XLOOKUP(B3235,Results!$B$23:$B$119,Results!$D$23:$D$119)</f>
        <v/>
      </c>
      <c r="D3235" s="1" t="n">
        <v>12</v>
      </c>
      <c r="E3235" s="1" t="inlineStr"/>
      <c r="F3235" s="1" t="inlineStr"/>
      <c r="G3235" s="1" t="inlineStr"/>
    </row>
    <row r="3236">
      <c r="A3236" s="2" t="inlineStr">
        <is>
          <t>G9</t>
        </is>
      </c>
      <c r="B3236" s="2" t="n">
        <v>81</v>
      </c>
      <c r="C3236" s="2">
        <f>_xlfn.XLOOKUP(B3236,Results!$B$23:$B$119,Results!$D$23:$D$119)</f>
        <v/>
      </c>
      <c r="D3236" s="2" t="n">
        <v>13</v>
      </c>
      <c r="E3236" s="2" t="inlineStr"/>
      <c r="F3236" s="2" t="inlineStr"/>
      <c r="G3236" s="2" t="inlineStr"/>
    </row>
    <row r="3237">
      <c r="A3237" s="1" t="inlineStr">
        <is>
          <t>G9</t>
        </is>
      </c>
      <c r="B3237" s="1" t="n">
        <v>81</v>
      </c>
      <c r="C3237" s="2">
        <f>_xlfn.XLOOKUP(B3237,Results!$B$23:$B$119,Results!$D$23:$D$119)</f>
        <v/>
      </c>
      <c r="D3237" s="1" t="n">
        <v>14</v>
      </c>
      <c r="E3237" s="1" t="inlineStr"/>
      <c r="F3237" s="1" t="inlineStr"/>
      <c r="G3237" s="1" t="inlineStr"/>
    </row>
    <row r="3238">
      <c r="A3238" s="2" t="inlineStr">
        <is>
          <t>G9</t>
        </is>
      </c>
      <c r="B3238" s="2" t="n">
        <v>81</v>
      </c>
      <c r="C3238" s="2">
        <f>_xlfn.XLOOKUP(B3238,Results!$B$23:$B$119,Results!$D$23:$D$119)</f>
        <v/>
      </c>
      <c r="D3238" s="2" t="n">
        <v>15</v>
      </c>
      <c r="E3238" s="2" t="inlineStr"/>
      <c r="F3238" s="2" t="inlineStr"/>
      <c r="G3238" s="2" t="inlineStr"/>
    </row>
    <row r="3239">
      <c r="A3239" s="1" t="inlineStr">
        <is>
          <t>G9</t>
        </is>
      </c>
      <c r="B3239" s="1" t="n">
        <v>81</v>
      </c>
      <c r="C3239" s="2">
        <f>_xlfn.XLOOKUP(B3239,Results!$B$23:$B$119,Results!$D$23:$D$119)</f>
        <v/>
      </c>
      <c r="D3239" s="1" t="n">
        <v>16</v>
      </c>
      <c r="E3239" s="1" t="inlineStr"/>
      <c r="F3239" s="1" t="inlineStr"/>
      <c r="G3239" s="1" t="inlineStr"/>
    </row>
    <row r="3240">
      <c r="A3240" s="2" t="inlineStr">
        <is>
          <t>G9</t>
        </is>
      </c>
      <c r="B3240" s="2" t="n">
        <v>81</v>
      </c>
      <c r="C3240" s="2">
        <f>_xlfn.XLOOKUP(B3240,Results!$B$23:$B$119,Results!$D$23:$D$119)</f>
        <v/>
      </c>
      <c r="D3240" s="2" t="n">
        <v>17</v>
      </c>
      <c r="E3240" s="2" t="inlineStr"/>
      <c r="F3240" s="2" t="inlineStr"/>
      <c r="G3240" s="2" t="inlineStr"/>
    </row>
    <row r="3241">
      <c r="A3241" s="1" t="inlineStr">
        <is>
          <t>G9</t>
        </is>
      </c>
      <c r="B3241" s="1" t="n">
        <v>81</v>
      </c>
      <c r="C3241" s="2">
        <f>_xlfn.XLOOKUP(B3241,Results!$B$23:$B$119,Results!$D$23:$D$119)</f>
        <v/>
      </c>
      <c r="D3241" s="1" t="n">
        <v>18</v>
      </c>
      <c r="E3241" s="1" t="inlineStr"/>
      <c r="F3241" s="1" t="inlineStr"/>
      <c r="G3241" s="1" t="inlineStr"/>
    </row>
    <row r="3242">
      <c r="A3242" s="2" t="inlineStr">
        <is>
          <t>G9</t>
        </is>
      </c>
      <c r="B3242" s="2" t="n">
        <v>81</v>
      </c>
      <c r="C3242" s="2">
        <f>_xlfn.XLOOKUP(B3242,Results!$B$23:$B$119,Results!$D$23:$D$119)</f>
        <v/>
      </c>
      <c r="D3242" s="2" t="n">
        <v>19</v>
      </c>
      <c r="E3242" s="2" t="inlineStr"/>
      <c r="F3242" s="2" t="inlineStr"/>
      <c r="G3242" s="2" t="inlineStr"/>
    </row>
    <row r="3243">
      <c r="A3243" s="1" t="inlineStr">
        <is>
          <t>G9</t>
        </is>
      </c>
      <c r="B3243" s="1" t="n">
        <v>81</v>
      </c>
      <c r="C3243" s="2">
        <f>_xlfn.XLOOKUP(B3243,Results!$B$23:$B$119,Results!$D$23:$D$119)</f>
        <v/>
      </c>
      <c r="D3243" s="1" t="n">
        <v>20</v>
      </c>
      <c r="E3243" s="1" t="inlineStr"/>
      <c r="F3243" s="1" t="inlineStr"/>
      <c r="G3243" s="1" t="inlineStr"/>
    </row>
    <row r="3244">
      <c r="A3244" s="2" t="inlineStr">
        <is>
          <t>G9</t>
        </is>
      </c>
      <c r="B3244" s="2" t="n">
        <v>81</v>
      </c>
      <c r="C3244" s="2">
        <f>_xlfn.XLOOKUP(B3244,Results!$B$23:$B$119,Results!$D$23:$D$119)</f>
        <v/>
      </c>
      <c r="D3244" s="2" t="n">
        <v>21</v>
      </c>
      <c r="E3244" s="2" t="inlineStr"/>
      <c r="F3244" s="2" t="inlineStr"/>
      <c r="G3244" s="2" t="inlineStr"/>
    </row>
    <row r="3245">
      <c r="A3245" s="1" t="inlineStr">
        <is>
          <t>G9</t>
        </is>
      </c>
      <c r="B3245" s="1" t="n">
        <v>81</v>
      </c>
      <c r="C3245" s="2">
        <f>_xlfn.XLOOKUP(B3245,Results!$B$23:$B$119,Results!$D$23:$D$119)</f>
        <v/>
      </c>
      <c r="D3245" s="1" t="n">
        <v>22</v>
      </c>
      <c r="E3245" s="1" t="inlineStr"/>
      <c r="F3245" s="1" t="inlineStr"/>
      <c r="G3245" s="1" t="inlineStr"/>
    </row>
    <row r="3246">
      <c r="A3246" s="2" t="inlineStr">
        <is>
          <t>G9</t>
        </is>
      </c>
      <c r="B3246" s="2" t="n">
        <v>81</v>
      </c>
      <c r="C3246" s="2">
        <f>_xlfn.XLOOKUP(B3246,Results!$B$23:$B$119,Results!$D$23:$D$119)</f>
        <v/>
      </c>
      <c r="D3246" s="2" t="n">
        <v>23</v>
      </c>
      <c r="E3246" s="2" t="inlineStr"/>
      <c r="F3246" s="2" t="inlineStr"/>
      <c r="G3246" s="2" t="inlineStr"/>
    </row>
    <row r="3247">
      <c r="A3247" s="1" t="inlineStr">
        <is>
          <t>G9</t>
        </is>
      </c>
      <c r="B3247" s="1" t="n">
        <v>81</v>
      </c>
      <c r="C3247" s="2">
        <f>_xlfn.XLOOKUP(B3247,Results!$B$23:$B$119,Results!$D$23:$D$119)</f>
        <v/>
      </c>
      <c r="D3247" s="1" t="n">
        <v>24</v>
      </c>
      <c r="E3247" s="1" t="inlineStr"/>
      <c r="F3247" s="1" t="inlineStr"/>
      <c r="G3247" s="1" t="inlineStr"/>
    </row>
    <row r="3248">
      <c r="A3248" s="2" t="inlineStr">
        <is>
          <t>G9</t>
        </is>
      </c>
      <c r="B3248" s="2" t="n">
        <v>81</v>
      </c>
      <c r="C3248" s="2">
        <f>_xlfn.XLOOKUP(B3248,Results!$B$23:$B$119,Results!$D$23:$D$119)</f>
        <v/>
      </c>
      <c r="D3248" s="2" t="n">
        <v>25</v>
      </c>
      <c r="E3248" s="2" t="inlineStr"/>
      <c r="F3248" s="2" t="inlineStr"/>
      <c r="G3248" s="2" t="inlineStr"/>
    </row>
    <row r="3249">
      <c r="A3249" s="1" t="inlineStr">
        <is>
          <t>G9</t>
        </is>
      </c>
      <c r="B3249" s="1" t="n">
        <v>81</v>
      </c>
      <c r="C3249" s="2">
        <f>_xlfn.XLOOKUP(B3249,Results!$B$23:$B$119,Results!$D$23:$D$119)</f>
        <v/>
      </c>
      <c r="D3249" s="1" t="n">
        <v>26</v>
      </c>
      <c r="E3249" s="1" t="inlineStr"/>
      <c r="F3249" s="1" t="inlineStr"/>
      <c r="G3249" s="1" t="inlineStr"/>
    </row>
    <row r="3250">
      <c r="A3250" s="2" t="inlineStr">
        <is>
          <t>G9</t>
        </is>
      </c>
      <c r="B3250" s="2" t="n">
        <v>81</v>
      </c>
      <c r="C3250" s="2">
        <f>_xlfn.XLOOKUP(B3250,Results!$B$23:$B$119,Results!$D$23:$D$119)</f>
        <v/>
      </c>
      <c r="D3250" s="2" t="n">
        <v>27</v>
      </c>
      <c r="E3250" s="2" t="inlineStr"/>
      <c r="F3250" s="2" t="inlineStr"/>
      <c r="G3250" s="2" t="inlineStr"/>
    </row>
    <row r="3251">
      <c r="A3251" s="1" t="inlineStr">
        <is>
          <t>G9</t>
        </is>
      </c>
      <c r="B3251" s="1" t="n">
        <v>81</v>
      </c>
      <c r="C3251" s="2">
        <f>_xlfn.XLOOKUP(B3251,Results!$B$23:$B$119,Results!$D$23:$D$119)</f>
        <v/>
      </c>
      <c r="D3251" s="1" t="n">
        <v>28</v>
      </c>
      <c r="E3251" s="1" t="inlineStr"/>
      <c r="F3251" s="1" t="inlineStr"/>
      <c r="G3251" s="1" t="inlineStr"/>
    </row>
    <row r="3252">
      <c r="A3252" s="2" t="inlineStr">
        <is>
          <t>G9</t>
        </is>
      </c>
      <c r="B3252" s="2" t="n">
        <v>81</v>
      </c>
      <c r="C3252" s="2">
        <f>_xlfn.XLOOKUP(B3252,Results!$B$23:$B$119,Results!$D$23:$D$119)</f>
        <v/>
      </c>
      <c r="D3252" s="2" t="n">
        <v>29</v>
      </c>
      <c r="E3252" s="2" t="inlineStr"/>
      <c r="F3252" s="2" t="inlineStr"/>
      <c r="G3252" s="2" t="inlineStr"/>
    </row>
    <row r="3253">
      <c r="A3253" s="1" t="inlineStr">
        <is>
          <t>G9</t>
        </is>
      </c>
      <c r="B3253" s="1" t="n">
        <v>81</v>
      </c>
      <c r="C3253" s="2">
        <f>_xlfn.XLOOKUP(B3253,Results!$B$23:$B$119,Results!$D$23:$D$119)</f>
        <v/>
      </c>
      <c r="D3253" s="1" t="n">
        <v>30</v>
      </c>
      <c r="E3253" s="1" t="inlineStr"/>
      <c r="F3253" s="1" t="inlineStr"/>
      <c r="G3253" s="1" t="inlineStr"/>
    </row>
    <row r="3254">
      <c r="A3254" s="2" t="inlineStr">
        <is>
          <t>G9</t>
        </is>
      </c>
      <c r="B3254" s="2" t="n">
        <v>81</v>
      </c>
      <c r="C3254" s="2">
        <f>_xlfn.XLOOKUP(B3254,Results!$B$23:$B$119,Results!$D$23:$D$119)</f>
        <v/>
      </c>
      <c r="D3254" s="2" t="n">
        <v>31</v>
      </c>
      <c r="E3254" s="2" t="inlineStr"/>
      <c r="F3254" s="2" t="inlineStr"/>
      <c r="G3254" s="2" t="inlineStr"/>
    </row>
    <row r="3255">
      <c r="A3255" s="1" t="inlineStr">
        <is>
          <t>G9</t>
        </is>
      </c>
      <c r="B3255" s="1" t="n">
        <v>81</v>
      </c>
      <c r="C3255" s="2">
        <f>_xlfn.XLOOKUP(B3255,Results!$B$23:$B$119,Results!$D$23:$D$119)</f>
        <v/>
      </c>
      <c r="D3255" s="1" t="n">
        <v>32</v>
      </c>
      <c r="E3255" s="1" t="inlineStr"/>
      <c r="F3255" s="1" t="inlineStr"/>
      <c r="G3255" s="1" t="inlineStr"/>
    </row>
    <row r="3256">
      <c r="A3256" s="2" t="inlineStr">
        <is>
          <t>G9</t>
        </is>
      </c>
      <c r="B3256" s="2" t="n">
        <v>81</v>
      </c>
      <c r="C3256" s="2">
        <f>_xlfn.XLOOKUP(B3256,Results!$B$23:$B$119,Results!$D$23:$D$119)</f>
        <v/>
      </c>
      <c r="D3256" s="2" t="n">
        <v>33</v>
      </c>
      <c r="E3256" s="2" t="inlineStr"/>
      <c r="F3256" s="2" t="inlineStr"/>
      <c r="G3256" s="2" t="inlineStr"/>
    </row>
    <row r="3257">
      <c r="A3257" s="1" t="inlineStr">
        <is>
          <t>G9</t>
        </is>
      </c>
      <c r="B3257" s="1" t="n">
        <v>81</v>
      </c>
      <c r="C3257" s="2">
        <f>_xlfn.XLOOKUP(B3257,Results!$B$23:$B$119,Results!$D$23:$D$119)</f>
        <v/>
      </c>
      <c r="D3257" s="1" t="n">
        <v>34</v>
      </c>
      <c r="E3257" s="1" t="inlineStr"/>
      <c r="F3257" s="1" t="inlineStr"/>
      <c r="G3257" s="1" t="inlineStr"/>
    </row>
    <row r="3258">
      <c r="A3258" s="2" t="inlineStr">
        <is>
          <t>G9</t>
        </is>
      </c>
      <c r="B3258" s="2" t="n">
        <v>81</v>
      </c>
      <c r="C3258" s="2">
        <f>_xlfn.XLOOKUP(B3258,Results!$B$23:$B$119,Results!$D$23:$D$119)</f>
        <v/>
      </c>
      <c r="D3258" s="2" t="n">
        <v>35</v>
      </c>
      <c r="E3258" s="2" t="inlineStr"/>
      <c r="F3258" s="2" t="inlineStr"/>
      <c r="G3258" s="2" t="inlineStr"/>
    </row>
    <row r="3259">
      <c r="A3259" s="1" t="inlineStr">
        <is>
          <t>G9</t>
        </is>
      </c>
      <c r="B3259" s="1" t="n">
        <v>81</v>
      </c>
      <c r="C3259" s="2">
        <f>_xlfn.XLOOKUP(B3259,Results!$B$23:$B$119,Results!$D$23:$D$119)</f>
        <v/>
      </c>
      <c r="D3259" s="1" t="n">
        <v>36</v>
      </c>
      <c r="E3259" s="1" t="inlineStr"/>
      <c r="F3259" s="1" t="inlineStr"/>
      <c r="G3259" s="1" t="inlineStr"/>
    </row>
    <row r="3260">
      <c r="A3260" s="2" t="inlineStr">
        <is>
          <t>G9</t>
        </is>
      </c>
      <c r="B3260" s="2" t="n">
        <v>81</v>
      </c>
      <c r="C3260" s="2">
        <f>_xlfn.XLOOKUP(B3260,Results!$B$23:$B$119,Results!$D$23:$D$119)</f>
        <v/>
      </c>
      <c r="D3260" s="2" t="n">
        <v>37</v>
      </c>
      <c r="E3260" s="2" t="inlineStr"/>
      <c r="F3260" s="2" t="inlineStr"/>
      <c r="G3260" s="2" t="inlineStr"/>
    </row>
    <row r="3261">
      <c r="A3261" s="1" t="inlineStr">
        <is>
          <t>G9</t>
        </is>
      </c>
      <c r="B3261" s="1" t="n">
        <v>81</v>
      </c>
      <c r="C3261" s="2">
        <f>_xlfn.XLOOKUP(B3261,Results!$B$23:$B$119,Results!$D$23:$D$119)</f>
        <v/>
      </c>
      <c r="D3261" s="1" t="n">
        <v>38</v>
      </c>
      <c r="E3261" s="1" t="inlineStr"/>
      <c r="F3261" s="1" t="inlineStr"/>
      <c r="G3261" s="1" t="inlineStr"/>
    </row>
    <row r="3262">
      <c r="A3262" s="2" t="inlineStr">
        <is>
          <t>G9</t>
        </is>
      </c>
      <c r="B3262" s="2" t="n">
        <v>81</v>
      </c>
      <c r="C3262" s="2">
        <f>_xlfn.XLOOKUP(B3262,Results!$B$23:$B$119,Results!$D$23:$D$119)</f>
        <v/>
      </c>
      <c r="D3262" s="2" t="n">
        <v>39</v>
      </c>
      <c r="E3262" s="2" t="inlineStr"/>
      <c r="F3262" s="2" t="inlineStr"/>
      <c r="G3262" s="2" t="inlineStr"/>
    </row>
    <row r="3263">
      <c r="A3263" s="1" t="inlineStr">
        <is>
          <t>G9</t>
        </is>
      </c>
      <c r="B3263" s="1" t="n">
        <v>81</v>
      </c>
      <c r="C3263" s="2">
        <f>_xlfn.XLOOKUP(B3263,Results!$B$23:$B$119,Results!$D$23:$D$119)</f>
        <v/>
      </c>
      <c r="D3263" s="1" t="n">
        <v>40</v>
      </c>
      <c r="E3263" s="1" t="inlineStr"/>
      <c r="F3263" s="1" t="inlineStr"/>
      <c r="G3263" s="1" t="inlineStr"/>
    </row>
    <row r="3264">
      <c r="A3264" s="2" t="inlineStr">
        <is>
          <t>G10</t>
        </is>
      </c>
      <c r="B3264" s="2" t="n">
        <v>82</v>
      </c>
      <c r="C3264" s="2">
        <f>_xlfn.XLOOKUP(B3264,Results!$B$23:$B$119,Results!$D$23:$D$119)</f>
        <v/>
      </c>
      <c r="D3264" s="2" t="n">
        <v>1</v>
      </c>
      <c r="E3264" s="2" t="inlineStr"/>
      <c r="F3264" s="2" t="inlineStr"/>
      <c r="G3264" s="2" t="inlineStr"/>
    </row>
    <row r="3265">
      <c r="A3265" s="1" t="inlineStr">
        <is>
          <t>G10</t>
        </is>
      </c>
      <c r="B3265" s="1" t="n">
        <v>82</v>
      </c>
      <c r="C3265" s="2">
        <f>_xlfn.XLOOKUP(B3265,Results!$B$23:$B$119,Results!$D$23:$D$119)</f>
        <v/>
      </c>
      <c r="D3265" s="1" t="n">
        <v>2</v>
      </c>
      <c r="E3265" s="1" t="inlineStr"/>
      <c r="F3265" s="1" t="inlineStr"/>
      <c r="G3265" s="1" t="inlineStr"/>
    </row>
    <row r="3266">
      <c r="A3266" s="2" t="inlineStr">
        <is>
          <t>G10</t>
        </is>
      </c>
      <c r="B3266" s="2" t="n">
        <v>82</v>
      </c>
      <c r="C3266" s="2">
        <f>_xlfn.XLOOKUP(B3266,Results!$B$23:$B$119,Results!$D$23:$D$119)</f>
        <v/>
      </c>
      <c r="D3266" s="2" t="n">
        <v>3</v>
      </c>
      <c r="E3266" s="2" t="inlineStr"/>
      <c r="F3266" s="2" t="inlineStr"/>
      <c r="G3266" s="2" t="inlineStr"/>
    </row>
    <row r="3267">
      <c r="A3267" s="1" t="inlineStr">
        <is>
          <t>G10</t>
        </is>
      </c>
      <c r="B3267" s="1" t="n">
        <v>82</v>
      </c>
      <c r="C3267" s="2">
        <f>_xlfn.XLOOKUP(B3267,Results!$B$23:$B$119,Results!$D$23:$D$119)</f>
        <v/>
      </c>
      <c r="D3267" s="1" t="n">
        <v>4</v>
      </c>
      <c r="E3267" s="1" t="inlineStr"/>
      <c r="F3267" s="1" t="inlineStr"/>
      <c r="G3267" s="1" t="inlineStr"/>
    </row>
    <row r="3268">
      <c r="A3268" s="2" t="inlineStr">
        <is>
          <t>G10</t>
        </is>
      </c>
      <c r="B3268" s="2" t="n">
        <v>82</v>
      </c>
      <c r="C3268" s="2">
        <f>_xlfn.XLOOKUP(B3268,Results!$B$23:$B$119,Results!$D$23:$D$119)</f>
        <v/>
      </c>
      <c r="D3268" s="2" t="n">
        <v>5</v>
      </c>
      <c r="E3268" s="2" t="inlineStr"/>
      <c r="F3268" s="2" t="inlineStr"/>
      <c r="G3268" s="2" t="inlineStr"/>
    </row>
    <row r="3269">
      <c r="A3269" s="1" t="inlineStr">
        <is>
          <t>G10</t>
        </is>
      </c>
      <c r="B3269" s="1" t="n">
        <v>82</v>
      </c>
      <c r="C3269" s="2">
        <f>_xlfn.XLOOKUP(B3269,Results!$B$23:$B$119,Results!$D$23:$D$119)</f>
        <v/>
      </c>
      <c r="D3269" s="1" t="n">
        <v>6</v>
      </c>
      <c r="E3269" s="1" t="inlineStr"/>
      <c r="F3269" s="1" t="inlineStr"/>
      <c r="G3269" s="1" t="inlineStr"/>
    </row>
    <row r="3270">
      <c r="A3270" s="2" t="inlineStr">
        <is>
          <t>G10</t>
        </is>
      </c>
      <c r="B3270" s="2" t="n">
        <v>82</v>
      </c>
      <c r="C3270" s="2">
        <f>_xlfn.XLOOKUP(B3270,Results!$B$23:$B$119,Results!$D$23:$D$119)</f>
        <v/>
      </c>
      <c r="D3270" s="2" t="n">
        <v>7</v>
      </c>
      <c r="E3270" s="2" t="inlineStr"/>
      <c r="F3270" s="2" t="inlineStr"/>
      <c r="G3270" s="2" t="inlineStr"/>
    </row>
    <row r="3271">
      <c r="A3271" s="1" t="inlineStr">
        <is>
          <t>G10</t>
        </is>
      </c>
      <c r="B3271" s="1" t="n">
        <v>82</v>
      </c>
      <c r="C3271" s="2">
        <f>_xlfn.XLOOKUP(B3271,Results!$B$23:$B$119,Results!$D$23:$D$119)</f>
        <v/>
      </c>
      <c r="D3271" s="1" t="n">
        <v>8</v>
      </c>
      <c r="E3271" s="1" t="inlineStr"/>
      <c r="F3271" s="1" t="inlineStr"/>
      <c r="G3271" s="1" t="inlineStr"/>
    </row>
    <row r="3272">
      <c r="A3272" s="2" t="inlineStr">
        <is>
          <t>G10</t>
        </is>
      </c>
      <c r="B3272" s="2" t="n">
        <v>82</v>
      </c>
      <c r="C3272" s="2">
        <f>_xlfn.XLOOKUP(B3272,Results!$B$23:$B$119,Results!$D$23:$D$119)</f>
        <v/>
      </c>
      <c r="D3272" s="2" t="n">
        <v>9</v>
      </c>
      <c r="E3272" s="2" t="inlineStr"/>
      <c r="F3272" s="2" t="inlineStr"/>
      <c r="G3272" s="2" t="inlineStr"/>
    </row>
    <row r="3273">
      <c r="A3273" s="1" t="inlineStr">
        <is>
          <t>G10</t>
        </is>
      </c>
      <c r="B3273" s="1" t="n">
        <v>82</v>
      </c>
      <c r="C3273" s="2">
        <f>_xlfn.XLOOKUP(B3273,Results!$B$23:$B$119,Results!$D$23:$D$119)</f>
        <v/>
      </c>
      <c r="D3273" s="1" t="n">
        <v>10</v>
      </c>
      <c r="E3273" s="1" t="inlineStr"/>
      <c r="F3273" s="1" t="inlineStr"/>
      <c r="G3273" s="1" t="inlineStr"/>
    </row>
    <row r="3274">
      <c r="A3274" s="2" t="inlineStr">
        <is>
          <t>G10</t>
        </is>
      </c>
      <c r="B3274" s="2" t="n">
        <v>82</v>
      </c>
      <c r="C3274" s="2">
        <f>_xlfn.XLOOKUP(B3274,Results!$B$23:$B$119,Results!$D$23:$D$119)</f>
        <v/>
      </c>
      <c r="D3274" s="2" t="n">
        <v>11</v>
      </c>
      <c r="E3274" s="2" t="inlineStr"/>
      <c r="F3274" s="2" t="inlineStr"/>
      <c r="G3274" s="2" t="inlineStr"/>
    </row>
    <row r="3275">
      <c r="A3275" s="1" t="inlineStr">
        <is>
          <t>G10</t>
        </is>
      </c>
      <c r="B3275" s="1" t="n">
        <v>82</v>
      </c>
      <c r="C3275" s="2">
        <f>_xlfn.XLOOKUP(B3275,Results!$B$23:$B$119,Results!$D$23:$D$119)</f>
        <v/>
      </c>
      <c r="D3275" s="1" t="n">
        <v>12</v>
      </c>
      <c r="E3275" s="1" t="inlineStr"/>
      <c r="F3275" s="1" t="inlineStr"/>
      <c r="G3275" s="1" t="inlineStr"/>
    </row>
    <row r="3276">
      <c r="A3276" s="2" t="inlineStr">
        <is>
          <t>G10</t>
        </is>
      </c>
      <c r="B3276" s="2" t="n">
        <v>82</v>
      </c>
      <c r="C3276" s="2">
        <f>_xlfn.XLOOKUP(B3276,Results!$B$23:$B$119,Results!$D$23:$D$119)</f>
        <v/>
      </c>
      <c r="D3276" s="2" t="n">
        <v>13</v>
      </c>
      <c r="E3276" s="2" t="inlineStr"/>
      <c r="F3276" s="2" t="inlineStr"/>
      <c r="G3276" s="2" t="inlineStr"/>
    </row>
    <row r="3277">
      <c r="A3277" s="1" t="inlineStr">
        <is>
          <t>G10</t>
        </is>
      </c>
      <c r="B3277" s="1" t="n">
        <v>82</v>
      </c>
      <c r="C3277" s="2">
        <f>_xlfn.XLOOKUP(B3277,Results!$B$23:$B$119,Results!$D$23:$D$119)</f>
        <v/>
      </c>
      <c r="D3277" s="1" t="n">
        <v>14</v>
      </c>
      <c r="E3277" s="1" t="inlineStr"/>
      <c r="F3277" s="1" t="inlineStr"/>
      <c r="G3277" s="1" t="inlineStr"/>
    </row>
    <row r="3278">
      <c r="A3278" s="2" t="inlineStr">
        <is>
          <t>G10</t>
        </is>
      </c>
      <c r="B3278" s="2" t="n">
        <v>82</v>
      </c>
      <c r="C3278" s="2">
        <f>_xlfn.XLOOKUP(B3278,Results!$B$23:$B$119,Results!$D$23:$D$119)</f>
        <v/>
      </c>
      <c r="D3278" s="2" t="n">
        <v>15</v>
      </c>
      <c r="E3278" s="2" t="inlineStr"/>
      <c r="F3278" s="2" t="inlineStr"/>
      <c r="G3278" s="2" t="inlineStr"/>
    </row>
    <row r="3279">
      <c r="A3279" s="1" t="inlineStr">
        <is>
          <t>G10</t>
        </is>
      </c>
      <c r="B3279" s="1" t="n">
        <v>82</v>
      </c>
      <c r="C3279" s="2">
        <f>_xlfn.XLOOKUP(B3279,Results!$B$23:$B$119,Results!$D$23:$D$119)</f>
        <v/>
      </c>
      <c r="D3279" s="1" t="n">
        <v>16</v>
      </c>
      <c r="E3279" s="1" t="inlineStr"/>
      <c r="F3279" s="1" t="inlineStr"/>
      <c r="G3279" s="1" t="inlineStr"/>
    </row>
    <row r="3280">
      <c r="A3280" s="2" t="inlineStr">
        <is>
          <t>G10</t>
        </is>
      </c>
      <c r="B3280" s="2" t="n">
        <v>82</v>
      </c>
      <c r="C3280" s="2">
        <f>_xlfn.XLOOKUP(B3280,Results!$B$23:$B$119,Results!$D$23:$D$119)</f>
        <v/>
      </c>
      <c r="D3280" s="2" t="n">
        <v>17</v>
      </c>
      <c r="E3280" s="2" t="inlineStr"/>
      <c r="F3280" s="2" t="inlineStr"/>
      <c r="G3280" s="2" t="inlineStr"/>
    </row>
    <row r="3281">
      <c r="A3281" s="1" t="inlineStr">
        <is>
          <t>G10</t>
        </is>
      </c>
      <c r="B3281" s="1" t="n">
        <v>82</v>
      </c>
      <c r="C3281" s="2">
        <f>_xlfn.XLOOKUP(B3281,Results!$B$23:$B$119,Results!$D$23:$D$119)</f>
        <v/>
      </c>
      <c r="D3281" s="1" t="n">
        <v>18</v>
      </c>
      <c r="E3281" s="1" t="inlineStr"/>
      <c r="F3281" s="1" t="inlineStr"/>
      <c r="G3281" s="1" t="inlineStr"/>
    </row>
    <row r="3282">
      <c r="A3282" s="2" t="inlineStr">
        <is>
          <t>G10</t>
        </is>
      </c>
      <c r="B3282" s="2" t="n">
        <v>82</v>
      </c>
      <c r="C3282" s="2">
        <f>_xlfn.XLOOKUP(B3282,Results!$B$23:$B$119,Results!$D$23:$D$119)</f>
        <v/>
      </c>
      <c r="D3282" s="2" t="n">
        <v>19</v>
      </c>
      <c r="E3282" s="2" t="inlineStr"/>
      <c r="F3282" s="2" t="inlineStr"/>
      <c r="G3282" s="2" t="inlineStr"/>
    </row>
    <row r="3283">
      <c r="A3283" s="1" t="inlineStr">
        <is>
          <t>G10</t>
        </is>
      </c>
      <c r="B3283" s="1" t="n">
        <v>82</v>
      </c>
      <c r="C3283" s="2">
        <f>_xlfn.XLOOKUP(B3283,Results!$B$23:$B$119,Results!$D$23:$D$119)</f>
        <v/>
      </c>
      <c r="D3283" s="1" t="n">
        <v>20</v>
      </c>
      <c r="E3283" s="1" t="inlineStr"/>
      <c r="F3283" s="1" t="inlineStr"/>
      <c r="G3283" s="1" t="inlineStr"/>
    </row>
    <row r="3284">
      <c r="A3284" s="2" t="inlineStr">
        <is>
          <t>G10</t>
        </is>
      </c>
      <c r="B3284" s="2" t="n">
        <v>82</v>
      </c>
      <c r="C3284" s="2">
        <f>_xlfn.XLOOKUP(B3284,Results!$B$23:$B$119,Results!$D$23:$D$119)</f>
        <v/>
      </c>
      <c r="D3284" s="2" t="n">
        <v>21</v>
      </c>
      <c r="E3284" s="2" t="inlineStr"/>
      <c r="F3284" s="2" t="inlineStr"/>
      <c r="G3284" s="2" t="inlineStr"/>
    </row>
    <row r="3285">
      <c r="A3285" s="1" t="inlineStr">
        <is>
          <t>G10</t>
        </is>
      </c>
      <c r="B3285" s="1" t="n">
        <v>82</v>
      </c>
      <c r="C3285" s="2">
        <f>_xlfn.XLOOKUP(B3285,Results!$B$23:$B$119,Results!$D$23:$D$119)</f>
        <v/>
      </c>
      <c r="D3285" s="1" t="n">
        <v>22</v>
      </c>
      <c r="E3285" s="1" t="inlineStr"/>
      <c r="F3285" s="1" t="inlineStr"/>
      <c r="G3285" s="1" t="inlineStr"/>
    </row>
    <row r="3286">
      <c r="A3286" s="2" t="inlineStr">
        <is>
          <t>G10</t>
        </is>
      </c>
      <c r="B3286" s="2" t="n">
        <v>82</v>
      </c>
      <c r="C3286" s="2">
        <f>_xlfn.XLOOKUP(B3286,Results!$B$23:$B$119,Results!$D$23:$D$119)</f>
        <v/>
      </c>
      <c r="D3286" s="2" t="n">
        <v>23</v>
      </c>
      <c r="E3286" s="2" t="inlineStr"/>
      <c r="F3286" s="2" t="inlineStr"/>
      <c r="G3286" s="2" t="inlineStr"/>
    </row>
    <row r="3287">
      <c r="A3287" s="1" t="inlineStr">
        <is>
          <t>G10</t>
        </is>
      </c>
      <c r="B3287" s="1" t="n">
        <v>82</v>
      </c>
      <c r="C3287" s="2">
        <f>_xlfn.XLOOKUP(B3287,Results!$B$23:$B$119,Results!$D$23:$D$119)</f>
        <v/>
      </c>
      <c r="D3287" s="1" t="n">
        <v>24</v>
      </c>
      <c r="E3287" s="1" t="inlineStr"/>
      <c r="F3287" s="1" t="inlineStr"/>
      <c r="G3287" s="1" t="inlineStr"/>
    </row>
    <row r="3288">
      <c r="A3288" s="2" t="inlineStr">
        <is>
          <t>G10</t>
        </is>
      </c>
      <c r="B3288" s="2" t="n">
        <v>82</v>
      </c>
      <c r="C3288" s="2">
        <f>_xlfn.XLOOKUP(B3288,Results!$B$23:$B$119,Results!$D$23:$D$119)</f>
        <v/>
      </c>
      <c r="D3288" s="2" t="n">
        <v>25</v>
      </c>
      <c r="E3288" s="2" t="inlineStr"/>
      <c r="F3288" s="2" t="inlineStr"/>
      <c r="G3288" s="2" t="inlineStr"/>
    </row>
    <row r="3289">
      <c r="A3289" s="1" t="inlineStr">
        <is>
          <t>G10</t>
        </is>
      </c>
      <c r="B3289" s="1" t="n">
        <v>82</v>
      </c>
      <c r="C3289" s="2">
        <f>_xlfn.XLOOKUP(B3289,Results!$B$23:$B$119,Results!$D$23:$D$119)</f>
        <v/>
      </c>
      <c r="D3289" s="1" t="n">
        <v>26</v>
      </c>
      <c r="E3289" s="1" t="inlineStr"/>
      <c r="F3289" s="1" t="inlineStr"/>
      <c r="G3289" s="1" t="inlineStr"/>
    </row>
    <row r="3290">
      <c r="A3290" s="2" t="inlineStr">
        <is>
          <t>G10</t>
        </is>
      </c>
      <c r="B3290" s="2" t="n">
        <v>82</v>
      </c>
      <c r="C3290" s="2">
        <f>_xlfn.XLOOKUP(B3290,Results!$B$23:$B$119,Results!$D$23:$D$119)</f>
        <v/>
      </c>
      <c r="D3290" s="2" t="n">
        <v>27</v>
      </c>
      <c r="E3290" s="2" t="inlineStr"/>
      <c r="F3290" s="2" t="inlineStr"/>
      <c r="G3290" s="2" t="inlineStr"/>
    </row>
    <row r="3291">
      <c r="A3291" s="1" t="inlineStr">
        <is>
          <t>G10</t>
        </is>
      </c>
      <c r="B3291" s="1" t="n">
        <v>82</v>
      </c>
      <c r="C3291" s="2">
        <f>_xlfn.XLOOKUP(B3291,Results!$B$23:$B$119,Results!$D$23:$D$119)</f>
        <v/>
      </c>
      <c r="D3291" s="1" t="n">
        <v>28</v>
      </c>
      <c r="E3291" s="1" t="inlineStr"/>
      <c r="F3291" s="1" t="inlineStr"/>
      <c r="G3291" s="1" t="inlineStr"/>
    </row>
    <row r="3292">
      <c r="A3292" s="2" t="inlineStr">
        <is>
          <t>G10</t>
        </is>
      </c>
      <c r="B3292" s="2" t="n">
        <v>82</v>
      </c>
      <c r="C3292" s="2">
        <f>_xlfn.XLOOKUP(B3292,Results!$B$23:$B$119,Results!$D$23:$D$119)</f>
        <v/>
      </c>
      <c r="D3292" s="2" t="n">
        <v>29</v>
      </c>
      <c r="E3292" s="2" t="inlineStr"/>
      <c r="F3292" s="2" t="inlineStr"/>
      <c r="G3292" s="2" t="inlineStr"/>
    </row>
    <row r="3293">
      <c r="A3293" s="1" t="inlineStr">
        <is>
          <t>G10</t>
        </is>
      </c>
      <c r="B3293" s="1" t="n">
        <v>82</v>
      </c>
      <c r="C3293" s="2">
        <f>_xlfn.XLOOKUP(B3293,Results!$B$23:$B$119,Results!$D$23:$D$119)</f>
        <v/>
      </c>
      <c r="D3293" s="1" t="n">
        <v>30</v>
      </c>
      <c r="E3293" s="1" t="inlineStr"/>
      <c r="F3293" s="1" t="inlineStr"/>
      <c r="G3293" s="1" t="inlineStr"/>
    </row>
    <row r="3294">
      <c r="A3294" s="2" t="inlineStr">
        <is>
          <t>G10</t>
        </is>
      </c>
      <c r="B3294" s="2" t="n">
        <v>82</v>
      </c>
      <c r="C3294" s="2">
        <f>_xlfn.XLOOKUP(B3294,Results!$B$23:$B$119,Results!$D$23:$D$119)</f>
        <v/>
      </c>
      <c r="D3294" s="2" t="n">
        <v>31</v>
      </c>
      <c r="E3294" s="2" t="inlineStr"/>
      <c r="F3294" s="2" t="inlineStr"/>
      <c r="G3294" s="2" t="inlineStr"/>
    </row>
    <row r="3295">
      <c r="A3295" s="1" t="inlineStr">
        <is>
          <t>G10</t>
        </is>
      </c>
      <c r="B3295" s="1" t="n">
        <v>82</v>
      </c>
      <c r="C3295" s="2">
        <f>_xlfn.XLOOKUP(B3295,Results!$B$23:$B$119,Results!$D$23:$D$119)</f>
        <v/>
      </c>
      <c r="D3295" s="1" t="n">
        <v>32</v>
      </c>
      <c r="E3295" s="1" t="inlineStr"/>
      <c r="F3295" s="1" t="inlineStr"/>
      <c r="G3295" s="1" t="inlineStr"/>
    </row>
    <row r="3296">
      <c r="A3296" s="2" t="inlineStr">
        <is>
          <t>G10</t>
        </is>
      </c>
      <c r="B3296" s="2" t="n">
        <v>82</v>
      </c>
      <c r="C3296" s="2">
        <f>_xlfn.XLOOKUP(B3296,Results!$B$23:$B$119,Results!$D$23:$D$119)</f>
        <v/>
      </c>
      <c r="D3296" s="2" t="n">
        <v>33</v>
      </c>
      <c r="E3296" s="2" t="inlineStr"/>
      <c r="F3296" s="2" t="inlineStr"/>
      <c r="G3296" s="2" t="inlineStr"/>
    </row>
    <row r="3297">
      <c r="A3297" s="1" t="inlineStr">
        <is>
          <t>G10</t>
        </is>
      </c>
      <c r="B3297" s="1" t="n">
        <v>82</v>
      </c>
      <c r="C3297" s="2">
        <f>_xlfn.XLOOKUP(B3297,Results!$B$23:$B$119,Results!$D$23:$D$119)</f>
        <v/>
      </c>
      <c r="D3297" s="1" t="n">
        <v>34</v>
      </c>
      <c r="E3297" s="1" t="inlineStr"/>
      <c r="F3297" s="1" t="inlineStr"/>
      <c r="G3297" s="1" t="inlineStr"/>
    </row>
    <row r="3298">
      <c r="A3298" s="2" t="inlineStr">
        <is>
          <t>G10</t>
        </is>
      </c>
      <c r="B3298" s="2" t="n">
        <v>82</v>
      </c>
      <c r="C3298" s="2">
        <f>_xlfn.XLOOKUP(B3298,Results!$B$23:$B$119,Results!$D$23:$D$119)</f>
        <v/>
      </c>
      <c r="D3298" s="2" t="n">
        <v>35</v>
      </c>
      <c r="E3298" s="2" t="inlineStr"/>
      <c r="F3298" s="2" t="inlineStr"/>
      <c r="G3298" s="2" t="inlineStr"/>
    </row>
    <row r="3299">
      <c r="A3299" s="1" t="inlineStr">
        <is>
          <t>G10</t>
        </is>
      </c>
      <c r="B3299" s="1" t="n">
        <v>82</v>
      </c>
      <c r="C3299" s="2">
        <f>_xlfn.XLOOKUP(B3299,Results!$B$23:$B$119,Results!$D$23:$D$119)</f>
        <v/>
      </c>
      <c r="D3299" s="1" t="n">
        <v>36</v>
      </c>
      <c r="E3299" s="1" t="inlineStr"/>
      <c r="F3299" s="1" t="inlineStr"/>
      <c r="G3299" s="1" t="inlineStr"/>
    </row>
    <row r="3300">
      <c r="A3300" s="2" t="inlineStr">
        <is>
          <t>G10</t>
        </is>
      </c>
      <c r="B3300" s="2" t="n">
        <v>82</v>
      </c>
      <c r="C3300" s="2">
        <f>_xlfn.XLOOKUP(B3300,Results!$B$23:$B$119,Results!$D$23:$D$119)</f>
        <v/>
      </c>
      <c r="D3300" s="2" t="n">
        <v>37</v>
      </c>
      <c r="E3300" s="2" t="inlineStr"/>
      <c r="F3300" s="2" t="inlineStr"/>
      <c r="G3300" s="2" t="inlineStr"/>
    </row>
    <row r="3301">
      <c r="A3301" s="1" t="inlineStr">
        <is>
          <t>G10</t>
        </is>
      </c>
      <c r="B3301" s="1" t="n">
        <v>82</v>
      </c>
      <c r="C3301" s="2">
        <f>_xlfn.XLOOKUP(B3301,Results!$B$23:$B$119,Results!$D$23:$D$119)</f>
        <v/>
      </c>
      <c r="D3301" s="1" t="n">
        <v>38</v>
      </c>
      <c r="E3301" s="1" t="inlineStr"/>
      <c r="F3301" s="1" t="inlineStr"/>
      <c r="G3301" s="1" t="inlineStr"/>
    </row>
    <row r="3302">
      <c r="A3302" s="2" t="inlineStr">
        <is>
          <t>G10</t>
        </is>
      </c>
      <c r="B3302" s="2" t="n">
        <v>82</v>
      </c>
      <c r="C3302" s="2">
        <f>_xlfn.XLOOKUP(B3302,Results!$B$23:$B$119,Results!$D$23:$D$119)</f>
        <v/>
      </c>
      <c r="D3302" s="2" t="n">
        <v>39</v>
      </c>
      <c r="E3302" s="2" t="inlineStr"/>
      <c r="F3302" s="2" t="inlineStr"/>
      <c r="G3302" s="2" t="inlineStr"/>
    </row>
    <row r="3303">
      <c r="A3303" s="1" t="inlineStr">
        <is>
          <t>G10</t>
        </is>
      </c>
      <c r="B3303" s="1" t="n">
        <v>82</v>
      </c>
      <c r="C3303" s="2">
        <f>_xlfn.XLOOKUP(B3303,Results!$B$23:$B$119,Results!$D$23:$D$119)</f>
        <v/>
      </c>
      <c r="D3303" s="1" t="n">
        <v>40</v>
      </c>
      <c r="E3303" s="1" t="inlineStr"/>
      <c r="F3303" s="1" t="inlineStr"/>
      <c r="G3303" s="1" t="inlineStr"/>
    </row>
    <row r="3304">
      <c r="A3304" s="2" t="inlineStr">
        <is>
          <t>G11</t>
        </is>
      </c>
      <c r="B3304" s="2" t="n">
        <v>83</v>
      </c>
      <c r="C3304" s="2">
        <f>_xlfn.XLOOKUP(B3304,Results!$B$23:$B$119,Results!$D$23:$D$119)</f>
        <v/>
      </c>
      <c r="D3304" s="2" t="n">
        <v>1</v>
      </c>
      <c r="E3304" s="2" t="inlineStr"/>
      <c r="F3304" s="2" t="inlineStr"/>
      <c r="G3304" s="2" t="inlineStr"/>
    </row>
    <row r="3305">
      <c r="A3305" s="1" t="inlineStr">
        <is>
          <t>G11</t>
        </is>
      </c>
      <c r="B3305" s="1" t="n">
        <v>83</v>
      </c>
      <c r="C3305" s="2">
        <f>_xlfn.XLOOKUP(B3305,Results!$B$23:$B$119,Results!$D$23:$D$119)</f>
        <v/>
      </c>
      <c r="D3305" s="1" t="n">
        <v>2</v>
      </c>
      <c r="E3305" s="1" t="inlineStr"/>
      <c r="F3305" s="1" t="inlineStr"/>
      <c r="G3305" s="1" t="inlineStr"/>
    </row>
    <row r="3306">
      <c r="A3306" s="2" t="inlineStr">
        <is>
          <t>G11</t>
        </is>
      </c>
      <c r="B3306" s="2" t="n">
        <v>83</v>
      </c>
      <c r="C3306" s="2">
        <f>_xlfn.XLOOKUP(B3306,Results!$B$23:$B$119,Results!$D$23:$D$119)</f>
        <v/>
      </c>
      <c r="D3306" s="2" t="n">
        <v>3</v>
      </c>
      <c r="E3306" s="2" t="inlineStr"/>
      <c r="F3306" s="2" t="inlineStr"/>
      <c r="G3306" s="2" t="inlineStr"/>
    </row>
    <row r="3307">
      <c r="A3307" s="1" t="inlineStr">
        <is>
          <t>G11</t>
        </is>
      </c>
      <c r="B3307" s="1" t="n">
        <v>83</v>
      </c>
      <c r="C3307" s="2">
        <f>_xlfn.XLOOKUP(B3307,Results!$B$23:$B$119,Results!$D$23:$D$119)</f>
        <v/>
      </c>
      <c r="D3307" s="1" t="n">
        <v>4</v>
      </c>
      <c r="E3307" s="1" t="inlineStr"/>
      <c r="F3307" s="1" t="inlineStr"/>
      <c r="G3307" s="1" t="inlineStr"/>
    </row>
    <row r="3308">
      <c r="A3308" s="2" t="inlineStr">
        <is>
          <t>G11</t>
        </is>
      </c>
      <c r="B3308" s="2" t="n">
        <v>83</v>
      </c>
      <c r="C3308" s="2">
        <f>_xlfn.XLOOKUP(B3308,Results!$B$23:$B$119,Results!$D$23:$D$119)</f>
        <v/>
      </c>
      <c r="D3308" s="2" t="n">
        <v>5</v>
      </c>
      <c r="E3308" s="2" t="inlineStr"/>
      <c r="F3308" s="2" t="inlineStr"/>
      <c r="G3308" s="2" t="inlineStr"/>
    </row>
    <row r="3309">
      <c r="A3309" s="1" t="inlineStr">
        <is>
          <t>G11</t>
        </is>
      </c>
      <c r="B3309" s="1" t="n">
        <v>83</v>
      </c>
      <c r="C3309" s="2">
        <f>_xlfn.XLOOKUP(B3309,Results!$B$23:$B$119,Results!$D$23:$D$119)</f>
        <v/>
      </c>
      <c r="D3309" s="1" t="n">
        <v>6</v>
      </c>
      <c r="E3309" s="1" t="inlineStr"/>
      <c r="F3309" s="1" t="inlineStr"/>
      <c r="G3309" s="1" t="inlineStr"/>
    </row>
    <row r="3310">
      <c r="A3310" s="2" t="inlineStr">
        <is>
          <t>G11</t>
        </is>
      </c>
      <c r="B3310" s="2" t="n">
        <v>83</v>
      </c>
      <c r="C3310" s="2">
        <f>_xlfn.XLOOKUP(B3310,Results!$B$23:$B$119,Results!$D$23:$D$119)</f>
        <v/>
      </c>
      <c r="D3310" s="2" t="n">
        <v>7</v>
      </c>
      <c r="E3310" s="2" t="inlineStr"/>
      <c r="F3310" s="2" t="inlineStr"/>
      <c r="G3310" s="2" t="inlineStr"/>
    </row>
    <row r="3311">
      <c r="A3311" s="1" t="inlineStr">
        <is>
          <t>G11</t>
        </is>
      </c>
      <c r="B3311" s="1" t="n">
        <v>83</v>
      </c>
      <c r="C3311" s="2">
        <f>_xlfn.XLOOKUP(B3311,Results!$B$23:$B$119,Results!$D$23:$D$119)</f>
        <v/>
      </c>
      <c r="D3311" s="1" t="n">
        <v>8</v>
      </c>
      <c r="E3311" s="1" t="inlineStr"/>
      <c r="F3311" s="1" t="inlineStr"/>
      <c r="G3311" s="1" t="inlineStr"/>
    </row>
    <row r="3312">
      <c r="A3312" s="2" t="inlineStr">
        <is>
          <t>G11</t>
        </is>
      </c>
      <c r="B3312" s="2" t="n">
        <v>83</v>
      </c>
      <c r="C3312" s="2">
        <f>_xlfn.XLOOKUP(B3312,Results!$B$23:$B$119,Results!$D$23:$D$119)</f>
        <v/>
      </c>
      <c r="D3312" s="2" t="n">
        <v>9</v>
      </c>
      <c r="E3312" s="2" t="inlineStr"/>
      <c r="F3312" s="2" t="inlineStr"/>
      <c r="G3312" s="2" t="inlineStr"/>
    </row>
    <row r="3313">
      <c r="A3313" s="1" t="inlineStr">
        <is>
          <t>G11</t>
        </is>
      </c>
      <c r="B3313" s="1" t="n">
        <v>83</v>
      </c>
      <c r="C3313" s="2">
        <f>_xlfn.XLOOKUP(B3313,Results!$B$23:$B$119,Results!$D$23:$D$119)</f>
        <v/>
      </c>
      <c r="D3313" s="1" t="n">
        <v>10</v>
      </c>
      <c r="E3313" s="1" t="inlineStr"/>
      <c r="F3313" s="1" t="inlineStr"/>
      <c r="G3313" s="1" t="inlineStr"/>
    </row>
    <row r="3314">
      <c r="A3314" s="2" t="inlineStr">
        <is>
          <t>G11</t>
        </is>
      </c>
      <c r="B3314" s="2" t="n">
        <v>83</v>
      </c>
      <c r="C3314" s="2">
        <f>_xlfn.XLOOKUP(B3314,Results!$B$23:$B$119,Results!$D$23:$D$119)</f>
        <v/>
      </c>
      <c r="D3314" s="2" t="n">
        <v>11</v>
      </c>
      <c r="E3314" s="2" t="inlineStr"/>
      <c r="F3314" s="2" t="inlineStr"/>
      <c r="G3314" s="2" t="inlineStr"/>
    </row>
    <row r="3315">
      <c r="A3315" s="1" t="inlineStr">
        <is>
          <t>G11</t>
        </is>
      </c>
      <c r="B3315" s="1" t="n">
        <v>83</v>
      </c>
      <c r="C3315" s="2">
        <f>_xlfn.XLOOKUP(B3315,Results!$B$23:$B$119,Results!$D$23:$D$119)</f>
        <v/>
      </c>
      <c r="D3315" s="1" t="n">
        <v>12</v>
      </c>
      <c r="E3315" s="1" t="inlineStr"/>
      <c r="F3315" s="1" t="inlineStr"/>
      <c r="G3315" s="1" t="inlineStr"/>
    </row>
    <row r="3316">
      <c r="A3316" s="2" t="inlineStr">
        <is>
          <t>G11</t>
        </is>
      </c>
      <c r="B3316" s="2" t="n">
        <v>83</v>
      </c>
      <c r="C3316" s="2">
        <f>_xlfn.XLOOKUP(B3316,Results!$B$23:$B$119,Results!$D$23:$D$119)</f>
        <v/>
      </c>
      <c r="D3316" s="2" t="n">
        <v>13</v>
      </c>
      <c r="E3316" s="2" t="inlineStr"/>
      <c r="F3316" s="2" t="inlineStr"/>
      <c r="G3316" s="2" t="inlineStr"/>
    </row>
    <row r="3317">
      <c r="A3317" s="1" t="inlineStr">
        <is>
          <t>G11</t>
        </is>
      </c>
      <c r="B3317" s="1" t="n">
        <v>83</v>
      </c>
      <c r="C3317" s="2">
        <f>_xlfn.XLOOKUP(B3317,Results!$B$23:$B$119,Results!$D$23:$D$119)</f>
        <v/>
      </c>
      <c r="D3317" s="1" t="n">
        <v>14</v>
      </c>
      <c r="E3317" s="1" t="inlineStr"/>
      <c r="F3317" s="1" t="inlineStr"/>
      <c r="G3317" s="1" t="inlineStr"/>
    </row>
    <row r="3318">
      <c r="A3318" s="2" t="inlineStr">
        <is>
          <t>G11</t>
        </is>
      </c>
      <c r="B3318" s="2" t="n">
        <v>83</v>
      </c>
      <c r="C3318" s="2">
        <f>_xlfn.XLOOKUP(B3318,Results!$B$23:$B$119,Results!$D$23:$D$119)</f>
        <v/>
      </c>
      <c r="D3318" s="2" t="n">
        <v>15</v>
      </c>
      <c r="E3318" s="2" t="inlineStr"/>
      <c r="F3318" s="2" t="inlineStr"/>
      <c r="G3318" s="2" t="inlineStr"/>
    </row>
    <row r="3319">
      <c r="A3319" s="1" t="inlineStr">
        <is>
          <t>G11</t>
        </is>
      </c>
      <c r="B3319" s="1" t="n">
        <v>83</v>
      </c>
      <c r="C3319" s="2">
        <f>_xlfn.XLOOKUP(B3319,Results!$B$23:$B$119,Results!$D$23:$D$119)</f>
        <v/>
      </c>
      <c r="D3319" s="1" t="n">
        <v>16</v>
      </c>
      <c r="E3319" s="1" t="inlineStr"/>
      <c r="F3319" s="1" t="inlineStr"/>
      <c r="G3319" s="1" t="inlineStr"/>
    </row>
    <row r="3320">
      <c r="A3320" s="2" t="inlineStr">
        <is>
          <t>G11</t>
        </is>
      </c>
      <c r="B3320" s="2" t="n">
        <v>83</v>
      </c>
      <c r="C3320" s="2">
        <f>_xlfn.XLOOKUP(B3320,Results!$B$23:$B$119,Results!$D$23:$D$119)</f>
        <v/>
      </c>
      <c r="D3320" s="2" t="n">
        <v>17</v>
      </c>
      <c r="E3320" s="2" t="inlineStr"/>
      <c r="F3320" s="2" t="inlineStr"/>
      <c r="G3320" s="2" t="inlineStr"/>
    </row>
    <row r="3321">
      <c r="A3321" s="1" t="inlineStr">
        <is>
          <t>G11</t>
        </is>
      </c>
      <c r="B3321" s="1" t="n">
        <v>83</v>
      </c>
      <c r="C3321" s="2">
        <f>_xlfn.XLOOKUP(B3321,Results!$B$23:$B$119,Results!$D$23:$D$119)</f>
        <v/>
      </c>
      <c r="D3321" s="1" t="n">
        <v>18</v>
      </c>
      <c r="E3321" s="1" t="inlineStr"/>
      <c r="F3321" s="1" t="inlineStr"/>
      <c r="G3321" s="1" t="inlineStr"/>
    </row>
    <row r="3322">
      <c r="A3322" s="2" t="inlineStr">
        <is>
          <t>G11</t>
        </is>
      </c>
      <c r="B3322" s="2" t="n">
        <v>83</v>
      </c>
      <c r="C3322" s="2">
        <f>_xlfn.XLOOKUP(B3322,Results!$B$23:$B$119,Results!$D$23:$D$119)</f>
        <v/>
      </c>
      <c r="D3322" s="2" t="n">
        <v>19</v>
      </c>
      <c r="E3322" s="2" t="inlineStr"/>
      <c r="F3322" s="2" t="inlineStr"/>
      <c r="G3322" s="2" t="inlineStr"/>
    </row>
    <row r="3323">
      <c r="A3323" s="1" t="inlineStr">
        <is>
          <t>G11</t>
        </is>
      </c>
      <c r="B3323" s="1" t="n">
        <v>83</v>
      </c>
      <c r="C3323" s="2">
        <f>_xlfn.XLOOKUP(B3323,Results!$B$23:$B$119,Results!$D$23:$D$119)</f>
        <v/>
      </c>
      <c r="D3323" s="1" t="n">
        <v>20</v>
      </c>
      <c r="E3323" s="1" t="inlineStr"/>
      <c r="F3323" s="1" t="inlineStr"/>
      <c r="G3323" s="1" t="inlineStr"/>
    </row>
    <row r="3324">
      <c r="A3324" s="2" t="inlineStr">
        <is>
          <t>G11</t>
        </is>
      </c>
      <c r="B3324" s="2" t="n">
        <v>83</v>
      </c>
      <c r="C3324" s="2">
        <f>_xlfn.XLOOKUP(B3324,Results!$B$23:$B$119,Results!$D$23:$D$119)</f>
        <v/>
      </c>
      <c r="D3324" s="2" t="n">
        <v>21</v>
      </c>
      <c r="E3324" s="2" t="inlineStr"/>
      <c r="F3324" s="2" t="inlineStr"/>
      <c r="G3324" s="2" t="inlineStr"/>
    </row>
    <row r="3325">
      <c r="A3325" s="1" t="inlineStr">
        <is>
          <t>G11</t>
        </is>
      </c>
      <c r="B3325" s="1" t="n">
        <v>83</v>
      </c>
      <c r="C3325" s="2">
        <f>_xlfn.XLOOKUP(B3325,Results!$B$23:$B$119,Results!$D$23:$D$119)</f>
        <v/>
      </c>
      <c r="D3325" s="1" t="n">
        <v>22</v>
      </c>
      <c r="E3325" s="1" t="inlineStr"/>
      <c r="F3325" s="1" t="inlineStr"/>
      <c r="G3325" s="1" t="inlineStr"/>
    </row>
    <row r="3326">
      <c r="A3326" s="2" t="inlineStr">
        <is>
          <t>G11</t>
        </is>
      </c>
      <c r="B3326" s="2" t="n">
        <v>83</v>
      </c>
      <c r="C3326" s="2">
        <f>_xlfn.XLOOKUP(B3326,Results!$B$23:$B$119,Results!$D$23:$D$119)</f>
        <v/>
      </c>
      <c r="D3326" s="2" t="n">
        <v>23</v>
      </c>
      <c r="E3326" s="2" t="inlineStr"/>
      <c r="F3326" s="2" t="inlineStr"/>
      <c r="G3326" s="2" t="inlineStr"/>
    </row>
    <row r="3327">
      <c r="A3327" s="1" t="inlineStr">
        <is>
          <t>G11</t>
        </is>
      </c>
      <c r="B3327" s="1" t="n">
        <v>83</v>
      </c>
      <c r="C3327" s="2">
        <f>_xlfn.XLOOKUP(B3327,Results!$B$23:$B$119,Results!$D$23:$D$119)</f>
        <v/>
      </c>
      <c r="D3327" s="1" t="n">
        <v>24</v>
      </c>
      <c r="E3327" s="1" t="inlineStr"/>
      <c r="F3327" s="1" t="inlineStr"/>
      <c r="G3327" s="1" t="inlineStr"/>
    </row>
    <row r="3328">
      <c r="A3328" s="2" t="inlineStr">
        <is>
          <t>G11</t>
        </is>
      </c>
      <c r="B3328" s="2" t="n">
        <v>83</v>
      </c>
      <c r="C3328" s="2">
        <f>_xlfn.XLOOKUP(B3328,Results!$B$23:$B$119,Results!$D$23:$D$119)</f>
        <v/>
      </c>
      <c r="D3328" s="2" t="n">
        <v>25</v>
      </c>
      <c r="E3328" s="2" t="inlineStr"/>
      <c r="F3328" s="2" t="inlineStr"/>
      <c r="G3328" s="2" t="inlineStr"/>
    </row>
    <row r="3329">
      <c r="A3329" s="1" t="inlineStr">
        <is>
          <t>G11</t>
        </is>
      </c>
      <c r="B3329" s="1" t="n">
        <v>83</v>
      </c>
      <c r="C3329" s="2">
        <f>_xlfn.XLOOKUP(B3329,Results!$B$23:$B$119,Results!$D$23:$D$119)</f>
        <v/>
      </c>
      <c r="D3329" s="1" t="n">
        <v>26</v>
      </c>
      <c r="E3329" s="1" t="inlineStr"/>
      <c r="F3329" s="1" t="inlineStr"/>
      <c r="G3329" s="1" t="inlineStr"/>
    </row>
    <row r="3330">
      <c r="A3330" s="2" t="inlineStr">
        <is>
          <t>G11</t>
        </is>
      </c>
      <c r="B3330" s="2" t="n">
        <v>83</v>
      </c>
      <c r="C3330" s="2">
        <f>_xlfn.XLOOKUP(B3330,Results!$B$23:$B$119,Results!$D$23:$D$119)</f>
        <v/>
      </c>
      <c r="D3330" s="2" t="n">
        <v>27</v>
      </c>
      <c r="E3330" s="2" t="inlineStr"/>
      <c r="F3330" s="2" t="inlineStr"/>
      <c r="G3330" s="2" t="inlineStr"/>
    </row>
    <row r="3331">
      <c r="A3331" s="1" t="inlineStr">
        <is>
          <t>G11</t>
        </is>
      </c>
      <c r="B3331" s="1" t="n">
        <v>83</v>
      </c>
      <c r="C3331" s="2">
        <f>_xlfn.XLOOKUP(B3331,Results!$B$23:$B$119,Results!$D$23:$D$119)</f>
        <v/>
      </c>
      <c r="D3331" s="1" t="n">
        <v>28</v>
      </c>
      <c r="E3331" s="1" t="inlineStr"/>
      <c r="F3331" s="1" t="inlineStr"/>
      <c r="G3331" s="1" t="inlineStr"/>
    </row>
    <row r="3332">
      <c r="A3332" s="2" t="inlineStr">
        <is>
          <t>G11</t>
        </is>
      </c>
      <c r="B3332" s="2" t="n">
        <v>83</v>
      </c>
      <c r="C3332" s="2">
        <f>_xlfn.XLOOKUP(B3332,Results!$B$23:$B$119,Results!$D$23:$D$119)</f>
        <v/>
      </c>
      <c r="D3332" s="2" t="n">
        <v>29</v>
      </c>
      <c r="E3332" s="2" t="inlineStr"/>
      <c r="F3332" s="2" t="inlineStr"/>
      <c r="G3332" s="2" t="inlineStr"/>
    </row>
    <row r="3333">
      <c r="A3333" s="1" t="inlineStr">
        <is>
          <t>G11</t>
        </is>
      </c>
      <c r="B3333" s="1" t="n">
        <v>83</v>
      </c>
      <c r="C3333" s="2">
        <f>_xlfn.XLOOKUP(B3333,Results!$B$23:$B$119,Results!$D$23:$D$119)</f>
        <v/>
      </c>
      <c r="D3333" s="1" t="n">
        <v>30</v>
      </c>
      <c r="E3333" s="1" t="inlineStr"/>
      <c r="F3333" s="1" t="inlineStr"/>
      <c r="G3333" s="1" t="inlineStr"/>
    </row>
    <row r="3334">
      <c r="A3334" s="2" t="inlineStr">
        <is>
          <t>G11</t>
        </is>
      </c>
      <c r="B3334" s="2" t="n">
        <v>83</v>
      </c>
      <c r="C3334" s="2">
        <f>_xlfn.XLOOKUP(B3334,Results!$B$23:$B$119,Results!$D$23:$D$119)</f>
        <v/>
      </c>
      <c r="D3334" s="2" t="n">
        <v>31</v>
      </c>
      <c r="E3334" s="2" t="inlineStr"/>
      <c r="F3334" s="2" t="inlineStr"/>
      <c r="G3334" s="2" t="inlineStr"/>
    </row>
    <row r="3335">
      <c r="A3335" s="1" t="inlineStr">
        <is>
          <t>G11</t>
        </is>
      </c>
      <c r="B3335" s="1" t="n">
        <v>83</v>
      </c>
      <c r="C3335" s="2">
        <f>_xlfn.XLOOKUP(B3335,Results!$B$23:$B$119,Results!$D$23:$D$119)</f>
        <v/>
      </c>
      <c r="D3335" s="1" t="n">
        <v>32</v>
      </c>
      <c r="E3335" s="1" t="inlineStr"/>
      <c r="F3335" s="1" t="inlineStr"/>
      <c r="G3335" s="1" t="inlineStr"/>
    </row>
    <row r="3336">
      <c r="A3336" s="2" t="inlineStr">
        <is>
          <t>G11</t>
        </is>
      </c>
      <c r="B3336" s="2" t="n">
        <v>83</v>
      </c>
      <c r="C3336" s="2">
        <f>_xlfn.XLOOKUP(B3336,Results!$B$23:$B$119,Results!$D$23:$D$119)</f>
        <v/>
      </c>
      <c r="D3336" s="2" t="n">
        <v>33</v>
      </c>
      <c r="E3336" s="2" t="inlineStr"/>
      <c r="F3336" s="2" t="inlineStr"/>
      <c r="G3336" s="2" t="inlineStr"/>
    </row>
    <row r="3337">
      <c r="A3337" s="1" t="inlineStr">
        <is>
          <t>G11</t>
        </is>
      </c>
      <c r="B3337" s="1" t="n">
        <v>83</v>
      </c>
      <c r="C3337" s="2">
        <f>_xlfn.XLOOKUP(B3337,Results!$B$23:$B$119,Results!$D$23:$D$119)</f>
        <v/>
      </c>
      <c r="D3337" s="1" t="n">
        <v>34</v>
      </c>
      <c r="E3337" s="1" t="inlineStr"/>
      <c r="F3337" s="1" t="inlineStr"/>
      <c r="G3337" s="1" t="inlineStr"/>
    </row>
    <row r="3338">
      <c r="A3338" s="2" t="inlineStr">
        <is>
          <t>G11</t>
        </is>
      </c>
      <c r="B3338" s="2" t="n">
        <v>83</v>
      </c>
      <c r="C3338" s="2">
        <f>_xlfn.XLOOKUP(B3338,Results!$B$23:$B$119,Results!$D$23:$D$119)</f>
        <v/>
      </c>
      <c r="D3338" s="2" t="n">
        <v>35</v>
      </c>
      <c r="E3338" s="2" t="inlineStr"/>
      <c r="F3338" s="2" t="inlineStr"/>
      <c r="G3338" s="2" t="inlineStr"/>
    </row>
    <row r="3339">
      <c r="A3339" s="1" t="inlineStr">
        <is>
          <t>G11</t>
        </is>
      </c>
      <c r="B3339" s="1" t="n">
        <v>83</v>
      </c>
      <c r="C3339" s="2">
        <f>_xlfn.XLOOKUP(B3339,Results!$B$23:$B$119,Results!$D$23:$D$119)</f>
        <v/>
      </c>
      <c r="D3339" s="1" t="n">
        <v>36</v>
      </c>
      <c r="E3339" s="1" t="inlineStr"/>
      <c r="F3339" s="1" t="inlineStr"/>
      <c r="G3339" s="1" t="inlineStr"/>
    </row>
    <row r="3340">
      <c r="A3340" s="2" t="inlineStr">
        <is>
          <t>G11</t>
        </is>
      </c>
      <c r="B3340" s="2" t="n">
        <v>83</v>
      </c>
      <c r="C3340" s="2">
        <f>_xlfn.XLOOKUP(B3340,Results!$B$23:$B$119,Results!$D$23:$D$119)</f>
        <v/>
      </c>
      <c r="D3340" s="2" t="n">
        <v>37</v>
      </c>
      <c r="E3340" s="2" t="inlineStr"/>
      <c r="F3340" s="2" t="inlineStr"/>
      <c r="G3340" s="2" t="inlineStr"/>
    </row>
    <row r="3341">
      <c r="A3341" s="1" t="inlineStr">
        <is>
          <t>G11</t>
        </is>
      </c>
      <c r="B3341" s="1" t="n">
        <v>83</v>
      </c>
      <c r="C3341" s="2">
        <f>_xlfn.XLOOKUP(B3341,Results!$B$23:$B$119,Results!$D$23:$D$119)</f>
        <v/>
      </c>
      <c r="D3341" s="1" t="n">
        <v>38</v>
      </c>
      <c r="E3341" s="1" t="inlineStr"/>
      <c r="F3341" s="1" t="inlineStr"/>
      <c r="G3341" s="1" t="inlineStr"/>
    </row>
    <row r="3342">
      <c r="A3342" s="2" t="inlineStr">
        <is>
          <t>G11</t>
        </is>
      </c>
      <c r="B3342" s="2" t="n">
        <v>83</v>
      </c>
      <c r="C3342" s="2">
        <f>_xlfn.XLOOKUP(B3342,Results!$B$23:$B$119,Results!$D$23:$D$119)</f>
        <v/>
      </c>
      <c r="D3342" s="2" t="n">
        <v>39</v>
      </c>
      <c r="E3342" s="2" t="inlineStr"/>
      <c r="F3342" s="2" t="inlineStr"/>
      <c r="G3342" s="2" t="inlineStr"/>
    </row>
    <row r="3343">
      <c r="A3343" s="1" t="inlineStr">
        <is>
          <t>G11</t>
        </is>
      </c>
      <c r="B3343" s="1" t="n">
        <v>83</v>
      </c>
      <c r="C3343" s="2">
        <f>_xlfn.XLOOKUP(B3343,Results!$B$23:$B$119,Results!$D$23:$D$119)</f>
        <v/>
      </c>
      <c r="D3343" s="1" t="n">
        <v>40</v>
      </c>
      <c r="E3343" s="1" t="inlineStr"/>
      <c r="F3343" s="1" t="inlineStr"/>
      <c r="G3343" s="1" t="inlineStr"/>
    </row>
    <row r="3344">
      <c r="A3344" s="2" t="inlineStr">
        <is>
          <t>G12</t>
        </is>
      </c>
      <c r="B3344" s="2" t="n">
        <v>84</v>
      </c>
      <c r="C3344" s="2">
        <f>_xlfn.XLOOKUP(B3344,Results!$B$23:$B$119,Results!$D$23:$D$119)</f>
        <v/>
      </c>
      <c r="D3344" s="2" t="n">
        <v>1</v>
      </c>
      <c r="E3344" s="2" t="inlineStr"/>
      <c r="F3344" s="2" t="inlineStr"/>
      <c r="G3344" s="2" t="inlineStr"/>
    </row>
    <row r="3345">
      <c r="A3345" s="1" t="inlineStr">
        <is>
          <t>G12</t>
        </is>
      </c>
      <c r="B3345" s="1" t="n">
        <v>84</v>
      </c>
      <c r="C3345" s="2">
        <f>_xlfn.XLOOKUP(B3345,Results!$B$23:$B$119,Results!$D$23:$D$119)</f>
        <v/>
      </c>
      <c r="D3345" s="1" t="n">
        <v>2</v>
      </c>
      <c r="E3345" s="1" t="inlineStr"/>
      <c r="F3345" s="1" t="inlineStr"/>
      <c r="G3345" s="1" t="inlineStr"/>
    </row>
    <row r="3346">
      <c r="A3346" s="2" t="inlineStr">
        <is>
          <t>G12</t>
        </is>
      </c>
      <c r="B3346" s="2" t="n">
        <v>84</v>
      </c>
      <c r="C3346" s="2">
        <f>_xlfn.XLOOKUP(B3346,Results!$B$23:$B$119,Results!$D$23:$D$119)</f>
        <v/>
      </c>
      <c r="D3346" s="2" t="n">
        <v>3</v>
      </c>
      <c r="E3346" s="2" t="inlineStr"/>
      <c r="F3346" s="2" t="inlineStr"/>
      <c r="G3346" s="2" t="inlineStr"/>
    </row>
    <row r="3347">
      <c r="A3347" s="1" t="inlineStr">
        <is>
          <t>G12</t>
        </is>
      </c>
      <c r="B3347" s="1" t="n">
        <v>84</v>
      </c>
      <c r="C3347" s="2">
        <f>_xlfn.XLOOKUP(B3347,Results!$B$23:$B$119,Results!$D$23:$D$119)</f>
        <v/>
      </c>
      <c r="D3347" s="1" t="n">
        <v>4</v>
      </c>
      <c r="E3347" s="1" t="inlineStr"/>
      <c r="F3347" s="1" t="inlineStr"/>
      <c r="G3347" s="1" t="inlineStr"/>
    </row>
    <row r="3348">
      <c r="A3348" s="2" t="inlineStr">
        <is>
          <t>G12</t>
        </is>
      </c>
      <c r="B3348" s="2" t="n">
        <v>84</v>
      </c>
      <c r="C3348" s="2">
        <f>_xlfn.XLOOKUP(B3348,Results!$B$23:$B$119,Results!$D$23:$D$119)</f>
        <v/>
      </c>
      <c r="D3348" s="2" t="n">
        <v>5</v>
      </c>
      <c r="E3348" s="2" t="inlineStr"/>
      <c r="F3348" s="2" t="inlineStr"/>
      <c r="G3348" s="2" t="inlineStr"/>
    </row>
    <row r="3349">
      <c r="A3349" s="1" t="inlineStr">
        <is>
          <t>G12</t>
        </is>
      </c>
      <c r="B3349" s="1" t="n">
        <v>84</v>
      </c>
      <c r="C3349" s="2">
        <f>_xlfn.XLOOKUP(B3349,Results!$B$23:$B$119,Results!$D$23:$D$119)</f>
        <v/>
      </c>
      <c r="D3349" s="1" t="n">
        <v>6</v>
      </c>
      <c r="E3349" s="1" t="inlineStr"/>
      <c r="F3349" s="1" t="inlineStr"/>
      <c r="G3349" s="1" t="inlineStr"/>
    </row>
    <row r="3350">
      <c r="A3350" s="2" t="inlineStr">
        <is>
          <t>G12</t>
        </is>
      </c>
      <c r="B3350" s="2" t="n">
        <v>84</v>
      </c>
      <c r="C3350" s="2">
        <f>_xlfn.XLOOKUP(B3350,Results!$B$23:$B$119,Results!$D$23:$D$119)</f>
        <v/>
      </c>
      <c r="D3350" s="2" t="n">
        <v>7</v>
      </c>
      <c r="E3350" s="2" t="inlineStr"/>
      <c r="F3350" s="2" t="inlineStr"/>
      <c r="G3350" s="2" t="inlineStr"/>
    </row>
    <row r="3351">
      <c r="A3351" s="1" t="inlineStr">
        <is>
          <t>G12</t>
        </is>
      </c>
      <c r="B3351" s="1" t="n">
        <v>84</v>
      </c>
      <c r="C3351" s="2">
        <f>_xlfn.XLOOKUP(B3351,Results!$B$23:$B$119,Results!$D$23:$D$119)</f>
        <v/>
      </c>
      <c r="D3351" s="1" t="n">
        <v>8</v>
      </c>
      <c r="E3351" s="1" t="inlineStr"/>
      <c r="F3351" s="1" t="inlineStr"/>
      <c r="G3351" s="1" t="inlineStr"/>
    </row>
    <row r="3352">
      <c r="A3352" s="2" t="inlineStr">
        <is>
          <t>G12</t>
        </is>
      </c>
      <c r="B3352" s="2" t="n">
        <v>84</v>
      </c>
      <c r="C3352" s="2">
        <f>_xlfn.XLOOKUP(B3352,Results!$B$23:$B$119,Results!$D$23:$D$119)</f>
        <v/>
      </c>
      <c r="D3352" s="2" t="n">
        <v>9</v>
      </c>
      <c r="E3352" s="2" t="inlineStr"/>
      <c r="F3352" s="2" t="inlineStr"/>
      <c r="G3352" s="2" t="inlineStr"/>
    </row>
    <row r="3353">
      <c r="A3353" s="1" t="inlineStr">
        <is>
          <t>G12</t>
        </is>
      </c>
      <c r="B3353" s="1" t="n">
        <v>84</v>
      </c>
      <c r="C3353" s="2">
        <f>_xlfn.XLOOKUP(B3353,Results!$B$23:$B$119,Results!$D$23:$D$119)</f>
        <v/>
      </c>
      <c r="D3353" s="1" t="n">
        <v>10</v>
      </c>
      <c r="E3353" s="1" t="inlineStr"/>
      <c r="F3353" s="1" t="inlineStr"/>
      <c r="G3353" s="1" t="inlineStr"/>
    </row>
    <row r="3354">
      <c r="A3354" s="2" t="inlineStr">
        <is>
          <t>G12</t>
        </is>
      </c>
      <c r="B3354" s="2" t="n">
        <v>84</v>
      </c>
      <c r="C3354" s="2">
        <f>_xlfn.XLOOKUP(B3354,Results!$B$23:$B$119,Results!$D$23:$D$119)</f>
        <v/>
      </c>
      <c r="D3354" s="2" t="n">
        <v>11</v>
      </c>
      <c r="E3354" s="2" t="inlineStr"/>
      <c r="F3354" s="2" t="inlineStr"/>
      <c r="G3354" s="2" t="inlineStr"/>
    </row>
    <row r="3355">
      <c r="A3355" s="1" t="inlineStr">
        <is>
          <t>G12</t>
        </is>
      </c>
      <c r="B3355" s="1" t="n">
        <v>84</v>
      </c>
      <c r="C3355" s="2">
        <f>_xlfn.XLOOKUP(B3355,Results!$B$23:$B$119,Results!$D$23:$D$119)</f>
        <v/>
      </c>
      <c r="D3355" s="1" t="n">
        <v>12</v>
      </c>
      <c r="E3355" s="1" t="inlineStr"/>
      <c r="F3355" s="1" t="inlineStr"/>
      <c r="G3355" s="1" t="inlineStr"/>
    </row>
    <row r="3356">
      <c r="A3356" s="2" t="inlineStr">
        <is>
          <t>G12</t>
        </is>
      </c>
      <c r="B3356" s="2" t="n">
        <v>84</v>
      </c>
      <c r="C3356" s="2">
        <f>_xlfn.XLOOKUP(B3356,Results!$B$23:$B$119,Results!$D$23:$D$119)</f>
        <v/>
      </c>
      <c r="D3356" s="2" t="n">
        <v>13</v>
      </c>
      <c r="E3356" s="2" t="inlineStr"/>
      <c r="F3356" s="2" t="inlineStr"/>
      <c r="G3356" s="2" t="inlineStr"/>
    </row>
    <row r="3357">
      <c r="A3357" s="1" t="inlineStr">
        <is>
          <t>G12</t>
        </is>
      </c>
      <c r="B3357" s="1" t="n">
        <v>84</v>
      </c>
      <c r="C3357" s="2">
        <f>_xlfn.XLOOKUP(B3357,Results!$B$23:$B$119,Results!$D$23:$D$119)</f>
        <v/>
      </c>
      <c r="D3357" s="1" t="n">
        <v>14</v>
      </c>
      <c r="E3357" s="1" t="inlineStr"/>
      <c r="F3357" s="1" t="inlineStr"/>
      <c r="G3357" s="1" t="inlineStr"/>
    </row>
    <row r="3358">
      <c r="A3358" s="2" t="inlineStr">
        <is>
          <t>G12</t>
        </is>
      </c>
      <c r="B3358" s="2" t="n">
        <v>84</v>
      </c>
      <c r="C3358" s="2">
        <f>_xlfn.XLOOKUP(B3358,Results!$B$23:$B$119,Results!$D$23:$D$119)</f>
        <v/>
      </c>
      <c r="D3358" s="2" t="n">
        <v>15</v>
      </c>
      <c r="E3358" s="2" t="inlineStr"/>
      <c r="F3358" s="2" t="inlineStr"/>
      <c r="G3358" s="2" t="inlineStr"/>
    </row>
    <row r="3359">
      <c r="A3359" s="1" t="inlineStr">
        <is>
          <t>G12</t>
        </is>
      </c>
      <c r="B3359" s="1" t="n">
        <v>84</v>
      </c>
      <c r="C3359" s="2">
        <f>_xlfn.XLOOKUP(B3359,Results!$B$23:$B$119,Results!$D$23:$D$119)</f>
        <v/>
      </c>
      <c r="D3359" s="1" t="n">
        <v>16</v>
      </c>
      <c r="E3359" s="1" t="inlineStr"/>
      <c r="F3359" s="1" t="inlineStr"/>
      <c r="G3359" s="1" t="inlineStr"/>
    </row>
    <row r="3360">
      <c r="A3360" s="2" t="inlineStr">
        <is>
          <t>G12</t>
        </is>
      </c>
      <c r="B3360" s="2" t="n">
        <v>84</v>
      </c>
      <c r="C3360" s="2">
        <f>_xlfn.XLOOKUP(B3360,Results!$B$23:$B$119,Results!$D$23:$D$119)</f>
        <v/>
      </c>
      <c r="D3360" s="2" t="n">
        <v>17</v>
      </c>
      <c r="E3360" s="2" t="inlineStr"/>
      <c r="F3360" s="2" t="inlineStr"/>
      <c r="G3360" s="2" t="inlineStr"/>
    </row>
    <row r="3361">
      <c r="A3361" s="1" t="inlineStr">
        <is>
          <t>G12</t>
        </is>
      </c>
      <c r="B3361" s="1" t="n">
        <v>84</v>
      </c>
      <c r="C3361" s="2">
        <f>_xlfn.XLOOKUP(B3361,Results!$B$23:$B$119,Results!$D$23:$D$119)</f>
        <v/>
      </c>
      <c r="D3361" s="1" t="n">
        <v>18</v>
      </c>
      <c r="E3361" s="1" t="inlineStr"/>
      <c r="F3361" s="1" t="inlineStr"/>
      <c r="G3361" s="1" t="inlineStr"/>
    </row>
    <row r="3362">
      <c r="A3362" s="2" t="inlineStr">
        <is>
          <t>G12</t>
        </is>
      </c>
      <c r="B3362" s="2" t="n">
        <v>84</v>
      </c>
      <c r="C3362" s="2">
        <f>_xlfn.XLOOKUP(B3362,Results!$B$23:$B$119,Results!$D$23:$D$119)</f>
        <v/>
      </c>
      <c r="D3362" s="2" t="n">
        <v>19</v>
      </c>
      <c r="E3362" s="2" t="inlineStr"/>
      <c r="F3362" s="2" t="inlineStr"/>
      <c r="G3362" s="2" t="inlineStr"/>
    </row>
    <row r="3363">
      <c r="A3363" s="1" t="inlineStr">
        <is>
          <t>G12</t>
        </is>
      </c>
      <c r="B3363" s="1" t="n">
        <v>84</v>
      </c>
      <c r="C3363" s="2">
        <f>_xlfn.XLOOKUP(B3363,Results!$B$23:$B$119,Results!$D$23:$D$119)</f>
        <v/>
      </c>
      <c r="D3363" s="1" t="n">
        <v>20</v>
      </c>
      <c r="E3363" s="1" t="inlineStr"/>
      <c r="F3363" s="1" t="inlineStr"/>
      <c r="G3363" s="1" t="inlineStr"/>
    </row>
    <row r="3364">
      <c r="A3364" s="2" t="inlineStr">
        <is>
          <t>G12</t>
        </is>
      </c>
      <c r="B3364" s="2" t="n">
        <v>84</v>
      </c>
      <c r="C3364" s="2">
        <f>_xlfn.XLOOKUP(B3364,Results!$B$23:$B$119,Results!$D$23:$D$119)</f>
        <v/>
      </c>
      <c r="D3364" s="2" t="n">
        <v>21</v>
      </c>
      <c r="E3364" s="2" t="inlineStr"/>
      <c r="F3364" s="2" t="inlineStr"/>
      <c r="G3364" s="2" t="inlineStr"/>
    </row>
    <row r="3365">
      <c r="A3365" s="1" t="inlineStr">
        <is>
          <t>G12</t>
        </is>
      </c>
      <c r="B3365" s="1" t="n">
        <v>84</v>
      </c>
      <c r="C3365" s="2">
        <f>_xlfn.XLOOKUP(B3365,Results!$B$23:$B$119,Results!$D$23:$D$119)</f>
        <v/>
      </c>
      <c r="D3365" s="1" t="n">
        <v>22</v>
      </c>
      <c r="E3365" s="1" t="inlineStr"/>
      <c r="F3365" s="1" t="inlineStr"/>
      <c r="G3365" s="1" t="inlineStr"/>
    </row>
    <row r="3366">
      <c r="A3366" s="2" t="inlineStr">
        <is>
          <t>G12</t>
        </is>
      </c>
      <c r="B3366" s="2" t="n">
        <v>84</v>
      </c>
      <c r="C3366" s="2">
        <f>_xlfn.XLOOKUP(B3366,Results!$B$23:$B$119,Results!$D$23:$D$119)</f>
        <v/>
      </c>
      <c r="D3366" s="2" t="n">
        <v>23</v>
      </c>
      <c r="E3366" s="2" t="inlineStr"/>
      <c r="F3366" s="2" t="inlineStr"/>
      <c r="G3366" s="2" t="inlineStr"/>
    </row>
    <row r="3367">
      <c r="A3367" s="1" t="inlineStr">
        <is>
          <t>G12</t>
        </is>
      </c>
      <c r="B3367" s="1" t="n">
        <v>84</v>
      </c>
      <c r="C3367" s="2">
        <f>_xlfn.XLOOKUP(B3367,Results!$B$23:$B$119,Results!$D$23:$D$119)</f>
        <v/>
      </c>
      <c r="D3367" s="1" t="n">
        <v>24</v>
      </c>
      <c r="E3367" s="1" t="inlineStr"/>
      <c r="F3367" s="1" t="inlineStr"/>
      <c r="G3367" s="1" t="inlineStr"/>
    </row>
    <row r="3368">
      <c r="A3368" s="2" t="inlineStr">
        <is>
          <t>G12</t>
        </is>
      </c>
      <c r="B3368" s="2" t="n">
        <v>84</v>
      </c>
      <c r="C3368" s="2">
        <f>_xlfn.XLOOKUP(B3368,Results!$B$23:$B$119,Results!$D$23:$D$119)</f>
        <v/>
      </c>
      <c r="D3368" s="2" t="n">
        <v>25</v>
      </c>
      <c r="E3368" s="2" t="inlineStr"/>
      <c r="F3368" s="2" t="inlineStr"/>
      <c r="G3368" s="2" t="inlineStr"/>
    </row>
    <row r="3369">
      <c r="A3369" s="1" t="inlineStr">
        <is>
          <t>G12</t>
        </is>
      </c>
      <c r="B3369" s="1" t="n">
        <v>84</v>
      </c>
      <c r="C3369" s="2">
        <f>_xlfn.XLOOKUP(B3369,Results!$B$23:$B$119,Results!$D$23:$D$119)</f>
        <v/>
      </c>
      <c r="D3369" s="1" t="n">
        <v>26</v>
      </c>
      <c r="E3369" s="1" t="inlineStr"/>
      <c r="F3369" s="1" t="inlineStr"/>
      <c r="G3369" s="1" t="inlineStr"/>
    </row>
    <row r="3370">
      <c r="A3370" s="2" t="inlineStr">
        <is>
          <t>G12</t>
        </is>
      </c>
      <c r="B3370" s="2" t="n">
        <v>84</v>
      </c>
      <c r="C3370" s="2">
        <f>_xlfn.XLOOKUP(B3370,Results!$B$23:$B$119,Results!$D$23:$D$119)</f>
        <v/>
      </c>
      <c r="D3370" s="2" t="n">
        <v>27</v>
      </c>
      <c r="E3370" s="2" t="inlineStr"/>
      <c r="F3370" s="2" t="inlineStr"/>
      <c r="G3370" s="2" t="inlineStr"/>
    </row>
    <row r="3371">
      <c r="A3371" s="1" t="inlineStr">
        <is>
          <t>G12</t>
        </is>
      </c>
      <c r="B3371" s="1" t="n">
        <v>84</v>
      </c>
      <c r="C3371" s="2">
        <f>_xlfn.XLOOKUP(B3371,Results!$B$23:$B$119,Results!$D$23:$D$119)</f>
        <v/>
      </c>
      <c r="D3371" s="1" t="n">
        <v>28</v>
      </c>
      <c r="E3371" s="1" t="inlineStr"/>
      <c r="F3371" s="1" t="inlineStr"/>
      <c r="G3371" s="1" t="inlineStr"/>
    </row>
    <row r="3372">
      <c r="A3372" s="2" t="inlineStr">
        <is>
          <t>G12</t>
        </is>
      </c>
      <c r="B3372" s="2" t="n">
        <v>84</v>
      </c>
      <c r="C3372" s="2">
        <f>_xlfn.XLOOKUP(B3372,Results!$B$23:$B$119,Results!$D$23:$D$119)</f>
        <v/>
      </c>
      <c r="D3372" s="2" t="n">
        <v>29</v>
      </c>
      <c r="E3372" s="2" t="inlineStr"/>
      <c r="F3372" s="2" t="inlineStr"/>
      <c r="G3372" s="2" t="inlineStr"/>
    </row>
    <row r="3373">
      <c r="A3373" s="1" t="inlineStr">
        <is>
          <t>G12</t>
        </is>
      </c>
      <c r="B3373" s="1" t="n">
        <v>84</v>
      </c>
      <c r="C3373" s="2">
        <f>_xlfn.XLOOKUP(B3373,Results!$B$23:$B$119,Results!$D$23:$D$119)</f>
        <v/>
      </c>
      <c r="D3373" s="1" t="n">
        <v>30</v>
      </c>
      <c r="E3373" s="1" t="inlineStr"/>
      <c r="F3373" s="1" t="inlineStr"/>
      <c r="G3373" s="1" t="inlineStr"/>
    </row>
    <row r="3374">
      <c r="A3374" s="2" t="inlineStr">
        <is>
          <t>G12</t>
        </is>
      </c>
      <c r="B3374" s="2" t="n">
        <v>84</v>
      </c>
      <c r="C3374" s="2">
        <f>_xlfn.XLOOKUP(B3374,Results!$B$23:$B$119,Results!$D$23:$D$119)</f>
        <v/>
      </c>
      <c r="D3374" s="2" t="n">
        <v>31</v>
      </c>
      <c r="E3374" s="2" t="inlineStr"/>
      <c r="F3374" s="2" t="inlineStr"/>
      <c r="G3374" s="2" t="inlineStr"/>
    </row>
    <row r="3375">
      <c r="A3375" s="1" t="inlineStr">
        <is>
          <t>G12</t>
        </is>
      </c>
      <c r="B3375" s="1" t="n">
        <v>84</v>
      </c>
      <c r="C3375" s="2">
        <f>_xlfn.XLOOKUP(B3375,Results!$B$23:$B$119,Results!$D$23:$D$119)</f>
        <v/>
      </c>
      <c r="D3375" s="1" t="n">
        <v>32</v>
      </c>
      <c r="E3375" s="1" t="inlineStr"/>
      <c r="F3375" s="1" t="inlineStr"/>
      <c r="G3375" s="1" t="inlineStr"/>
    </row>
    <row r="3376">
      <c r="A3376" s="2" t="inlineStr">
        <is>
          <t>G12</t>
        </is>
      </c>
      <c r="B3376" s="2" t="n">
        <v>84</v>
      </c>
      <c r="C3376" s="2">
        <f>_xlfn.XLOOKUP(B3376,Results!$B$23:$B$119,Results!$D$23:$D$119)</f>
        <v/>
      </c>
      <c r="D3376" s="2" t="n">
        <v>33</v>
      </c>
      <c r="E3376" s="2" t="inlineStr"/>
      <c r="F3376" s="2" t="inlineStr"/>
      <c r="G3376" s="2" t="inlineStr"/>
    </row>
    <row r="3377">
      <c r="A3377" s="1" t="inlineStr">
        <is>
          <t>G12</t>
        </is>
      </c>
      <c r="B3377" s="1" t="n">
        <v>84</v>
      </c>
      <c r="C3377" s="2">
        <f>_xlfn.XLOOKUP(B3377,Results!$B$23:$B$119,Results!$D$23:$D$119)</f>
        <v/>
      </c>
      <c r="D3377" s="1" t="n">
        <v>34</v>
      </c>
      <c r="E3377" s="1" t="inlineStr"/>
      <c r="F3377" s="1" t="inlineStr"/>
      <c r="G3377" s="1" t="inlineStr"/>
    </row>
    <row r="3378">
      <c r="A3378" s="2" t="inlineStr">
        <is>
          <t>G12</t>
        </is>
      </c>
      <c r="B3378" s="2" t="n">
        <v>84</v>
      </c>
      <c r="C3378" s="2">
        <f>_xlfn.XLOOKUP(B3378,Results!$B$23:$B$119,Results!$D$23:$D$119)</f>
        <v/>
      </c>
      <c r="D3378" s="2" t="n">
        <v>35</v>
      </c>
      <c r="E3378" s="2" t="inlineStr"/>
      <c r="F3378" s="2" t="inlineStr"/>
      <c r="G3378" s="2" t="inlineStr"/>
    </row>
    <row r="3379">
      <c r="A3379" s="1" t="inlineStr">
        <is>
          <t>G12</t>
        </is>
      </c>
      <c r="B3379" s="1" t="n">
        <v>84</v>
      </c>
      <c r="C3379" s="2">
        <f>_xlfn.XLOOKUP(B3379,Results!$B$23:$B$119,Results!$D$23:$D$119)</f>
        <v/>
      </c>
      <c r="D3379" s="1" t="n">
        <v>36</v>
      </c>
      <c r="E3379" s="1" t="inlineStr"/>
      <c r="F3379" s="1" t="inlineStr"/>
      <c r="G3379" s="1" t="inlineStr"/>
    </row>
    <row r="3380">
      <c r="A3380" s="2" t="inlineStr">
        <is>
          <t>G12</t>
        </is>
      </c>
      <c r="B3380" s="2" t="n">
        <v>84</v>
      </c>
      <c r="C3380" s="2">
        <f>_xlfn.XLOOKUP(B3380,Results!$B$23:$B$119,Results!$D$23:$D$119)</f>
        <v/>
      </c>
      <c r="D3380" s="2" t="n">
        <v>37</v>
      </c>
      <c r="E3380" s="2" t="inlineStr"/>
      <c r="F3380" s="2" t="inlineStr"/>
      <c r="G3380" s="2" t="inlineStr"/>
    </row>
    <row r="3381">
      <c r="A3381" s="1" t="inlineStr">
        <is>
          <t>G12</t>
        </is>
      </c>
      <c r="B3381" s="1" t="n">
        <v>84</v>
      </c>
      <c r="C3381" s="2">
        <f>_xlfn.XLOOKUP(B3381,Results!$B$23:$B$119,Results!$D$23:$D$119)</f>
        <v/>
      </c>
      <c r="D3381" s="1" t="n">
        <v>38</v>
      </c>
      <c r="E3381" s="1" t="inlineStr"/>
      <c r="F3381" s="1" t="inlineStr"/>
      <c r="G3381" s="1" t="inlineStr"/>
    </row>
    <row r="3382">
      <c r="A3382" s="2" t="inlineStr">
        <is>
          <t>G12</t>
        </is>
      </c>
      <c r="B3382" s="2" t="n">
        <v>84</v>
      </c>
      <c r="C3382" s="2">
        <f>_xlfn.XLOOKUP(B3382,Results!$B$23:$B$119,Results!$D$23:$D$119)</f>
        <v/>
      </c>
      <c r="D3382" s="2" t="n">
        <v>39</v>
      </c>
      <c r="E3382" s="2" t="inlineStr"/>
      <c r="F3382" s="2" t="inlineStr"/>
      <c r="G3382" s="2" t="inlineStr"/>
    </row>
    <row r="3383">
      <c r="A3383" s="1" t="inlineStr">
        <is>
          <t>G12</t>
        </is>
      </c>
      <c r="B3383" s="1" t="n">
        <v>84</v>
      </c>
      <c r="C3383" s="2">
        <f>_xlfn.XLOOKUP(B3383,Results!$B$23:$B$119,Results!$D$23:$D$119)</f>
        <v/>
      </c>
      <c r="D3383" s="1" t="n">
        <v>40</v>
      </c>
      <c r="E3383" s="1" t="inlineStr"/>
      <c r="F3383" s="1" t="inlineStr"/>
      <c r="G3383" s="1" t="inlineStr"/>
    </row>
    <row r="3384">
      <c r="A3384" s="2" t="inlineStr">
        <is>
          <t>H1</t>
        </is>
      </c>
      <c r="B3384" s="2" t="n">
        <v>85</v>
      </c>
      <c r="C3384" s="2">
        <f>_xlfn.XLOOKUP(B3384,Results!$B$23:$B$119,Results!$D$23:$D$119)</f>
        <v/>
      </c>
      <c r="D3384" s="2" t="n">
        <v>1</v>
      </c>
      <c r="E3384" s="2" t="inlineStr"/>
      <c r="F3384" s="2" t="inlineStr"/>
      <c r="G3384" s="2" t="inlineStr"/>
    </row>
    <row r="3385">
      <c r="A3385" s="1" t="inlineStr">
        <is>
          <t>H1</t>
        </is>
      </c>
      <c r="B3385" s="1" t="n">
        <v>85</v>
      </c>
      <c r="C3385" s="2">
        <f>_xlfn.XLOOKUP(B3385,Results!$B$23:$B$119,Results!$D$23:$D$119)</f>
        <v/>
      </c>
      <c r="D3385" s="1" t="n">
        <v>2</v>
      </c>
      <c r="E3385" s="1" t="inlineStr"/>
      <c r="F3385" s="1" t="inlineStr"/>
      <c r="G3385" s="1" t="inlineStr"/>
    </row>
    <row r="3386">
      <c r="A3386" s="2" t="inlineStr">
        <is>
          <t>H1</t>
        </is>
      </c>
      <c r="B3386" s="2" t="n">
        <v>85</v>
      </c>
      <c r="C3386" s="2">
        <f>_xlfn.XLOOKUP(B3386,Results!$B$23:$B$119,Results!$D$23:$D$119)</f>
        <v/>
      </c>
      <c r="D3386" s="2" t="n">
        <v>3</v>
      </c>
      <c r="E3386" s="2" t="inlineStr"/>
      <c r="F3386" s="2" t="inlineStr"/>
      <c r="G3386" s="2" t="inlineStr"/>
    </row>
    <row r="3387">
      <c r="A3387" s="1" t="inlineStr">
        <is>
          <t>H1</t>
        </is>
      </c>
      <c r="B3387" s="1" t="n">
        <v>85</v>
      </c>
      <c r="C3387" s="2">
        <f>_xlfn.XLOOKUP(B3387,Results!$B$23:$B$119,Results!$D$23:$D$119)</f>
        <v/>
      </c>
      <c r="D3387" s="1" t="n">
        <v>4</v>
      </c>
      <c r="E3387" s="1" t="inlineStr"/>
      <c r="F3387" s="1" t="inlineStr"/>
      <c r="G3387" s="1" t="inlineStr"/>
    </row>
    <row r="3388">
      <c r="A3388" s="2" t="inlineStr">
        <is>
          <t>H1</t>
        </is>
      </c>
      <c r="B3388" s="2" t="n">
        <v>85</v>
      </c>
      <c r="C3388" s="2">
        <f>_xlfn.XLOOKUP(B3388,Results!$B$23:$B$119,Results!$D$23:$D$119)</f>
        <v/>
      </c>
      <c r="D3388" s="2" t="n">
        <v>5</v>
      </c>
      <c r="E3388" s="2" t="inlineStr"/>
      <c r="F3388" s="2" t="inlineStr"/>
      <c r="G3388" s="2" t="inlineStr"/>
    </row>
    <row r="3389">
      <c r="A3389" s="1" t="inlineStr">
        <is>
          <t>H1</t>
        </is>
      </c>
      <c r="B3389" s="1" t="n">
        <v>85</v>
      </c>
      <c r="C3389" s="2">
        <f>_xlfn.XLOOKUP(B3389,Results!$B$23:$B$119,Results!$D$23:$D$119)</f>
        <v/>
      </c>
      <c r="D3389" s="1" t="n">
        <v>6</v>
      </c>
      <c r="E3389" s="1" t="inlineStr"/>
      <c r="F3389" s="1" t="inlineStr"/>
      <c r="G3389" s="1" t="inlineStr"/>
    </row>
    <row r="3390">
      <c r="A3390" s="2" t="inlineStr">
        <is>
          <t>H1</t>
        </is>
      </c>
      <c r="B3390" s="2" t="n">
        <v>85</v>
      </c>
      <c r="C3390" s="2">
        <f>_xlfn.XLOOKUP(B3390,Results!$B$23:$B$119,Results!$D$23:$D$119)</f>
        <v/>
      </c>
      <c r="D3390" s="2" t="n">
        <v>7</v>
      </c>
      <c r="E3390" s="2" t="inlineStr"/>
      <c r="F3390" s="2" t="inlineStr"/>
      <c r="G3390" s="2" t="inlineStr"/>
    </row>
    <row r="3391">
      <c r="A3391" s="1" t="inlineStr">
        <is>
          <t>H1</t>
        </is>
      </c>
      <c r="B3391" s="1" t="n">
        <v>85</v>
      </c>
      <c r="C3391" s="2">
        <f>_xlfn.XLOOKUP(B3391,Results!$B$23:$B$119,Results!$D$23:$D$119)</f>
        <v/>
      </c>
      <c r="D3391" s="1" t="n">
        <v>8</v>
      </c>
      <c r="E3391" s="1" t="inlineStr"/>
      <c r="F3391" s="1" t="inlineStr"/>
      <c r="G3391" s="1" t="inlineStr"/>
    </row>
    <row r="3392">
      <c r="A3392" s="2" t="inlineStr">
        <is>
          <t>H1</t>
        </is>
      </c>
      <c r="B3392" s="2" t="n">
        <v>85</v>
      </c>
      <c r="C3392" s="2">
        <f>_xlfn.XLOOKUP(B3392,Results!$B$23:$B$119,Results!$D$23:$D$119)</f>
        <v/>
      </c>
      <c r="D3392" s="2" t="n">
        <v>9</v>
      </c>
      <c r="E3392" s="2" t="inlineStr"/>
      <c r="F3392" s="2" t="inlineStr"/>
      <c r="G3392" s="2" t="inlineStr"/>
    </row>
    <row r="3393">
      <c r="A3393" s="1" t="inlineStr">
        <is>
          <t>H1</t>
        </is>
      </c>
      <c r="B3393" s="1" t="n">
        <v>85</v>
      </c>
      <c r="C3393" s="2">
        <f>_xlfn.XLOOKUP(B3393,Results!$B$23:$B$119,Results!$D$23:$D$119)</f>
        <v/>
      </c>
      <c r="D3393" s="1" t="n">
        <v>10</v>
      </c>
      <c r="E3393" s="1" t="inlineStr"/>
      <c r="F3393" s="1" t="inlineStr"/>
      <c r="G3393" s="1" t="inlineStr"/>
    </row>
    <row r="3394">
      <c r="A3394" s="2" t="inlineStr">
        <is>
          <t>H1</t>
        </is>
      </c>
      <c r="B3394" s="2" t="n">
        <v>85</v>
      </c>
      <c r="C3394" s="2">
        <f>_xlfn.XLOOKUP(B3394,Results!$B$23:$B$119,Results!$D$23:$D$119)</f>
        <v/>
      </c>
      <c r="D3394" s="2" t="n">
        <v>11</v>
      </c>
      <c r="E3394" s="2" t="inlineStr"/>
      <c r="F3394" s="2" t="inlineStr"/>
      <c r="G3394" s="2" t="inlineStr"/>
    </row>
    <row r="3395">
      <c r="A3395" s="1" t="inlineStr">
        <is>
          <t>H1</t>
        </is>
      </c>
      <c r="B3395" s="1" t="n">
        <v>85</v>
      </c>
      <c r="C3395" s="2">
        <f>_xlfn.XLOOKUP(B3395,Results!$B$23:$B$119,Results!$D$23:$D$119)</f>
        <v/>
      </c>
      <c r="D3395" s="1" t="n">
        <v>12</v>
      </c>
      <c r="E3395" s="1" t="inlineStr"/>
      <c r="F3395" s="1" t="inlineStr"/>
      <c r="G3395" s="1" t="inlineStr"/>
    </row>
    <row r="3396">
      <c r="A3396" s="2" t="inlineStr">
        <is>
          <t>H1</t>
        </is>
      </c>
      <c r="B3396" s="2" t="n">
        <v>85</v>
      </c>
      <c r="C3396" s="2">
        <f>_xlfn.XLOOKUP(B3396,Results!$B$23:$B$119,Results!$D$23:$D$119)</f>
        <v/>
      </c>
      <c r="D3396" s="2" t="n">
        <v>13</v>
      </c>
      <c r="E3396" s="2" t="inlineStr"/>
      <c r="F3396" s="2" t="inlineStr"/>
      <c r="G3396" s="2" t="inlineStr"/>
    </row>
    <row r="3397">
      <c r="A3397" s="1" t="inlineStr">
        <is>
          <t>H1</t>
        </is>
      </c>
      <c r="B3397" s="1" t="n">
        <v>85</v>
      </c>
      <c r="C3397" s="2">
        <f>_xlfn.XLOOKUP(B3397,Results!$B$23:$B$119,Results!$D$23:$D$119)</f>
        <v/>
      </c>
      <c r="D3397" s="1" t="n">
        <v>14</v>
      </c>
      <c r="E3397" s="1" t="inlineStr"/>
      <c r="F3397" s="1" t="inlineStr"/>
      <c r="G3397" s="1" t="inlineStr"/>
    </row>
    <row r="3398">
      <c r="A3398" s="2" t="inlineStr">
        <is>
          <t>H1</t>
        </is>
      </c>
      <c r="B3398" s="2" t="n">
        <v>85</v>
      </c>
      <c r="C3398" s="2">
        <f>_xlfn.XLOOKUP(B3398,Results!$B$23:$B$119,Results!$D$23:$D$119)</f>
        <v/>
      </c>
      <c r="D3398" s="2" t="n">
        <v>15</v>
      </c>
      <c r="E3398" s="2" t="inlineStr"/>
      <c r="F3398" s="2" t="inlineStr"/>
      <c r="G3398" s="2" t="inlineStr"/>
    </row>
    <row r="3399">
      <c r="A3399" s="1" t="inlineStr">
        <is>
          <t>H1</t>
        </is>
      </c>
      <c r="B3399" s="1" t="n">
        <v>85</v>
      </c>
      <c r="C3399" s="2">
        <f>_xlfn.XLOOKUP(B3399,Results!$B$23:$B$119,Results!$D$23:$D$119)</f>
        <v/>
      </c>
      <c r="D3399" s="1" t="n">
        <v>16</v>
      </c>
      <c r="E3399" s="1" t="inlineStr"/>
      <c r="F3399" s="1" t="inlineStr"/>
      <c r="G3399" s="1" t="inlineStr"/>
    </row>
    <row r="3400">
      <c r="A3400" s="2" t="inlineStr">
        <is>
          <t>H1</t>
        </is>
      </c>
      <c r="B3400" s="2" t="n">
        <v>85</v>
      </c>
      <c r="C3400" s="2">
        <f>_xlfn.XLOOKUP(B3400,Results!$B$23:$B$119,Results!$D$23:$D$119)</f>
        <v/>
      </c>
      <c r="D3400" s="2" t="n">
        <v>17</v>
      </c>
      <c r="E3400" s="2" t="inlineStr"/>
      <c r="F3400" s="2" t="inlineStr"/>
      <c r="G3400" s="2" t="inlineStr"/>
    </row>
    <row r="3401">
      <c r="A3401" s="1" t="inlineStr">
        <is>
          <t>H1</t>
        </is>
      </c>
      <c r="B3401" s="1" t="n">
        <v>85</v>
      </c>
      <c r="C3401" s="2">
        <f>_xlfn.XLOOKUP(B3401,Results!$B$23:$B$119,Results!$D$23:$D$119)</f>
        <v/>
      </c>
      <c r="D3401" s="1" t="n">
        <v>18</v>
      </c>
      <c r="E3401" s="1" t="inlineStr"/>
      <c r="F3401" s="1" t="inlineStr"/>
      <c r="G3401" s="1" t="inlineStr"/>
    </row>
    <row r="3402">
      <c r="A3402" s="2" t="inlineStr">
        <is>
          <t>H1</t>
        </is>
      </c>
      <c r="B3402" s="2" t="n">
        <v>85</v>
      </c>
      <c r="C3402" s="2">
        <f>_xlfn.XLOOKUP(B3402,Results!$B$23:$B$119,Results!$D$23:$D$119)</f>
        <v/>
      </c>
      <c r="D3402" s="2" t="n">
        <v>19</v>
      </c>
      <c r="E3402" s="2" t="inlineStr"/>
      <c r="F3402" s="2" t="inlineStr"/>
      <c r="G3402" s="2" t="inlineStr"/>
    </row>
    <row r="3403">
      <c r="A3403" s="1" t="inlineStr">
        <is>
          <t>H1</t>
        </is>
      </c>
      <c r="B3403" s="1" t="n">
        <v>85</v>
      </c>
      <c r="C3403" s="2">
        <f>_xlfn.XLOOKUP(B3403,Results!$B$23:$B$119,Results!$D$23:$D$119)</f>
        <v/>
      </c>
      <c r="D3403" s="1" t="n">
        <v>20</v>
      </c>
      <c r="E3403" s="1" t="inlineStr"/>
      <c r="F3403" s="1" t="inlineStr"/>
      <c r="G3403" s="1" t="inlineStr"/>
    </row>
    <row r="3404">
      <c r="A3404" s="2" t="inlineStr">
        <is>
          <t>H1</t>
        </is>
      </c>
      <c r="B3404" s="2" t="n">
        <v>85</v>
      </c>
      <c r="C3404" s="2">
        <f>_xlfn.XLOOKUP(B3404,Results!$B$23:$B$119,Results!$D$23:$D$119)</f>
        <v/>
      </c>
      <c r="D3404" s="2" t="n">
        <v>21</v>
      </c>
      <c r="E3404" s="2" t="inlineStr"/>
      <c r="F3404" s="2" t="inlineStr"/>
      <c r="G3404" s="2" t="inlineStr"/>
    </row>
    <row r="3405">
      <c r="A3405" s="1" t="inlineStr">
        <is>
          <t>H1</t>
        </is>
      </c>
      <c r="B3405" s="1" t="n">
        <v>85</v>
      </c>
      <c r="C3405" s="2">
        <f>_xlfn.XLOOKUP(B3405,Results!$B$23:$B$119,Results!$D$23:$D$119)</f>
        <v/>
      </c>
      <c r="D3405" s="1" t="n">
        <v>22</v>
      </c>
      <c r="E3405" s="1" t="inlineStr"/>
      <c r="F3405" s="1" t="inlineStr"/>
      <c r="G3405" s="1" t="inlineStr"/>
    </row>
    <row r="3406">
      <c r="A3406" s="2" t="inlineStr">
        <is>
          <t>H1</t>
        </is>
      </c>
      <c r="B3406" s="2" t="n">
        <v>85</v>
      </c>
      <c r="C3406" s="2">
        <f>_xlfn.XLOOKUP(B3406,Results!$B$23:$B$119,Results!$D$23:$D$119)</f>
        <v/>
      </c>
      <c r="D3406" s="2" t="n">
        <v>23</v>
      </c>
      <c r="E3406" s="2" t="inlineStr"/>
      <c r="F3406" s="2" t="inlineStr"/>
      <c r="G3406" s="2" t="inlineStr"/>
    </row>
    <row r="3407">
      <c r="A3407" s="1" t="inlineStr">
        <is>
          <t>H1</t>
        </is>
      </c>
      <c r="B3407" s="1" t="n">
        <v>85</v>
      </c>
      <c r="C3407" s="2">
        <f>_xlfn.XLOOKUP(B3407,Results!$B$23:$B$119,Results!$D$23:$D$119)</f>
        <v/>
      </c>
      <c r="D3407" s="1" t="n">
        <v>24</v>
      </c>
      <c r="E3407" s="1" t="inlineStr"/>
      <c r="F3407" s="1" t="inlineStr"/>
      <c r="G3407" s="1" t="inlineStr"/>
    </row>
    <row r="3408">
      <c r="A3408" s="2" t="inlineStr">
        <is>
          <t>H1</t>
        </is>
      </c>
      <c r="B3408" s="2" t="n">
        <v>85</v>
      </c>
      <c r="C3408" s="2">
        <f>_xlfn.XLOOKUP(B3408,Results!$B$23:$B$119,Results!$D$23:$D$119)</f>
        <v/>
      </c>
      <c r="D3408" s="2" t="n">
        <v>25</v>
      </c>
      <c r="E3408" s="2" t="inlineStr"/>
      <c r="F3408" s="2" t="inlineStr"/>
      <c r="G3408" s="2" t="inlineStr"/>
    </row>
    <row r="3409">
      <c r="A3409" s="1" t="inlineStr">
        <is>
          <t>H1</t>
        </is>
      </c>
      <c r="B3409" s="1" t="n">
        <v>85</v>
      </c>
      <c r="C3409" s="2">
        <f>_xlfn.XLOOKUP(B3409,Results!$B$23:$B$119,Results!$D$23:$D$119)</f>
        <v/>
      </c>
      <c r="D3409" s="1" t="n">
        <v>26</v>
      </c>
      <c r="E3409" s="1" t="inlineStr"/>
      <c r="F3409" s="1" t="inlineStr"/>
      <c r="G3409" s="1" t="inlineStr"/>
    </row>
    <row r="3410">
      <c r="A3410" s="2" t="inlineStr">
        <is>
          <t>H1</t>
        </is>
      </c>
      <c r="B3410" s="2" t="n">
        <v>85</v>
      </c>
      <c r="C3410" s="2">
        <f>_xlfn.XLOOKUP(B3410,Results!$B$23:$B$119,Results!$D$23:$D$119)</f>
        <v/>
      </c>
      <c r="D3410" s="2" t="n">
        <v>27</v>
      </c>
      <c r="E3410" s="2" t="inlineStr"/>
      <c r="F3410" s="2" t="inlineStr"/>
      <c r="G3410" s="2" t="inlineStr"/>
    </row>
    <row r="3411">
      <c r="A3411" s="1" t="inlineStr">
        <is>
          <t>H1</t>
        </is>
      </c>
      <c r="B3411" s="1" t="n">
        <v>85</v>
      </c>
      <c r="C3411" s="2">
        <f>_xlfn.XLOOKUP(B3411,Results!$B$23:$B$119,Results!$D$23:$D$119)</f>
        <v/>
      </c>
      <c r="D3411" s="1" t="n">
        <v>28</v>
      </c>
      <c r="E3411" s="1" t="inlineStr"/>
      <c r="F3411" s="1" t="inlineStr"/>
      <c r="G3411" s="1" t="inlineStr"/>
    </row>
    <row r="3412">
      <c r="A3412" s="2" t="inlineStr">
        <is>
          <t>H1</t>
        </is>
      </c>
      <c r="B3412" s="2" t="n">
        <v>85</v>
      </c>
      <c r="C3412" s="2">
        <f>_xlfn.XLOOKUP(B3412,Results!$B$23:$B$119,Results!$D$23:$D$119)</f>
        <v/>
      </c>
      <c r="D3412" s="2" t="n">
        <v>29</v>
      </c>
      <c r="E3412" s="2" t="inlineStr"/>
      <c r="F3412" s="2" t="inlineStr"/>
      <c r="G3412" s="2" t="inlineStr"/>
    </row>
    <row r="3413">
      <c r="A3413" s="1" t="inlineStr">
        <is>
          <t>H1</t>
        </is>
      </c>
      <c r="B3413" s="1" t="n">
        <v>85</v>
      </c>
      <c r="C3413" s="2">
        <f>_xlfn.XLOOKUP(B3413,Results!$B$23:$B$119,Results!$D$23:$D$119)</f>
        <v/>
      </c>
      <c r="D3413" s="1" t="n">
        <v>30</v>
      </c>
      <c r="E3413" s="1" t="inlineStr"/>
      <c r="F3413" s="1" t="inlineStr"/>
      <c r="G3413" s="1" t="inlineStr"/>
    </row>
    <row r="3414">
      <c r="A3414" s="2" t="inlineStr">
        <is>
          <t>H1</t>
        </is>
      </c>
      <c r="B3414" s="2" t="n">
        <v>85</v>
      </c>
      <c r="C3414" s="2">
        <f>_xlfn.XLOOKUP(B3414,Results!$B$23:$B$119,Results!$D$23:$D$119)</f>
        <v/>
      </c>
      <c r="D3414" s="2" t="n">
        <v>31</v>
      </c>
      <c r="E3414" s="2" t="inlineStr"/>
      <c r="F3414" s="2" t="inlineStr"/>
      <c r="G3414" s="2" t="inlineStr"/>
    </row>
    <row r="3415">
      <c r="A3415" s="1" t="inlineStr">
        <is>
          <t>H1</t>
        </is>
      </c>
      <c r="B3415" s="1" t="n">
        <v>85</v>
      </c>
      <c r="C3415" s="2">
        <f>_xlfn.XLOOKUP(B3415,Results!$B$23:$B$119,Results!$D$23:$D$119)</f>
        <v/>
      </c>
      <c r="D3415" s="1" t="n">
        <v>32</v>
      </c>
      <c r="E3415" s="1" t="inlineStr"/>
      <c r="F3415" s="1" t="inlineStr"/>
      <c r="G3415" s="1" t="inlineStr"/>
    </row>
    <row r="3416">
      <c r="A3416" s="2" t="inlineStr">
        <is>
          <t>H1</t>
        </is>
      </c>
      <c r="B3416" s="2" t="n">
        <v>85</v>
      </c>
      <c r="C3416" s="2">
        <f>_xlfn.XLOOKUP(B3416,Results!$B$23:$B$119,Results!$D$23:$D$119)</f>
        <v/>
      </c>
      <c r="D3416" s="2" t="n">
        <v>33</v>
      </c>
      <c r="E3416" s="2" t="inlineStr"/>
      <c r="F3416" s="2" t="inlineStr"/>
      <c r="G3416" s="2" t="inlineStr"/>
    </row>
    <row r="3417">
      <c r="A3417" s="1" t="inlineStr">
        <is>
          <t>H1</t>
        </is>
      </c>
      <c r="B3417" s="1" t="n">
        <v>85</v>
      </c>
      <c r="C3417" s="2">
        <f>_xlfn.XLOOKUP(B3417,Results!$B$23:$B$119,Results!$D$23:$D$119)</f>
        <v/>
      </c>
      <c r="D3417" s="1" t="n">
        <v>34</v>
      </c>
      <c r="E3417" s="1" t="inlineStr"/>
      <c r="F3417" s="1" t="inlineStr"/>
      <c r="G3417" s="1" t="inlineStr"/>
    </row>
    <row r="3418">
      <c r="A3418" s="2" t="inlineStr">
        <is>
          <t>H1</t>
        </is>
      </c>
      <c r="B3418" s="2" t="n">
        <v>85</v>
      </c>
      <c r="C3418" s="2">
        <f>_xlfn.XLOOKUP(B3418,Results!$B$23:$B$119,Results!$D$23:$D$119)</f>
        <v/>
      </c>
      <c r="D3418" s="2" t="n">
        <v>35</v>
      </c>
      <c r="E3418" s="2" t="inlineStr"/>
      <c r="F3418" s="2" t="inlineStr"/>
      <c r="G3418" s="2" t="inlineStr"/>
    </row>
    <row r="3419">
      <c r="A3419" s="1" t="inlineStr">
        <is>
          <t>H1</t>
        </is>
      </c>
      <c r="B3419" s="1" t="n">
        <v>85</v>
      </c>
      <c r="C3419" s="2">
        <f>_xlfn.XLOOKUP(B3419,Results!$B$23:$B$119,Results!$D$23:$D$119)</f>
        <v/>
      </c>
      <c r="D3419" s="1" t="n">
        <v>36</v>
      </c>
      <c r="E3419" s="1" t="inlineStr"/>
      <c r="F3419" s="1" t="inlineStr"/>
      <c r="G3419" s="1" t="inlineStr"/>
    </row>
    <row r="3420">
      <c r="A3420" s="2" t="inlineStr">
        <is>
          <t>H1</t>
        </is>
      </c>
      <c r="B3420" s="2" t="n">
        <v>85</v>
      </c>
      <c r="C3420" s="2">
        <f>_xlfn.XLOOKUP(B3420,Results!$B$23:$B$119,Results!$D$23:$D$119)</f>
        <v/>
      </c>
      <c r="D3420" s="2" t="n">
        <v>37</v>
      </c>
      <c r="E3420" s="2" t="inlineStr"/>
      <c r="F3420" s="2" t="inlineStr"/>
      <c r="G3420" s="2" t="inlineStr"/>
    </row>
    <row r="3421">
      <c r="A3421" s="1" t="inlineStr">
        <is>
          <t>H1</t>
        </is>
      </c>
      <c r="B3421" s="1" t="n">
        <v>85</v>
      </c>
      <c r="C3421" s="2">
        <f>_xlfn.XLOOKUP(B3421,Results!$B$23:$B$119,Results!$D$23:$D$119)</f>
        <v/>
      </c>
      <c r="D3421" s="1" t="n">
        <v>38</v>
      </c>
      <c r="E3421" s="1" t="inlineStr"/>
      <c r="F3421" s="1" t="inlineStr"/>
      <c r="G3421" s="1" t="inlineStr"/>
    </row>
    <row r="3422">
      <c r="A3422" s="2" t="inlineStr">
        <is>
          <t>H1</t>
        </is>
      </c>
      <c r="B3422" s="2" t="n">
        <v>85</v>
      </c>
      <c r="C3422" s="2">
        <f>_xlfn.XLOOKUP(B3422,Results!$B$23:$B$119,Results!$D$23:$D$119)</f>
        <v/>
      </c>
      <c r="D3422" s="2" t="n">
        <v>39</v>
      </c>
      <c r="E3422" s="2" t="inlineStr"/>
      <c r="F3422" s="2" t="inlineStr"/>
      <c r="G3422" s="2" t="inlineStr"/>
    </row>
    <row r="3423">
      <c r="A3423" s="1" t="inlineStr">
        <is>
          <t>H1</t>
        </is>
      </c>
      <c r="B3423" s="1" t="n">
        <v>85</v>
      </c>
      <c r="C3423" s="2">
        <f>_xlfn.XLOOKUP(B3423,Results!$B$23:$B$119,Results!$D$23:$D$119)</f>
        <v/>
      </c>
      <c r="D3423" s="1" t="n">
        <v>40</v>
      </c>
      <c r="E3423" s="1" t="inlineStr"/>
      <c r="F3423" s="1" t="inlineStr"/>
      <c r="G3423" s="1" t="inlineStr"/>
    </row>
    <row r="3424">
      <c r="A3424" s="2" t="inlineStr">
        <is>
          <t>H2</t>
        </is>
      </c>
      <c r="B3424" s="2" t="n">
        <v>86</v>
      </c>
      <c r="C3424" s="2">
        <f>_xlfn.XLOOKUP(B3424,Results!$B$23:$B$119,Results!$D$23:$D$119)</f>
        <v/>
      </c>
      <c r="D3424" s="2" t="n">
        <v>1</v>
      </c>
      <c r="E3424" s="2" t="inlineStr"/>
      <c r="F3424" s="2" t="inlineStr"/>
      <c r="G3424" s="2" t="inlineStr"/>
    </row>
    <row r="3425">
      <c r="A3425" s="1" t="inlineStr">
        <is>
          <t>H2</t>
        </is>
      </c>
      <c r="B3425" s="1" t="n">
        <v>86</v>
      </c>
      <c r="C3425" s="2">
        <f>_xlfn.XLOOKUP(B3425,Results!$B$23:$B$119,Results!$D$23:$D$119)</f>
        <v/>
      </c>
      <c r="D3425" s="1" t="n">
        <v>2</v>
      </c>
      <c r="E3425" s="1" t="inlineStr"/>
      <c r="F3425" s="1" t="inlineStr"/>
      <c r="G3425" s="1" t="inlineStr"/>
    </row>
    <row r="3426">
      <c r="A3426" s="2" t="inlineStr">
        <is>
          <t>H2</t>
        </is>
      </c>
      <c r="B3426" s="2" t="n">
        <v>86</v>
      </c>
      <c r="C3426" s="2">
        <f>_xlfn.XLOOKUP(B3426,Results!$B$23:$B$119,Results!$D$23:$D$119)</f>
        <v/>
      </c>
      <c r="D3426" s="2" t="n">
        <v>3</v>
      </c>
      <c r="E3426" s="2" t="inlineStr"/>
      <c r="F3426" s="2" t="inlineStr"/>
      <c r="G3426" s="2" t="inlineStr"/>
    </row>
    <row r="3427">
      <c r="A3427" s="1" t="inlineStr">
        <is>
          <t>H2</t>
        </is>
      </c>
      <c r="B3427" s="1" t="n">
        <v>86</v>
      </c>
      <c r="C3427" s="2">
        <f>_xlfn.XLOOKUP(B3427,Results!$B$23:$B$119,Results!$D$23:$D$119)</f>
        <v/>
      </c>
      <c r="D3427" s="1" t="n">
        <v>4</v>
      </c>
      <c r="E3427" s="1" t="inlineStr"/>
      <c r="F3427" s="1" t="inlineStr"/>
      <c r="G3427" s="1" t="inlineStr"/>
    </row>
    <row r="3428">
      <c r="A3428" s="2" t="inlineStr">
        <is>
          <t>H2</t>
        </is>
      </c>
      <c r="B3428" s="2" t="n">
        <v>86</v>
      </c>
      <c r="C3428" s="2">
        <f>_xlfn.XLOOKUP(B3428,Results!$B$23:$B$119,Results!$D$23:$D$119)</f>
        <v/>
      </c>
      <c r="D3428" s="2" t="n">
        <v>5</v>
      </c>
      <c r="E3428" s="2" t="inlineStr"/>
      <c r="F3428" s="2" t="inlineStr"/>
      <c r="G3428" s="2" t="inlineStr"/>
    </row>
    <row r="3429">
      <c r="A3429" s="1" t="inlineStr">
        <is>
          <t>H2</t>
        </is>
      </c>
      <c r="B3429" s="1" t="n">
        <v>86</v>
      </c>
      <c r="C3429" s="2">
        <f>_xlfn.XLOOKUP(B3429,Results!$B$23:$B$119,Results!$D$23:$D$119)</f>
        <v/>
      </c>
      <c r="D3429" s="1" t="n">
        <v>6</v>
      </c>
      <c r="E3429" s="1" t="inlineStr"/>
      <c r="F3429" s="1" t="inlineStr"/>
      <c r="G3429" s="1" t="inlineStr"/>
    </row>
    <row r="3430">
      <c r="A3430" s="2" t="inlineStr">
        <is>
          <t>H2</t>
        </is>
      </c>
      <c r="B3430" s="2" t="n">
        <v>86</v>
      </c>
      <c r="C3430" s="2">
        <f>_xlfn.XLOOKUP(B3430,Results!$B$23:$B$119,Results!$D$23:$D$119)</f>
        <v/>
      </c>
      <c r="D3430" s="2" t="n">
        <v>7</v>
      </c>
      <c r="E3430" s="2" t="inlineStr"/>
      <c r="F3430" s="2" t="inlineStr"/>
      <c r="G3430" s="2" t="inlineStr"/>
    </row>
    <row r="3431">
      <c r="A3431" s="1" t="inlineStr">
        <is>
          <t>H2</t>
        </is>
      </c>
      <c r="B3431" s="1" t="n">
        <v>86</v>
      </c>
      <c r="C3431" s="2">
        <f>_xlfn.XLOOKUP(B3431,Results!$B$23:$B$119,Results!$D$23:$D$119)</f>
        <v/>
      </c>
      <c r="D3431" s="1" t="n">
        <v>8</v>
      </c>
      <c r="E3431" s="1" t="inlineStr"/>
      <c r="F3431" s="1" t="inlineStr"/>
      <c r="G3431" s="1" t="inlineStr"/>
    </row>
    <row r="3432">
      <c r="A3432" s="2" t="inlineStr">
        <is>
          <t>H2</t>
        </is>
      </c>
      <c r="B3432" s="2" t="n">
        <v>86</v>
      </c>
      <c r="C3432" s="2">
        <f>_xlfn.XLOOKUP(B3432,Results!$B$23:$B$119,Results!$D$23:$D$119)</f>
        <v/>
      </c>
      <c r="D3432" s="2" t="n">
        <v>9</v>
      </c>
      <c r="E3432" s="2" t="inlineStr"/>
      <c r="F3432" s="2" t="inlineStr"/>
      <c r="G3432" s="2" t="inlineStr"/>
    </row>
    <row r="3433">
      <c r="A3433" s="1" t="inlineStr">
        <is>
          <t>H2</t>
        </is>
      </c>
      <c r="B3433" s="1" t="n">
        <v>86</v>
      </c>
      <c r="C3433" s="2">
        <f>_xlfn.XLOOKUP(B3433,Results!$B$23:$B$119,Results!$D$23:$D$119)</f>
        <v/>
      </c>
      <c r="D3433" s="1" t="n">
        <v>10</v>
      </c>
      <c r="E3433" s="1" t="inlineStr"/>
      <c r="F3433" s="1" t="inlineStr"/>
      <c r="G3433" s="1" t="inlineStr"/>
    </row>
    <row r="3434">
      <c r="A3434" s="2" t="inlineStr">
        <is>
          <t>H2</t>
        </is>
      </c>
      <c r="B3434" s="2" t="n">
        <v>86</v>
      </c>
      <c r="C3434" s="2">
        <f>_xlfn.XLOOKUP(B3434,Results!$B$23:$B$119,Results!$D$23:$D$119)</f>
        <v/>
      </c>
      <c r="D3434" s="2" t="n">
        <v>11</v>
      </c>
      <c r="E3434" s="2" t="inlineStr"/>
      <c r="F3434" s="2" t="inlineStr"/>
      <c r="G3434" s="2" t="inlineStr"/>
    </row>
    <row r="3435">
      <c r="A3435" s="1" t="inlineStr">
        <is>
          <t>H2</t>
        </is>
      </c>
      <c r="B3435" s="1" t="n">
        <v>86</v>
      </c>
      <c r="C3435" s="2">
        <f>_xlfn.XLOOKUP(B3435,Results!$B$23:$B$119,Results!$D$23:$D$119)</f>
        <v/>
      </c>
      <c r="D3435" s="1" t="n">
        <v>12</v>
      </c>
      <c r="E3435" s="1" t="inlineStr"/>
      <c r="F3435" s="1" t="inlineStr"/>
      <c r="G3435" s="1" t="inlineStr"/>
    </row>
    <row r="3436">
      <c r="A3436" s="2" t="inlineStr">
        <is>
          <t>H2</t>
        </is>
      </c>
      <c r="B3436" s="2" t="n">
        <v>86</v>
      </c>
      <c r="C3436" s="2">
        <f>_xlfn.XLOOKUP(B3436,Results!$B$23:$B$119,Results!$D$23:$D$119)</f>
        <v/>
      </c>
      <c r="D3436" s="2" t="n">
        <v>13</v>
      </c>
      <c r="E3436" s="2" t="inlineStr"/>
      <c r="F3436" s="2" t="inlineStr"/>
      <c r="G3436" s="2" t="inlineStr"/>
    </row>
    <row r="3437">
      <c r="A3437" s="1" t="inlineStr">
        <is>
          <t>H2</t>
        </is>
      </c>
      <c r="B3437" s="1" t="n">
        <v>86</v>
      </c>
      <c r="C3437" s="2">
        <f>_xlfn.XLOOKUP(B3437,Results!$B$23:$B$119,Results!$D$23:$D$119)</f>
        <v/>
      </c>
      <c r="D3437" s="1" t="n">
        <v>14</v>
      </c>
      <c r="E3437" s="1" t="inlineStr"/>
      <c r="F3437" s="1" t="inlineStr"/>
      <c r="G3437" s="1" t="inlineStr"/>
    </row>
    <row r="3438">
      <c r="A3438" s="2" t="inlineStr">
        <is>
          <t>H2</t>
        </is>
      </c>
      <c r="B3438" s="2" t="n">
        <v>86</v>
      </c>
      <c r="C3438" s="2">
        <f>_xlfn.XLOOKUP(B3438,Results!$B$23:$B$119,Results!$D$23:$D$119)</f>
        <v/>
      </c>
      <c r="D3438" s="2" t="n">
        <v>15</v>
      </c>
      <c r="E3438" s="2" t="inlineStr"/>
      <c r="F3438" s="2" t="inlineStr"/>
      <c r="G3438" s="2" t="inlineStr"/>
    </row>
    <row r="3439">
      <c r="A3439" s="1" t="inlineStr">
        <is>
          <t>H2</t>
        </is>
      </c>
      <c r="B3439" s="1" t="n">
        <v>86</v>
      </c>
      <c r="C3439" s="2">
        <f>_xlfn.XLOOKUP(B3439,Results!$B$23:$B$119,Results!$D$23:$D$119)</f>
        <v/>
      </c>
      <c r="D3439" s="1" t="n">
        <v>16</v>
      </c>
      <c r="E3439" s="1" t="inlineStr"/>
      <c r="F3439" s="1" t="inlineStr"/>
      <c r="G3439" s="1" t="inlineStr"/>
    </row>
    <row r="3440">
      <c r="A3440" s="2" t="inlineStr">
        <is>
          <t>H2</t>
        </is>
      </c>
      <c r="B3440" s="2" t="n">
        <v>86</v>
      </c>
      <c r="C3440" s="2">
        <f>_xlfn.XLOOKUP(B3440,Results!$B$23:$B$119,Results!$D$23:$D$119)</f>
        <v/>
      </c>
      <c r="D3440" s="2" t="n">
        <v>17</v>
      </c>
      <c r="E3440" s="2" t="inlineStr"/>
      <c r="F3440" s="2" t="inlineStr"/>
      <c r="G3440" s="2" t="inlineStr"/>
    </row>
    <row r="3441">
      <c r="A3441" s="1" t="inlineStr">
        <is>
          <t>H2</t>
        </is>
      </c>
      <c r="B3441" s="1" t="n">
        <v>86</v>
      </c>
      <c r="C3441" s="2">
        <f>_xlfn.XLOOKUP(B3441,Results!$B$23:$B$119,Results!$D$23:$D$119)</f>
        <v/>
      </c>
      <c r="D3441" s="1" t="n">
        <v>18</v>
      </c>
      <c r="E3441" s="1" t="inlineStr"/>
      <c r="F3441" s="1" t="inlineStr"/>
      <c r="G3441" s="1" t="inlineStr"/>
    </row>
    <row r="3442">
      <c r="A3442" s="2" t="inlineStr">
        <is>
          <t>H2</t>
        </is>
      </c>
      <c r="B3442" s="2" t="n">
        <v>86</v>
      </c>
      <c r="C3442" s="2">
        <f>_xlfn.XLOOKUP(B3442,Results!$B$23:$B$119,Results!$D$23:$D$119)</f>
        <v/>
      </c>
      <c r="D3442" s="2" t="n">
        <v>19</v>
      </c>
      <c r="E3442" s="2" t="inlineStr"/>
      <c r="F3442" s="2" t="inlineStr"/>
      <c r="G3442" s="2" t="inlineStr"/>
    </row>
    <row r="3443">
      <c r="A3443" s="1" t="inlineStr">
        <is>
          <t>H2</t>
        </is>
      </c>
      <c r="B3443" s="1" t="n">
        <v>86</v>
      </c>
      <c r="C3443" s="2">
        <f>_xlfn.XLOOKUP(B3443,Results!$B$23:$B$119,Results!$D$23:$D$119)</f>
        <v/>
      </c>
      <c r="D3443" s="1" t="n">
        <v>20</v>
      </c>
      <c r="E3443" s="1" t="inlineStr"/>
      <c r="F3443" s="1" t="inlineStr"/>
      <c r="G3443" s="1" t="inlineStr"/>
    </row>
    <row r="3444">
      <c r="A3444" s="2" t="inlineStr">
        <is>
          <t>H2</t>
        </is>
      </c>
      <c r="B3444" s="2" t="n">
        <v>86</v>
      </c>
      <c r="C3444" s="2">
        <f>_xlfn.XLOOKUP(B3444,Results!$B$23:$B$119,Results!$D$23:$D$119)</f>
        <v/>
      </c>
      <c r="D3444" s="2" t="n">
        <v>21</v>
      </c>
      <c r="E3444" s="2" t="inlineStr"/>
      <c r="F3444" s="2" t="inlineStr"/>
      <c r="G3444" s="2" t="inlineStr"/>
    </row>
    <row r="3445">
      <c r="A3445" s="1" t="inlineStr">
        <is>
          <t>H2</t>
        </is>
      </c>
      <c r="B3445" s="1" t="n">
        <v>86</v>
      </c>
      <c r="C3445" s="2">
        <f>_xlfn.XLOOKUP(B3445,Results!$B$23:$B$119,Results!$D$23:$D$119)</f>
        <v/>
      </c>
      <c r="D3445" s="1" t="n">
        <v>22</v>
      </c>
      <c r="E3445" s="1" t="inlineStr"/>
      <c r="F3445" s="1" t="inlineStr"/>
      <c r="G3445" s="1" t="inlineStr"/>
    </row>
    <row r="3446">
      <c r="A3446" s="2" t="inlineStr">
        <is>
          <t>H2</t>
        </is>
      </c>
      <c r="B3446" s="2" t="n">
        <v>86</v>
      </c>
      <c r="C3446" s="2">
        <f>_xlfn.XLOOKUP(B3446,Results!$B$23:$B$119,Results!$D$23:$D$119)</f>
        <v/>
      </c>
      <c r="D3446" s="2" t="n">
        <v>23</v>
      </c>
      <c r="E3446" s="2" t="inlineStr"/>
      <c r="F3446" s="2" t="inlineStr"/>
      <c r="G3446" s="2" t="inlineStr"/>
    </row>
    <row r="3447">
      <c r="A3447" s="1" t="inlineStr">
        <is>
          <t>H2</t>
        </is>
      </c>
      <c r="B3447" s="1" t="n">
        <v>86</v>
      </c>
      <c r="C3447" s="2">
        <f>_xlfn.XLOOKUP(B3447,Results!$B$23:$B$119,Results!$D$23:$D$119)</f>
        <v/>
      </c>
      <c r="D3447" s="1" t="n">
        <v>24</v>
      </c>
      <c r="E3447" s="1" t="inlineStr"/>
      <c r="F3447" s="1" t="inlineStr"/>
      <c r="G3447" s="1" t="inlineStr"/>
    </row>
    <row r="3448">
      <c r="A3448" s="2" t="inlineStr">
        <is>
          <t>H2</t>
        </is>
      </c>
      <c r="B3448" s="2" t="n">
        <v>86</v>
      </c>
      <c r="C3448" s="2">
        <f>_xlfn.XLOOKUP(B3448,Results!$B$23:$B$119,Results!$D$23:$D$119)</f>
        <v/>
      </c>
      <c r="D3448" s="2" t="n">
        <v>25</v>
      </c>
      <c r="E3448" s="2" t="inlineStr"/>
      <c r="F3448" s="2" t="inlineStr"/>
      <c r="G3448" s="2" t="inlineStr"/>
    </row>
    <row r="3449">
      <c r="A3449" s="1" t="inlineStr">
        <is>
          <t>H2</t>
        </is>
      </c>
      <c r="B3449" s="1" t="n">
        <v>86</v>
      </c>
      <c r="C3449" s="2">
        <f>_xlfn.XLOOKUP(B3449,Results!$B$23:$B$119,Results!$D$23:$D$119)</f>
        <v/>
      </c>
      <c r="D3449" s="1" t="n">
        <v>26</v>
      </c>
      <c r="E3449" s="1" t="inlineStr"/>
      <c r="F3449" s="1" t="inlineStr"/>
      <c r="G3449" s="1" t="inlineStr"/>
    </row>
    <row r="3450">
      <c r="A3450" s="2" t="inlineStr">
        <is>
          <t>H2</t>
        </is>
      </c>
      <c r="B3450" s="2" t="n">
        <v>86</v>
      </c>
      <c r="C3450" s="2">
        <f>_xlfn.XLOOKUP(B3450,Results!$B$23:$B$119,Results!$D$23:$D$119)</f>
        <v/>
      </c>
      <c r="D3450" s="2" t="n">
        <v>27</v>
      </c>
      <c r="E3450" s="2" t="inlineStr"/>
      <c r="F3450" s="2" t="inlineStr"/>
      <c r="G3450" s="2" t="inlineStr"/>
    </row>
    <row r="3451">
      <c r="A3451" s="1" t="inlineStr">
        <is>
          <t>H2</t>
        </is>
      </c>
      <c r="B3451" s="1" t="n">
        <v>86</v>
      </c>
      <c r="C3451" s="2">
        <f>_xlfn.XLOOKUP(B3451,Results!$B$23:$B$119,Results!$D$23:$D$119)</f>
        <v/>
      </c>
      <c r="D3451" s="1" t="n">
        <v>28</v>
      </c>
      <c r="E3451" s="1" t="inlineStr"/>
      <c r="F3451" s="1" t="inlineStr"/>
      <c r="G3451" s="1" t="inlineStr"/>
    </row>
    <row r="3452">
      <c r="A3452" s="2" t="inlineStr">
        <is>
          <t>H2</t>
        </is>
      </c>
      <c r="B3452" s="2" t="n">
        <v>86</v>
      </c>
      <c r="C3452" s="2">
        <f>_xlfn.XLOOKUP(B3452,Results!$B$23:$B$119,Results!$D$23:$D$119)</f>
        <v/>
      </c>
      <c r="D3452" s="2" t="n">
        <v>29</v>
      </c>
      <c r="E3452" s="2" t="inlineStr"/>
      <c r="F3452" s="2" t="inlineStr"/>
      <c r="G3452" s="2" t="inlineStr"/>
    </row>
    <row r="3453">
      <c r="A3453" s="1" t="inlineStr">
        <is>
          <t>H2</t>
        </is>
      </c>
      <c r="B3453" s="1" t="n">
        <v>86</v>
      </c>
      <c r="C3453" s="2">
        <f>_xlfn.XLOOKUP(B3453,Results!$B$23:$B$119,Results!$D$23:$D$119)</f>
        <v/>
      </c>
      <c r="D3453" s="1" t="n">
        <v>30</v>
      </c>
      <c r="E3453" s="1" t="inlineStr"/>
      <c r="F3453" s="1" t="inlineStr"/>
      <c r="G3453" s="1" t="inlineStr"/>
    </row>
    <row r="3454">
      <c r="A3454" s="2" t="inlineStr">
        <is>
          <t>H2</t>
        </is>
      </c>
      <c r="B3454" s="2" t="n">
        <v>86</v>
      </c>
      <c r="C3454" s="2">
        <f>_xlfn.XLOOKUP(B3454,Results!$B$23:$B$119,Results!$D$23:$D$119)</f>
        <v/>
      </c>
      <c r="D3454" s="2" t="n">
        <v>31</v>
      </c>
      <c r="E3454" s="2" t="inlineStr"/>
      <c r="F3454" s="2" t="inlineStr"/>
      <c r="G3454" s="2" t="inlineStr"/>
    </row>
    <row r="3455">
      <c r="A3455" s="1" t="inlineStr">
        <is>
          <t>H2</t>
        </is>
      </c>
      <c r="B3455" s="1" t="n">
        <v>86</v>
      </c>
      <c r="C3455" s="2">
        <f>_xlfn.XLOOKUP(B3455,Results!$B$23:$B$119,Results!$D$23:$D$119)</f>
        <v/>
      </c>
      <c r="D3455" s="1" t="n">
        <v>32</v>
      </c>
      <c r="E3455" s="1" t="inlineStr"/>
      <c r="F3455" s="1" t="inlineStr"/>
      <c r="G3455" s="1" t="inlineStr"/>
    </row>
    <row r="3456">
      <c r="A3456" s="2" t="inlineStr">
        <is>
          <t>H2</t>
        </is>
      </c>
      <c r="B3456" s="2" t="n">
        <v>86</v>
      </c>
      <c r="C3456" s="2">
        <f>_xlfn.XLOOKUP(B3456,Results!$B$23:$B$119,Results!$D$23:$D$119)</f>
        <v/>
      </c>
      <c r="D3456" s="2" t="n">
        <v>33</v>
      </c>
      <c r="E3456" s="2" t="inlineStr"/>
      <c r="F3456" s="2" t="inlineStr"/>
      <c r="G3456" s="2" t="inlineStr"/>
    </row>
    <row r="3457">
      <c r="A3457" s="1" t="inlineStr">
        <is>
          <t>H2</t>
        </is>
      </c>
      <c r="B3457" s="1" t="n">
        <v>86</v>
      </c>
      <c r="C3457" s="2">
        <f>_xlfn.XLOOKUP(B3457,Results!$B$23:$B$119,Results!$D$23:$D$119)</f>
        <v/>
      </c>
      <c r="D3457" s="1" t="n">
        <v>34</v>
      </c>
      <c r="E3457" s="1" t="inlineStr"/>
      <c r="F3457" s="1" t="inlineStr"/>
      <c r="G3457" s="1" t="inlineStr"/>
    </row>
    <row r="3458">
      <c r="A3458" s="2" t="inlineStr">
        <is>
          <t>H2</t>
        </is>
      </c>
      <c r="B3458" s="2" t="n">
        <v>86</v>
      </c>
      <c r="C3458" s="2">
        <f>_xlfn.XLOOKUP(B3458,Results!$B$23:$B$119,Results!$D$23:$D$119)</f>
        <v/>
      </c>
      <c r="D3458" s="2" t="n">
        <v>35</v>
      </c>
      <c r="E3458" s="2" t="inlineStr"/>
      <c r="F3458" s="2" t="inlineStr"/>
      <c r="G3458" s="2" t="inlineStr"/>
    </row>
    <row r="3459">
      <c r="A3459" s="1" t="inlineStr">
        <is>
          <t>H2</t>
        </is>
      </c>
      <c r="B3459" s="1" t="n">
        <v>86</v>
      </c>
      <c r="C3459" s="2">
        <f>_xlfn.XLOOKUP(B3459,Results!$B$23:$B$119,Results!$D$23:$D$119)</f>
        <v/>
      </c>
      <c r="D3459" s="1" t="n">
        <v>36</v>
      </c>
      <c r="E3459" s="1" t="inlineStr"/>
      <c r="F3459" s="1" t="inlineStr"/>
      <c r="G3459" s="1" t="inlineStr"/>
    </row>
    <row r="3460">
      <c r="A3460" s="2" t="inlineStr">
        <is>
          <t>H2</t>
        </is>
      </c>
      <c r="B3460" s="2" t="n">
        <v>86</v>
      </c>
      <c r="C3460" s="2">
        <f>_xlfn.XLOOKUP(B3460,Results!$B$23:$B$119,Results!$D$23:$D$119)</f>
        <v/>
      </c>
      <c r="D3460" s="2" t="n">
        <v>37</v>
      </c>
      <c r="E3460" s="2" t="inlineStr"/>
      <c r="F3460" s="2" t="inlineStr"/>
      <c r="G3460" s="2" t="inlineStr"/>
    </row>
    <row r="3461">
      <c r="A3461" s="1" t="inlineStr">
        <is>
          <t>H2</t>
        </is>
      </c>
      <c r="B3461" s="1" t="n">
        <v>86</v>
      </c>
      <c r="C3461" s="2">
        <f>_xlfn.XLOOKUP(B3461,Results!$B$23:$B$119,Results!$D$23:$D$119)</f>
        <v/>
      </c>
      <c r="D3461" s="1" t="n">
        <v>38</v>
      </c>
      <c r="E3461" s="1" t="inlineStr"/>
      <c r="F3461" s="1" t="inlineStr"/>
      <c r="G3461" s="1" t="inlineStr"/>
    </row>
    <row r="3462">
      <c r="A3462" s="2" t="inlineStr">
        <is>
          <t>H2</t>
        </is>
      </c>
      <c r="B3462" s="2" t="n">
        <v>86</v>
      </c>
      <c r="C3462" s="2">
        <f>_xlfn.XLOOKUP(B3462,Results!$B$23:$B$119,Results!$D$23:$D$119)</f>
        <v/>
      </c>
      <c r="D3462" s="2" t="n">
        <v>39</v>
      </c>
      <c r="E3462" s="2" t="inlineStr"/>
      <c r="F3462" s="2" t="inlineStr"/>
      <c r="G3462" s="2" t="inlineStr"/>
    </row>
    <row r="3463">
      <c r="A3463" s="1" t="inlineStr">
        <is>
          <t>H2</t>
        </is>
      </c>
      <c r="B3463" s="1" t="n">
        <v>86</v>
      </c>
      <c r="C3463" s="2">
        <f>_xlfn.XLOOKUP(B3463,Results!$B$23:$B$119,Results!$D$23:$D$119)</f>
        <v/>
      </c>
      <c r="D3463" s="1" t="n">
        <v>40</v>
      </c>
      <c r="E3463" s="1" t="inlineStr"/>
      <c r="F3463" s="1" t="inlineStr"/>
      <c r="G3463" s="1" t="inlineStr"/>
    </row>
    <row r="3464">
      <c r="A3464" s="2" t="inlineStr">
        <is>
          <t>H3</t>
        </is>
      </c>
      <c r="B3464" s="2" t="n">
        <v>87</v>
      </c>
      <c r="C3464" s="2">
        <f>_xlfn.XLOOKUP(B3464,Results!$B$23:$B$119,Results!$D$23:$D$119)</f>
        <v/>
      </c>
      <c r="D3464" s="2" t="n">
        <v>1</v>
      </c>
      <c r="E3464" s="2" t="inlineStr"/>
      <c r="F3464" s="2" t="inlineStr"/>
      <c r="G3464" s="2" t="inlineStr"/>
    </row>
    <row r="3465">
      <c r="A3465" s="1" t="inlineStr">
        <is>
          <t>H3</t>
        </is>
      </c>
      <c r="B3465" s="1" t="n">
        <v>87</v>
      </c>
      <c r="C3465" s="2">
        <f>_xlfn.XLOOKUP(B3465,Results!$B$23:$B$119,Results!$D$23:$D$119)</f>
        <v/>
      </c>
      <c r="D3465" s="1" t="n">
        <v>2</v>
      </c>
      <c r="E3465" s="1" t="inlineStr"/>
      <c r="F3465" s="1" t="inlineStr"/>
      <c r="G3465" s="1" t="inlineStr"/>
    </row>
    <row r="3466">
      <c r="A3466" s="2" t="inlineStr">
        <is>
          <t>H3</t>
        </is>
      </c>
      <c r="B3466" s="2" t="n">
        <v>87</v>
      </c>
      <c r="C3466" s="2">
        <f>_xlfn.XLOOKUP(B3466,Results!$B$23:$B$119,Results!$D$23:$D$119)</f>
        <v/>
      </c>
      <c r="D3466" s="2" t="n">
        <v>3</v>
      </c>
      <c r="E3466" s="2" t="inlineStr"/>
      <c r="F3466" s="2" t="inlineStr"/>
      <c r="G3466" s="2" t="inlineStr"/>
    </row>
    <row r="3467">
      <c r="A3467" s="1" t="inlineStr">
        <is>
          <t>H3</t>
        </is>
      </c>
      <c r="B3467" s="1" t="n">
        <v>87</v>
      </c>
      <c r="C3467" s="2">
        <f>_xlfn.XLOOKUP(B3467,Results!$B$23:$B$119,Results!$D$23:$D$119)</f>
        <v/>
      </c>
      <c r="D3467" s="1" t="n">
        <v>4</v>
      </c>
      <c r="E3467" s="1" t="inlineStr"/>
      <c r="F3467" s="1" t="inlineStr"/>
      <c r="G3467" s="1" t="inlineStr"/>
    </row>
    <row r="3468">
      <c r="A3468" s="2" t="inlineStr">
        <is>
          <t>H3</t>
        </is>
      </c>
      <c r="B3468" s="2" t="n">
        <v>87</v>
      </c>
      <c r="C3468" s="2">
        <f>_xlfn.XLOOKUP(B3468,Results!$B$23:$B$119,Results!$D$23:$D$119)</f>
        <v/>
      </c>
      <c r="D3468" s="2" t="n">
        <v>5</v>
      </c>
      <c r="E3468" s="2" t="inlineStr"/>
      <c r="F3468" s="2" t="inlineStr"/>
      <c r="G3468" s="2" t="inlineStr"/>
    </row>
    <row r="3469">
      <c r="A3469" s="1" t="inlineStr">
        <is>
          <t>H3</t>
        </is>
      </c>
      <c r="B3469" s="1" t="n">
        <v>87</v>
      </c>
      <c r="C3469" s="2">
        <f>_xlfn.XLOOKUP(B3469,Results!$B$23:$B$119,Results!$D$23:$D$119)</f>
        <v/>
      </c>
      <c r="D3469" s="1" t="n">
        <v>6</v>
      </c>
      <c r="E3469" s="1" t="inlineStr"/>
      <c r="F3469" s="1" t="inlineStr"/>
      <c r="G3469" s="1" t="inlineStr"/>
    </row>
    <row r="3470">
      <c r="A3470" s="2" t="inlineStr">
        <is>
          <t>H3</t>
        </is>
      </c>
      <c r="B3470" s="2" t="n">
        <v>87</v>
      </c>
      <c r="C3470" s="2">
        <f>_xlfn.XLOOKUP(B3470,Results!$B$23:$B$119,Results!$D$23:$D$119)</f>
        <v/>
      </c>
      <c r="D3470" s="2" t="n">
        <v>7</v>
      </c>
      <c r="E3470" s="2" t="inlineStr"/>
      <c r="F3470" s="2" t="inlineStr"/>
      <c r="G3470" s="2" t="inlineStr"/>
    </row>
    <row r="3471">
      <c r="A3471" s="1" t="inlineStr">
        <is>
          <t>H3</t>
        </is>
      </c>
      <c r="B3471" s="1" t="n">
        <v>87</v>
      </c>
      <c r="C3471" s="2">
        <f>_xlfn.XLOOKUP(B3471,Results!$B$23:$B$119,Results!$D$23:$D$119)</f>
        <v/>
      </c>
      <c r="D3471" s="1" t="n">
        <v>8</v>
      </c>
      <c r="E3471" s="1" t="inlineStr"/>
      <c r="F3471" s="1" t="inlineStr"/>
      <c r="G3471" s="1" t="inlineStr"/>
    </row>
    <row r="3472">
      <c r="A3472" s="2" t="inlineStr">
        <is>
          <t>H3</t>
        </is>
      </c>
      <c r="B3472" s="2" t="n">
        <v>87</v>
      </c>
      <c r="C3472" s="2">
        <f>_xlfn.XLOOKUP(B3472,Results!$B$23:$B$119,Results!$D$23:$D$119)</f>
        <v/>
      </c>
      <c r="D3472" s="2" t="n">
        <v>9</v>
      </c>
      <c r="E3472" s="2" t="inlineStr"/>
      <c r="F3472" s="2" t="inlineStr"/>
      <c r="G3472" s="2" t="inlineStr"/>
    </row>
    <row r="3473">
      <c r="A3473" s="1" t="inlineStr">
        <is>
          <t>H3</t>
        </is>
      </c>
      <c r="B3473" s="1" t="n">
        <v>87</v>
      </c>
      <c r="C3473" s="2">
        <f>_xlfn.XLOOKUP(B3473,Results!$B$23:$B$119,Results!$D$23:$D$119)</f>
        <v/>
      </c>
      <c r="D3473" s="1" t="n">
        <v>10</v>
      </c>
      <c r="E3473" s="1" t="inlineStr"/>
      <c r="F3473" s="1" t="inlineStr"/>
      <c r="G3473" s="1" t="inlineStr"/>
    </row>
    <row r="3474">
      <c r="A3474" s="2" t="inlineStr">
        <is>
          <t>H3</t>
        </is>
      </c>
      <c r="B3474" s="2" t="n">
        <v>87</v>
      </c>
      <c r="C3474" s="2">
        <f>_xlfn.XLOOKUP(B3474,Results!$B$23:$B$119,Results!$D$23:$D$119)</f>
        <v/>
      </c>
      <c r="D3474" s="2" t="n">
        <v>11</v>
      </c>
      <c r="E3474" s="2" t="inlineStr"/>
      <c r="F3474" s="2" t="inlineStr"/>
      <c r="G3474" s="2" t="inlineStr"/>
    </row>
    <row r="3475">
      <c r="A3475" s="1" t="inlineStr">
        <is>
          <t>H3</t>
        </is>
      </c>
      <c r="B3475" s="1" t="n">
        <v>87</v>
      </c>
      <c r="C3475" s="2">
        <f>_xlfn.XLOOKUP(B3475,Results!$B$23:$B$119,Results!$D$23:$D$119)</f>
        <v/>
      </c>
      <c r="D3475" s="1" t="n">
        <v>12</v>
      </c>
      <c r="E3475" s="1" t="inlineStr"/>
      <c r="F3475" s="1" t="inlineStr"/>
      <c r="G3475" s="1" t="inlineStr"/>
    </row>
    <row r="3476">
      <c r="A3476" s="2" t="inlineStr">
        <is>
          <t>H3</t>
        </is>
      </c>
      <c r="B3476" s="2" t="n">
        <v>87</v>
      </c>
      <c r="C3476" s="2">
        <f>_xlfn.XLOOKUP(B3476,Results!$B$23:$B$119,Results!$D$23:$D$119)</f>
        <v/>
      </c>
      <c r="D3476" s="2" t="n">
        <v>13</v>
      </c>
      <c r="E3476" s="2" t="inlineStr"/>
      <c r="F3476" s="2" t="inlineStr"/>
      <c r="G3476" s="2" t="inlineStr"/>
    </row>
    <row r="3477">
      <c r="A3477" s="1" t="inlineStr">
        <is>
          <t>H3</t>
        </is>
      </c>
      <c r="B3477" s="1" t="n">
        <v>87</v>
      </c>
      <c r="C3477" s="2">
        <f>_xlfn.XLOOKUP(B3477,Results!$B$23:$B$119,Results!$D$23:$D$119)</f>
        <v/>
      </c>
      <c r="D3477" s="1" t="n">
        <v>14</v>
      </c>
      <c r="E3477" s="1" t="inlineStr"/>
      <c r="F3477" s="1" t="inlineStr"/>
      <c r="G3477" s="1" t="inlineStr"/>
    </row>
    <row r="3478">
      <c r="A3478" s="2" t="inlineStr">
        <is>
          <t>H3</t>
        </is>
      </c>
      <c r="B3478" s="2" t="n">
        <v>87</v>
      </c>
      <c r="C3478" s="2">
        <f>_xlfn.XLOOKUP(B3478,Results!$B$23:$B$119,Results!$D$23:$D$119)</f>
        <v/>
      </c>
      <c r="D3478" s="2" t="n">
        <v>15</v>
      </c>
      <c r="E3478" s="2" t="inlineStr"/>
      <c r="F3478" s="2" t="inlineStr"/>
      <c r="G3478" s="2" t="inlineStr"/>
    </row>
    <row r="3479">
      <c r="A3479" s="1" t="inlineStr">
        <is>
          <t>H3</t>
        </is>
      </c>
      <c r="B3479" s="1" t="n">
        <v>87</v>
      </c>
      <c r="C3479" s="2">
        <f>_xlfn.XLOOKUP(B3479,Results!$B$23:$B$119,Results!$D$23:$D$119)</f>
        <v/>
      </c>
      <c r="D3479" s="1" t="n">
        <v>16</v>
      </c>
      <c r="E3479" s="1" t="inlineStr"/>
      <c r="F3479" s="1" t="inlineStr"/>
      <c r="G3479" s="1" t="inlineStr"/>
    </row>
    <row r="3480">
      <c r="A3480" s="2" t="inlineStr">
        <is>
          <t>H3</t>
        </is>
      </c>
      <c r="B3480" s="2" t="n">
        <v>87</v>
      </c>
      <c r="C3480" s="2">
        <f>_xlfn.XLOOKUP(B3480,Results!$B$23:$B$119,Results!$D$23:$D$119)</f>
        <v/>
      </c>
      <c r="D3480" s="2" t="n">
        <v>17</v>
      </c>
      <c r="E3480" s="2" t="inlineStr"/>
      <c r="F3480" s="2" t="inlineStr"/>
      <c r="G3480" s="2" t="inlineStr"/>
    </row>
    <row r="3481">
      <c r="A3481" s="1" t="inlineStr">
        <is>
          <t>H3</t>
        </is>
      </c>
      <c r="B3481" s="1" t="n">
        <v>87</v>
      </c>
      <c r="C3481" s="2">
        <f>_xlfn.XLOOKUP(B3481,Results!$B$23:$B$119,Results!$D$23:$D$119)</f>
        <v/>
      </c>
      <c r="D3481" s="1" t="n">
        <v>18</v>
      </c>
      <c r="E3481" s="1" t="inlineStr"/>
      <c r="F3481" s="1" t="inlineStr"/>
      <c r="G3481" s="1" t="inlineStr"/>
    </row>
    <row r="3482">
      <c r="A3482" s="2" t="inlineStr">
        <is>
          <t>H3</t>
        </is>
      </c>
      <c r="B3482" s="2" t="n">
        <v>87</v>
      </c>
      <c r="C3482" s="2">
        <f>_xlfn.XLOOKUP(B3482,Results!$B$23:$B$119,Results!$D$23:$D$119)</f>
        <v/>
      </c>
      <c r="D3482" s="2" t="n">
        <v>19</v>
      </c>
      <c r="E3482" s="2" t="inlineStr"/>
      <c r="F3482" s="2" t="inlineStr"/>
      <c r="G3482" s="2" t="inlineStr"/>
    </row>
    <row r="3483">
      <c r="A3483" s="1" t="inlineStr">
        <is>
          <t>H3</t>
        </is>
      </c>
      <c r="B3483" s="1" t="n">
        <v>87</v>
      </c>
      <c r="C3483" s="2">
        <f>_xlfn.XLOOKUP(B3483,Results!$B$23:$B$119,Results!$D$23:$D$119)</f>
        <v/>
      </c>
      <c r="D3483" s="1" t="n">
        <v>20</v>
      </c>
      <c r="E3483" s="1" t="inlineStr"/>
      <c r="F3483" s="1" t="inlineStr"/>
      <c r="G3483" s="1" t="inlineStr"/>
    </row>
    <row r="3484">
      <c r="A3484" s="2" t="inlineStr">
        <is>
          <t>H3</t>
        </is>
      </c>
      <c r="B3484" s="2" t="n">
        <v>87</v>
      </c>
      <c r="C3484" s="2">
        <f>_xlfn.XLOOKUP(B3484,Results!$B$23:$B$119,Results!$D$23:$D$119)</f>
        <v/>
      </c>
      <c r="D3484" s="2" t="n">
        <v>21</v>
      </c>
      <c r="E3484" s="2" t="inlineStr"/>
      <c r="F3484" s="2" t="inlineStr"/>
      <c r="G3484" s="2" t="inlineStr"/>
    </row>
    <row r="3485">
      <c r="A3485" s="1" t="inlineStr">
        <is>
          <t>H3</t>
        </is>
      </c>
      <c r="B3485" s="1" t="n">
        <v>87</v>
      </c>
      <c r="C3485" s="2">
        <f>_xlfn.XLOOKUP(B3485,Results!$B$23:$B$119,Results!$D$23:$D$119)</f>
        <v/>
      </c>
      <c r="D3485" s="1" t="n">
        <v>22</v>
      </c>
      <c r="E3485" s="1" t="inlineStr"/>
      <c r="F3485" s="1" t="inlineStr"/>
      <c r="G3485" s="1" t="inlineStr"/>
    </row>
    <row r="3486">
      <c r="A3486" s="2" t="inlineStr">
        <is>
          <t>H3</t>
        </is>
      </c>
      <c r="B3486" s="2" t="n">
        <v>87</v>
      </c>
      <c r="C3486" s="2">
        <f>_xlfn.XLOOKUP(B3486,Results!$B$23:$B$119,Results!$D$23:$D$119)</f>
        <v/>
      </c>
      <c r="D3486" s="2" t="n">
        <v>23</v>
      </c>
      <c r="E3486" s="2" t="inlineStr"/>
      <c r="F3486" s="2" t="inlineStr"/>
      <c r="G3486" s="2" t="inlineStr"/>
    </row>
    <row r="3487">
      <c r="A3487" s="1" t="inlineStr">
        <is>
          <t>H3</t>
        </is>
      </c>
      <c r="B3487" s="1" t="n">
        <v>87</v>
      </c>
      <c r="C3487" s="2">
        <f>_xlfn.XLOOKUP(B3487,Results!$B$23:$B$119,Results!$D$23:$D$119)</f>
        <v/>
      </c>
      <c r="D3487" s="1" t="n">
        <v>24</v>
      </c>
      <c r="E3487" s="1" t="inlineStr"/>
      <c r="F3487" s="1" t="inlineStr"/>
      <c r="G3487" s="1" t="inlineStr"/>
    </row>
    <row r="3488">
      <c r="A3488" s="2" t="inlineStr">
        <is>
          <t>H3</t>
        </is>
      </c>
      <c r="B3488" s="2" t="n">
        <v>87</v>
      </c>
      <c r="C3488" s="2">
        <f>_xlfn.XLOOKUP(B3488,Results!$B$23:$B$119,Results!$D$23:$D$119)</f>
        <v/>
      </c>
      <c r="D3488" s="2" t="n">
        <v>25</v>
      </c>
      <c r="E3488" s="2" t="inlineStr"/>
      <c r="F3488" s="2" t="inlineStr"/>
      <c r="G3488" s="2" t="inlineStr"/>
    </row>
    <row r="3489">
      <c r="A3489" s="1" t="inlineStr">
        <is>
          <t>H3</t>
        </is>
      </c>
      <c r="B3489" s="1" t="n">
        <v>87</v>
      </c>
      <c r="C3489" s="2">
        <f>_xlfn.XLOOKUP(B3489,Results!$B$23:$B$119,Results!$D$23:$D$119)</f>
        <v/>
      </c>
      <c r="D3489" s="1" t="n">
        <v>26</v>
      </c>
      <c r="E3489" s="1" t="inlineStr"/>
      <c r="F3489" s="1" t="inlineStr"/>
      <c r="G3489" s="1" t="inlineStr"/>
    </row>
    <row r="3490">
      <c r="A3490" s="2" t="inlineStr">
        <is>
          <t>H3</t>
        </is>
      </c>
      <c r="B3490" s="2" t="n">
        <v>87</v>
      </c>
      <c r="C3490" s="2">
        <f>_xlfn.XLOOKUP(B3490,Results!$B$23:$B$119,Results!$D$23:$D$119)</f>
        <v/>
      </c>
      <c r="D3490" s="2" t="n">
        <v>27</v>
      </c>
      <c r="E3490" s="2" t="inlineStr"/>
      <c r="F3490" s="2" t="inlineStr"/>
      <c r="G3490" s="2" t="inlineStr"/>
    </row>
    <row r="3491">
      <c r="A3491" s="1" t="inlineStr">
        <is>
          <t>H3</t>
        </is>
      </c>
      <c r="B3491" s="1" t="n">
        <v>87</v>
      </c>
      <c r="C3491" s="2">
        <f>_xlfn.XLOOKUP(B3491,Results!$B$23:$B$119,Results!$D$23:$D$119)</f>
        <v/>
      </c>
      <c r="D3491" s="1" t="n">
        <v>28</v>
      </c>
      <c r="E3491" s="1" t="inlineStr"/>
      <c r="F3491" s="1" t="inlineStr"/>
      <c r="G3491" s="1" t="inlineStr"/>
    </row>
    <row r="3492">
      <c r="A3492" s="2" t="inlineStr">
        <is>
          <t>H3</t>
        </is>
      </c>
      <c r="B3492" s="2" t="n">
        <v>87</v>
      </c>
      <c r="C3492" s="2">
        <f>_xlfn.XLOOKUP(B3492,Results!$B$23:$B$119,Results!$D$23:$D$119)</f>
        <v/>
      </c>
      <c r="D3492" s="2" t="n">
        <v>29</v>
      </c>
      <c r="E3492" s="2" t="inlineStr"/>
      <c r="F3492" s="2" t="inlineStr"/>
      <c r="G3492" s="2" t="inlineStr"/>
    </row>
    <row r="3493">
      <c r="A3493" s="1" t="inlineStr">
        <is>
          <t>H3</t>
        </is>
      </c>
      <c r="B3493" s="1" t="n">
        <v>87</v>
      </c>
      <c r="C3493" s="2">
        <f>_xlfn.XLOOKUP(B3493,Results!$B$23:$B$119,Results!$D$23:$D$119)</f>
        <v/>
      </c>
      <c r="D3493" s="1" t="n">
        <v>30</v>
      </c>
      <c r="E3493" s="1" t="inlineStr"/>
      <c r="F3493" s="1" t="inlineStr"/>
      <c r="G3493" s="1" t="inlineStr"/>
    </row>
    <row r="3494">
      <c r="A3494" s="2" t="inlineStr">
        <is>
          <t>H3</t>
        </is>
      </c>
      <c r="B3494" s="2" t="n">
        <v>87</v>
      </c>
      <c r="C3494" s="2">
        <f>_xlfn.XLOOKUP(B3494,Results!$B$23:$B$119,Results!$D$23:$D$119)</f>
        <v/>
      </c>
      <c r="D3494" s="2" t="n">
        <v>31</v>
      </c>
      <c r="E3494" s="2" t="inlineStr"/>
      <c r="F3494" s="2" t="inlineStr"/>
      <c r="G3494" s="2" t="inlineStr"/>
    </row>
    <row r="3495">
      <c r="A3495" s="1" t="inlineStr">
        <is>
          <t>H3</t>
        </is>
      </c>
      <c r="B3495" s="1" t="n">
        <v>87</v>
      </c>
      <c r="C3495" s="2">
        <f>_xlfn.XLOOKUP(B3495,Results!$B$23:$B$119,Results!$D$23:$D$119)</f>
        <v/>
      </c>
      <c r="D3495" s="1" t="n">
        <v>32</v>
      </c>
      <c r="E3495" s="1" t="inlineStr"/>
      <c r="F3495" s="1" t="inlineStr"/>
      <c r="G3495" s="1" t="inlineStr"/>
    </row>
    <row r="3496">
      <c r="A3496" s="2" t="inlineStr">
        <is>
          <t>H3</t>
        </is>
      </c>
      <c r="B3496" s="2" t="n">
        <v>87</v>
      </c>
      <c r="C3496" s="2">
        <f>_xlfn.XLOOKUP(B3496,Results!$B$23:$B$119,Results!$D$23:$D$119)</f>
        <v/>
      </c>
      <c r="D3496" s="2" t="n">
        <v>33</v>
      </c>
      <c r="E3496" s="2" t="inlineStr"/>
      <c r="F3496" s="2" t="inlineStr"/>
      <c r="G3496" s="2" t="inlineStr"/>
    </row>
    <row r="3497">
      <c r="A3497" s="1" t="inlineStr">
        <is>
          <t>H3</t>
        </is>
      </c>
      <c r="B3497" s="1" t="n">
        <v>87</v>
      </c>
      <c r="C3497" s="2">
        <f>_xlfn.XLOOKUP(B3497,Results!$B$23:$B$119,Results!$D$23:$D$119)</f>
        <v/>
      </c>
      <c r="D3497" s="1" t="n">
        <v>34</v>
      </c>
      <c r="E3497" s="1" t="inlineStr"/>
      <c r="F3497" s="1" t="inlineStr"/>
      <c r="G3497" s="1" t="inlineStr"/>
    </row>
    <row r="3498">
      <c r="A3498" s="2" t="inlineStr">
        <is>
          <t>H3</t>
        </is>
      </c>
      <c r="B3498" s="2" t="n">
        <v>87</v>
      </c>
      <c r="C3498" s="2">
        <f>_xlfn.XLOOKUP(B3498,Results!$B$23:$B$119,Results!$D$23:$D$119)</f>
        <v/>
      </c>
      <c r="D3498" s="2" t="n">
        <v>35</v>
      </c>
      <c r="E3498" s="2" t="inlineStr"/>
      <c r="F3498" s="2" t="inlineStr"/>
      <c r="G3498" s="2" t="inlineStr"/>
    </row>
    <row r="3499">
      <c r="A3499" s="1" t="inlineStr">
        <is>
          <t>H3</t>
        </is>
      </c>
      <c r="B3499" s="1" t="n">
        <v>87</v>
      </c>
      <c r="C3499" s="2">
        <f>_xlfn.XLOOKUP(B3499,Results!$B$23:$B$119,Results!$D$23:$D$119)</f>
        <v/>
      </c>
      <c r="D3499" s="1" t="n">
        <v>36</v>
      </c>
      <c r="E3499" s="1" t="inlineStr"/>
      <c r="F3499" s="1" t="inlineStr"/>
      <c r="G3499" s="1" t="inlineStr"/>
    </row>
    <row r="3500">
      <c r="A3500" s="2" t="inlineStr">
        <is>
          <t>H3</t>
        </is>
      </c>
      <c r="B3500" s="2" t="n">
        <v>87</v>
      </c>
      <c r="C3500" s="2">
        <f>_xlfn.XLOOKUP(B3500,Results!$B$23:$B$119,Results!$D$23:$D$119)</f>
        <v/>
      </c>
      <c r="D3500" s="2" t="n">
        <v>37</v>
      </c>
      <c r="E3500" s="2" t="inlineStr"/>
      <c r="F3500" s="2" t="inlineStr"/>
      <c r="G3500" s="2" t="inlineStr"/>
    </row>
    <row r="3501">
      <c r="A3501" s="1" t="inlineStr">
        <is>
          <t>H3</t>
        </is>
      </c>
      <c r="B3501" s="1" t="n">
        <v>87</v>
      </c>
      <c r="C3501" s="2">
        <f>_xlfn.XLOOKUP(B3501,Results!$B$23:$B$119,Results!$D$23:$D$119)</f>
        <v/>
      </c>
      <c r="D3501" s="1" t="n">
        <v>38</v>
      </c>
      <c r="E3501" s="1" t="inlineStr"/>
      <c r="F3501" s="1" t="inlineStr"/>
      <c r="G3501" s="1" t="inlineStr"/>
    </row>
    <row r="3502">
      <c r="A3502" s="2" t="inlineStr">
        <is>
          <t>H3</t>
        </is>
      </c>
      <c r="B3502" s="2" t="n">
        <v>87</v>
      </c>
      <c r="C3502" s="2">
        <f>_xlfn.XLOOKUP(B3502,Results!$B$23:$B$119,Results!$D$23:$D$119)</f>
        <v/>
      </c>
      <c r="D3502" s="2" t="n">
        <v>39</v>
      </c>
      <c r="E3502" s="2" t="inlineStr"/>
      <c r="F3502" s="2" t="inlineStr"/>
      <c r="G3502" s="2" t="inlineStr"/>
    </row>
    <row r="3503">
      <c r="A3503" s="1" t="inlineStr">
        <is>
          <t>H3</t>
        </is>
      </c>
      <c r="B3503" s="1" t="n">
        <v>87</v>
      </c>
      <c r="C3503" s="2">
        <f>_xlfn.XLOOKUP(B3503,Results!$B$23:$B$119,Results!$D$23:$D$119)</f>
        <v/>
      </c>
      <c r="D3503" s="1" t="n">
        <v>40</v>
      </c>
      <c r="E3503" s="1" t="inlineStr"/>
      <c r="F3503" s="1" t="inlineStr"/>
      <c r="G3503" s="1" t="inlineStr"/>
    </row>
    <row r="3504">
      <c r="A3504" s="2" t="inlineStr">
        <is>
          <t>H4</t>
        </is>
      </c>
      <c r="B3504" s="2" t="n">
        <v>88</v>
      </c>
      <c r="C3504" s="2">
        <f>_xlfn.XLOOKUP(B3504,Results!$B$23:$B$119,Results!$D$23:$D$119)</f>
        <v/>
      </c>
      <c r="D3504" s="2" t="n">
        <v>1</v>
      </c>
      <c r="E3504" s="2" t="inlineStr">
        <is>
          <t>CHO</t>
        </is>
      </c>
      <c r="F3504" s="2" t="n">
        <v>2.2523</v>
      </c>
      <c r="G3504" s="2" t="n">
        <v>0.005286</v>
      </c>
    </row>
    <row r="3505">
      <c r="A3505" s="1" t="inlineStr">
        <is>
          <t>H4</t>
        </is>
      </c>
      <c r="B3505" s="1" t="n">
        <v>88</v>
      </c>
      <c r="C3505" s="2">
        <f>_xlfn.XLOOKUP(B3505,Results!$B$23:$B$119,Results!$D$23:$D$119)</f>
        <v/>
      </c>
      <c r="D3505" s="1" t="n">
        <v>2</v>
      </c>
      <c r="E3505" s="1" t="inlineStr">
        <is>
          <t>CHO</t>
        </is>
      </c>
      <c r="F3505" s="1" t="n">
        <v>2.2538</v>
      </c>
      <c r="G3505" s="1" t="n">
        <v>0.002687</v>
      </c>
    </row>
    <row r="3506">
      <c r="A3506" s="2" t="inlineStr">
        <is>
          <t>H4</t>
        </is>
      </c>
      <c r="B3506" s="2" t="n">
        <v>88</v>
      </c>
      <c r="C3506" s="2">
        <f>_xlfn.XLOOKUP(B3506,Results!$B$23:$B$119,Results!$D$23:$D$119)</f>
        <v/>
      </c>
      <c r="D3506" s="2" t="n">
        <v>3</v>
      </c>
      <c r="E3506" s="2" t="inlineStr">
        <is>
          <t>CHO</t>
        </is>
      </c>
      <c r="F3506" s="2" t="n">
        <v>2.2569</v>
      </c>
      <c r="G3506" s="2" t="n">
        <v>0.001632</v>
      </c>
    </row>
    <row r="3507">
      <c r="A3507" s="1" t="inlineStr">
        <is>
          <t>H4</t>
        </is>
      </c>
      <c r="B3507" s="1" t="n">
        <v>88</v>
      </c>
      <c r="C3507" s="2">
        <f>_xlfn.XLOOKUP(B3507,Results!$B$23:$B$119,Results!$D$23:$D$119)</f>
        <v/>
      </c>
      <c r="D3507" s="1" t="n">
        <v>4</v>
      </c>
      <c r="E3507" s="1" t="inlineStr">
        <is>
          <t>CHO</t>
        </is>
      </c>
      <c r="F3507" s="1" t="n">
        <v>2.2598</v>
      </c>
      <c r="G3507" s="1" t="n">
        <v>0.000487</v>
      </c>
    </row>
    <row r="3508">
      <c r="A3508" s="2" t="inlineStr">
        <is>
          <t>H4</t>
        </is>
      </c>
      <c r="B3508" s="2" t="n">
        <v>88</v>
      </c>
      <c r="C3508" s="2">
        <f>_xlfn.XLOOKUP(B3508,Results!$B$23:$B$119,Results!$D$23:$D$119)</f>
        <v/>
      </c>
      <c r="D3508" s="2" t="n">
        <v>5</v>
      </c>
      <c r="E3508" s="2" t="inlineStr">
        <is>
          <t>CHO</t>
        </is>
      </c>
      <c r="F3508" s="2" t="n">
        <v>2.2634</v>
      </c>
      <c r="G3508" s="2" t="n">
        <v>-7.4e-05</v>
      </c>
    </row>
    <row r="3509">
      <c r="A3509" s="1" t="inlineStr">
        <is>
          <t>H4</t>
        </is>
      </c>
      <c r="B3509" s="1" t="n">
        <v>88</v>
      </c>
      <c r="C3509" s="2">
        <f>_xlfn.XLOOKUP(B3509,Results!$B$23:$B$119,Results!$D$23:$D$119)</f>
        <v/>
      </c>
      <c r="D3509" s="1" t="n">
        <v>6</v>
      </c>
      <c r="E3509" s="1" t="inlineStr">
        <is>
          <t>CHO</t>
        </is>
      </c>
      <c r="F3509" s="1" t="n">
        <v>2.267</v>
      </c>
      <c r="G3509" s="1" t="n">
        <v>-0.000604</v>
      </c>
    </row>
    <row r="3510">
      <c r="A3510" s="2" t="inlineStr">
        <is>
          <t>H4</t>
        </is>
      </c>
      <c r="B3510" s="2" t="n">
        <v>88</v>
      </c>
      <c r="C3510" s="2">
        <f>_xlfn.XLOOKUP(B3510,Results!$B$23:$B$119,Results!$D$23:$D$119)</f>
        <v/>
      </c>
      <c r="D3510" s="2" t="n">
        <v>7</v>
      </c>
      <c r="E3510" s="2" t="inlineStr">
        <is>
          <t>CHO</t>
        </is>
      </c>
      <c r="F3510" s="2" t="n">
        <v>2.2719</v>
      </c>
      <c r="G3510" s="2" t="n">
        <v>0.000266</v>
      </c>
    </row>
    <row r="3511">
      <c r="A3511" s="1" t="inlineStr">
        <is>
          <t>H4</t>
        </is>
      </c>
      <c r="B3511" s="1" t="n">
        <v>88</v>
      </c>
      <c r="C3511" s="2">
        <f>_xlfn.XLOOKUP(B3511,Results!$B$23:$B$119,Results!$D$23:$D$119)</f>
        <v/>
      </c>
      <c r="D3511" s="1" t="n">
        <v>8</v>
      </c>
      <c r="E3511" s="1" t="inlineStr">
        <is>
          <t>CHO</t>
        </is>
      </c>
      <c r="F3511" s="1" t="n">
        <v>2.276</v>
      </c>
      <c r="G3511" s="1" t="n">
        <v>0.000227</v>
      </c>
    </row>
    <row r="3512">
      <c r="A3512" s="2" t="inlineStr">
        <is>
          <t>H4</t>
        </is>
      </c>
      <c r="B3512" s="2" t="n">
        <v>88</v>
      </c>
      <c r="C3512" s="2">
        <f>_xlfn.XLOOKUP(B3512,Results!$B$23:$B$119,Results!$D$23:$D$119)</f>
        <v/>
      </c>
      <c r="D3512" s="2" t="n">
        <v>9</v>
      </c>
      <c r="E3512" s="2" t="inlineStr">
        <is>
          <t>CHO</t>
        </is>
      </c>
      <c r="F3512" s="2" t="n">
        <v>2.2772</v>
      </c>
      <c r="G3512" s="2" t="n">
        <v>-0.002635</v>
      </c>
    </row>
    <row r="3513">
      <c r="A3513" s="1" t="inlineStr">
        <is>
          <t>H4</t>
        </is>
      </c>
      <c r="B3513" s="1" t="n">
        <v>88</v>
      </c>
      <c r="C3513" s="2">
        <f>_xlfn.XLOOKUP(B3513,Results!$B$23:$B$119,Results!$D$23:$D$119)</f>
        <v/>
      </c>
      <c r="D3513" s="1" t="n">
        <v>10</v>
      </c>
      <c r="E3513" s="1" t="inlineStr">
        <is>
          <t>CHO</t>
        </is>
      </c>
      <c r="F3513" s="1" t="n">
        <v>2.2831</v>
      </c>
      <c r="G3513" s="1" t="n">
        <v>-0.000868</v>
      </c>
    </row>
    <row r="3514">
      <c r="A3514" s="2" t="inlineStr">
        <is>
          <t>H4</t>
        </is>
      </c>
      <c r="B3514" s="2" t="n">
        <v>88</v>
      </c>
      <c r="C3514" s="2">
        <f>_xlfn.XLOOKUP(B3514,Results!$B$23:$B$119,Results!$D$23:$D$119)</f>
        <v/>
      </c>
      <c r="D3514" s="2" t="n">
        <v>11</v>
      </c>
      <c r="E3514" s="2" t="inlineStr">
        <is>
          <t>CHO</t>
        </is>
      </c>
      <c r="F3514" s="2" t="n">
        <v>2.2866</v>
      </c>
      <c r="G3514" s="2" t="n">
        <v>-0.001505</v>
      </c>
    </row>
    <row r="3515">
      <c r="A3515" s="1" t="inlineStr">
        <is>
          <t>H4</t>
        </is>
      </c>
      <c r="B3515" s="1" t="n">
        <v>88</v>
      </c>
      <c r="C3515" s="2">
        <f>_xlfn.XLOOKUP(B3515,Results!$B$23:$B$119,Results!$D$23:$D$119)</f>
        <v/>
      </c>
      <c r="D3515" s="1" t="n">
        <v>12</v>
      </c>
      <c r="E3515" s="1" t="inlineStr">
        <is>
          <t>CHO</t>
        </is>
      </c>
      <c r="F3515" s="1" t="n">
        <v>2.2924</v>
      </c>
      <c r="G3515" s="1" t="n">
        <v>0.000212</v>
      </c>
    </row>
    <row r="3516">
      <c r="A3516" s="2" t="inlineStr">
        <is>
          <t>H4</t>
        </is>
      </c>
      <c r="B3516" s="2" t="n">
        <v>88</v>
      </c>
      <c r="C3516" s="2">
        <f>_xlfn.XLOOKUP(B3516,Results!$B$23:$B$119,Results!$D$23:$D$119)</f>
        <v/>
      </c>
      <c r="D3516" s="2" t="n">
        <v>13</v>
      </c>
      <c r="E3516" s="2" t="inlineStr">
        <is>
          <t>CHO</t>
        </is>
      </c>
      <c r="F3516" s="2" t="n">
        <v>2.2965</v>
      </c>
      <c r="G3516" s="2" t="n">
        <v>0.000183</v>
      </c>
    </row>
    <row r="3517">
      <c r="A3517" s="1" t="inlineStr">
        <is>
          <t>H4</t>
        </is>
      </c>
      <c r="B3517" s="1" t="n">
        <v>88</v>
      </c>
      <c r="C3517" s="2">
        <f>_xlfn.XLOOKUP(B3517,Results!$B$23:$B$119,Results!$D$23:$D$119)</f>
        <v/>
      </c>
      <c r="D3517" s="1" t="n">
        <v>14</v>
      </c>
      <c r="E3517" s="1" t="inlineStr">
        <is>
          <t>CHO</t>
        </is>
      </c>
      <c r="F3517" s="1" t="n">
        <v>2.3031</v>
      </c>
      <c r="G3517" s="1" t="n">
        <v>0.002678</v>
      </c>
    </row>
    <row r="3518">
      <c r="A3518" s="2" t="inlineStr">
        <is>
          <t>H4</t>
        </is>
      </c>
      <c r="B3518" s="2" t="n">
        <v>88</v>
      </c>
      <c r="C3518" s="2">
        <f>_xlfn.XLOOKUP(B3518,Results!$B$23:$B$119,Results!$D$23:$D$119)</f>
        <v/>
      </c>
      <c r="D3518" s="2" t="n">
        <v>15</v>
      </c>
      <c r="E3518" s="2" t="inlineStr">
        <is>
          <t>CHO</t>
        </is>
      </c>
      <c r="F3518" s="2" t="n">
        <v>2.3123</v>
      </c>
      <c r="G3518" s="2" t="n">
        <v>0.007759</v>
      </c>
    </row>
    <row r="3519">
      <c r="A3519" s="1" t="inlineStr">
        <is>
          <t>H4</t>
        </is>
      </c>
      <c r="B3519" s="1" t="n">
        <v>88</v>
      </c>
      <c r="C3519" s="2">
        <f>_xlfn.XLOOKUP(B3519,Results!$B$23:$B$119,Results!$D$23:$D$119)</f>
        <v/>
      </c>
      <c r="D3519" s="1" t="n">
        <v>16</v>
      </c>
      <c r="E3519" s="1" t="inlineStr">
        <is>
          <t>CHO</t>
        </is>
      </c>
      <c r="F3519" s="1" t="n">
        <v>2.3245</v>
      </c>
      <c r="G3519" s="1" t="n">
        <v>0.01586</v>
      </c>
    </row>
    <row r="3520">
      <c r="A3520" s="2" t="inlineStr">
        <is>
          <t>H4</t>
        </is>
      </c>
      <c r="B3520" s="2" t="n">
        <v>88</v>
      </c>
      <c r="C3520" s="2">
        <f>_xlfn.XLOOKUP(B3520,Results!$B$23:$B$119,Results!$D$23:$D$119)</f>
        <v/>
      </c>
      <c r="D3520" s="2" t="n">
        <v>17</v>
      </c>
      <c r="E3520" s="2" t="inlineStr">
        <is>
          <t>CHO</t>
        </is>
      </c>
      <c r="F3520" s="2" t="n">
        <v>2.3475</v>
      </c>
      <c r="G3520" s="2" t="n">
        <v>0.034797</v>
      </c>
    </row>
    <row r="3521">
      <c r="A3521" s="1" t="inlineStr">
        <is>
          <t>H4</t>
        </is>
      </c>
      <c r="B3521" s="1" t="n">
        <v>88</v>
      </c>
      <c r="C3521" s="2">
        <f>_xlfn.XLOOKUP(B3521,Results!$B$23:$B$119,Results!$D$23:$D$119)</f>
        <v/>
      </c>
      <c r="D3521" s="1" t="n">
        <v>18</v>
      </c>
      <c r="E3521" s="1" t="inlineStr">
        <is>
          <t>CHO</t>
        </is>
      </c>
      <c r="F3521" s="1" t="n">
        <v>2.3868</v>
      </c>
      <c r="G3521" s="1" t="n">
        <v>0.069979</v>
      </c>
    </row>
    <row r="3522">
      <c r="A3522" s="2" t="inlineStr">
        <is>
          <t>H4</t>
        </is>
      </c>
      <c r="B3522" s="2" t="n">
        <v>88</v>
      </c>
      <c r="C3522" s="2">
        <f>_xlfn.XLOOKUP(B3522,Results!$B$23:$B$119,Results!$D$23:$D$119)</f>
        <v/>
      </c>
      <c r="D3522" s="2" t="n">
        <v>19</v>
      </c>
      <c r="E3522" s="2" t="inlineStr">
        <is>
          <t>CHO</t>
        </is>
      </c>
      <c r="F3522" s="2" t="n">
        <v>2.4568</v>
      </c>
      <c r="G3522" s="2" t="n">
        <v>0.135914</v>
      </c>
    </row>
    <row r="3523">
      <c r="A3523" s="1" t="inlineStr">
        <is>
          <t>H4</t>
        </is>
      </c>
      <c r="B3523" s="1" t="n">
        <v>88</v>
      </c>
      <c r="C3523" s="2">
        <f>_xlfn.XLOOKUP(B3523,Results!$B$23:$B$119,Results!$D$23:$D$119)</f>
        <v/>
      </c>
      <c r="D3523" s="1" t="n">
        <v>20</v>
      </c>
      <c r="E3523" s="1" t="inlineStr">
        <is>
          <t>CHO</t>
        </is>
      </c>
      <c r="F3523" s="1" t="n">
        <v>2.5789</v>
      </c>
      <c r="G3523" s="1" t="n">
        <v>0.253882</v>
      </c>
    </row>
    <row r="3524">
      <c r="A3524" s="2" t="inlineStr">
        <is>
          <t>H4</t>
        </is>
      </c>
      <c r="B3524" s="2" t="n">
        <v>88</v>
      </c>
      <c r="C3524" s="2">
        <f>_xlfn.XLOOKUP(B3524,Results!$B$23:$B$119,Results!$D$23:$D$119)</f>
        <v/>
      </c>
      <c r="D3524" s="2" t="n">
        <v>21</v>
      </c>
      <c r="E3524" s="2" t="inlineStr">
        <is>
          <t>CHO</t>
        </is>
      </c>
      <c r="F3524" s="2" t="n">
        <v>2.7834</v>
      </c>
      <c r="G3524" s="2" t="n">
        <v>0.45426</v>
      </c>
    </row>
    <row r="3525">
      <c r="A3525" s="1" t="inlineStr">
        <is>
          <t>H4</t>
        </is>
      </c>
      <c r="B3525" s="1" t="n">
        <v>88</v>
      </c>
      <c r="C3525" s="2">
        <f>_xlfn.XLOOKUP(B3525,Results!$B$23:$B$119,Results!$D$23:$D$119)</f>
        <v/>
      </c>
      <c r="D3525" s="1" t="n">
        <v>22</v>
      </c>
      <c r="E3525" s="1" t="inlineStr">
        <is>
          <t>CHO</t>
        </is>
      </c>
      <c r="F3525" s="1" t="n">
        <v>3.083</v>
      </c>
      <c r="G3525" s="1" t="n">
        <v>0.749711</v>
      </c>
    </row>
    <row r="3526">
      <c r="A3526" s="2" t="inlineStr">
        <is>
          <t>H4</t>
        </is>
      </c>
      <c r="B3526" s="2" t="n">
        <v>88</v>
      </c>
      <c r="C3526" s="2">
        <f>_xlfn.XLOOKUP(B3526,Results!$B$23:$B$119,Results!$D$23:$D$119)</f>
        <v/>
      </c>
      <c r="D3526" s="2" t="n">
        <v>23</v>
      </c>
      <c r="E3526" s="2" t="inlineStr">
        <is>
          <t>CHO</t>
        </is>
      </c>
      <c r="F3526" s="2" t="n">
        <v>3.4712</v>
      </c>
      <c r="G3526" s="2" t="n">
        <v>1.133863</v>
      </c>
    </row>
    <row r="3527">
      <c r="A3527" s="1" t="inlineStr">
        <is>
          <t>H4</t>
        </is>
      </c>
      <c r="B3527" s="1" t="n">
        <v>88</v>
      </c>
      <c r="C3527" s="2">
        <f>_xlfn.XLOOKUP(B3527,Results!$B$23:$B$119,Results!$D$23:$D$119)</f>
        <v/>
      </c>
      <c r="D3527" s="1" t="n">
        <v>24</v>
      </c>
      <c r="E3527" s="1" t="inlineStr">
        <is>
          <t>CHO</t>
        </is>
      </c>
      <c r="F3527" s="1" t="n">
        <v>3.9081</v>
      </c>
      <c r="G3527" s="1" t="n">
        <v>1.566656</v>
      </c>
    </row>
    <row r="3528">
      <c r="A3528" s="2" t="inlineStr">
        <is>
          <t>H4</t>
        </is>
      </c>
      <c r="B3528" s="2" t="n">
        <v>88</v>
      </c>
      <c r="C3528" s="2">
        <f>_xlfn.XLOOKUP(B3528,Results!$B$23:$B$119,Results!$D$23:$D$119)</f>
        <v/>
      </c>
      <c r="D3528" s="2" t="n">
        <v>25</v>
      </c>
      <c r="E3528" s="2" t="inlineStr">
        <is>
          <t>CHO</t>
        </is>
      </c>
      <c r="F3528" s="2" t="n">
        <v>4.3543</v>
      </c>
      <c r="G3528" s="2" t="n">
        <v>2.008685</v>
      </c>
    </row>
    <row r="3529">
      <c r="A3529" s="1" t="inlineStr">
        <is>
          <t>H4</t>
        </is>
      </c>
      <c r="B3529" s="1" t="n">
        <v>88</v>
      </c>
      <c r="C3529" s="2">
        <f>_xlfn.XLOOKUP(B3529,Results!$B$23:$B$119,Results!$D$23:$D$119)</f>
        <v/>
      </c>
      <c r="D3529" s="1" t="n">
        <v>26</v>
      </c>
      <c r="E3529" s="1" t="inlineStr">
        <is>
          <t>CHO</t>
        </is>
      </c>
      <c r="F3529" s="1" t="n">
        <v>4.7697</v>
      </c>
      <c r="G3529" s="1" t="n">
        <v>2.420068</v>
      </c>
    </row>
    <row r="3530">
      <c r="A3530" s="2" t="inlineStr">
        <is>
          <t>H4</t>
        </is>
      </c>
      <c r="B3530" s="2" t="n">
        <v>88</v>
      </c>
      <c r="C3530" s="2">
        <f>_xlfn.XLOOKUP(B3530,Results!$B$23:$B$119,Results!$D$23:$D$119)</f>
        <v/>
      </c>
      <c r="D3530" s="2" t="n">
        <v>27</v>
      </c>
      <c r="E3530" s="2" t="inlineStr">
        <is>
          <t>CHO</t>
        </is>
      </c>
      <c r="F3530" s="2" t="n">
        <v>5.1366</v>
      </c>
      <c r="G3530" s="2" t="n">
        <v>2.782805</v>
      </c>
    </row>
    <row r="3531">
      <c r="A3531" s="1" t="inlineStr">
        <is>
          <t>H4</t>
        </is>
      </c>
      <c r="B3531" s="1" t="n">
        <v>88</v>
      </c>
      <c r="C3531" s="2">
        <f>_xlfn.XLOOKUP(B3531,Results!$B$23:$B$119,Results!$D$23:$D$119)</f>
        <v/>
      </c>
      <c r="D3531" s="1" t="n">
        <v>28</v>
      </c>
      <c r="E3531" s="1" t="inlineStr">
        <is>
          <t>CHO</t>
        </is>
      </c>
      <c r="F3531" s="1" t="n">
        <v>5.4715</v>
      </c>
      <c r="G3531" s="1" t="n">
        <v>3.113639</v>
      </c>
    </row>
    <row r="3532">
      <c r="A3532" s="2" t="inlineStr">
        <is>
          <t>H4</t>
        </is>
      </c>
      <c r="B3532" s="2" t="n">
        <v>88</v>
      </c>
      <c r="C3532" s="2">
        <f>_xlfn.XLOOKUP(B3532,Results!$B$23:$B$119,Results!$D$23:$D$119)</f>
        <v/>
      </c>
      <c r="D3532" s="2" t="n">
        <v>29</v>
      </c>
      <c r="E3532" s="2" t="inlineStr">
        <is>
          <t>CHO</t>
        </is>
      </c>
      <c r="F3532" s="2" t="n">
        <v>5.7683</v>
      </c>
      <c r="G3532" s="2" t="n">
        <v>3.406296</v>
      </c>
    </row>
    <row r="3533">
      <c r="A3533" s="1" t="inlineStr">
        <is>
          <t>H4</t>
        </is>
      </c>
      <c r="B3533" s="1" t="n">
        <v>88</v>
      </c>
      <c r="C3533" s="2">
        <f>_xlfn.XLOOKUP(B3533,Results!$B$23:$B$119,Results!$D$23:$D$119)</f>
        <v/>
      </c>
      <c r="D3533" s="1" t="n">
        <v>30</v>
      </c>
      <c r="E3533" s="1" t="inlineStr">
        <is>
          <t>CHO</t>
        </is>
      </c>
      <c r="F3533" s="1" t="n">
        <v>6.0168</v>
      </c>
      <c r="G3533" s="1" t="n">
        <v>3.650723</v>
      </c>
    </row>
    <row r="3534">
      <c r="A3534" s="2" t="inlineStr">
        <is>
          <t>H4</t>
        </is>
      </c>
      <c r="B3534" s="2" t="n">
        <v>88</v>
      </c>
      <c r="C3534" s="2">
        <f>_xlfn.XLOOKUP(B3534,Results!$B$23:$B$119,Results!$D$23:$D$119)</f>
        <v/>
      </c>
      <c r="D3534" s="2" t="n">
        <v>31</v>
      </c>
      <c r="E3534" s="2" t="inlineStr">
        <is>
          <t>CHO</t>
        </is>
      </c>
      <c r="F3534" s="2" t="n">
        <v>6.2232</v>
      </c>
      <c r="G3534" s="2" t="n">
        <v>3.853009</v>
      </c>
    </row>
    <row r="3535">
      <c r="A3535" s="1" t="inlineStr">
        <is>
          <t>H4</t>
        </is>
      </c>
      <c r="B3535" s="1" t="n">
        <v>88</v>
      </c>
      <c r="C3535" s="2">
        <f>_xlfn.XLOOKUP(B3535,Results!$B$23:$B$119,Results!$D$23:$D$119)</f>
        <v/>
      </c>
      <c r="D3535" s="1" t="n">
        <v>32</v>
      </c>
      <c r="E3535" s="1" t="inlineStr">
        <is>
          <t>CHO</t>
        </is>
      </c>
      <c r="F3535" s="1" t="n">
        <v>6.4095</v>
      </c>
      <c r="G3535" s="1" t="n">
        <v>4.035149</v>
      </c>
    </row>
    <row r="3536">
      <c r="A3536" s="2" t="inlineStr">
        <is>
          <t>H4</t>
        </is>
      </c>
      <c r="B3536" s="2" t="n">
        <v>88</v>
      </c>
      <c r="C3536" s="2">
        <f>_xlfn.XLOOKUP(B3536,Results!$B$23:$B$119,Results!$D$23:$D$119)</f>
        <v/>
      </c>
      <c r="D3536" s="2" t="n">
        <v>33</v>
      </c>
      <c r="E3536" s="2" t="inlineStr">
        <is>
          <t>CHO</t>
        </is>
      </c>
      <c r="F3536" s="2" t="n">
        <v>6.5763</v>
      </c>
      <c r="G3536" s="2" t="n">
        <v>4.197892</v>
      </c>
    </row>
    <row r="3537">
      <c r="A3537" s="1" t="inlineStr">
        <is>
          <t>H4</t>
        </is>
      </c>
      <c r="B3537" s="1" t="n">
        <v>88</v>
      </c>
      <c r="C3537" s="2">
        <f>_xlfn.XLOOKUP(B3537,Results!$B$23:$B$119,Results!$D$23:$D$119)</f>
        <v/>
      </c>
      <c r="D3537" s="1" t="n">
        <v>34</v>
      </c>
      <c r="E3537" s="1" t="inlineStr">
        <is>
          <t>CHO</t>
        </is>
      </c>
      <c r="F3537" s="1" t="n">
        <v>6.7054</v>
      </c>
      <c r="G3537" s="1" t="n">
        <v>4.322876</v>
      </c>
    </row>
    <row r="3538">
      <c r="A3538" s="2" t="inlineStr">
        <is>
          <t>H4</t>
        </is>
      </c>
      <c r="B3538" s="2" t="n">
        <v>88</v>
      </c>
      <c r="C3538" s="2">
        <f>_xlfn.XLOOKUP(B3538,Results!$B$23:$B$119,Results!$D$23:$D$119)</f>
        <v/>
      </c>
      <c r="D3538" s="2" t="n">
        <v>35</v>
      </c>
      <c r="E3538" s="2" t="inlineStr">
        <is>
          <t>CHO</t>
        </is>
      </c>
      <c r="F3538" s="2" t="n">
        <v>6.8093</v>
      </c>
      <c r="G3538" s="2" t="n">
        <v>4.422708</v>
      </c>
    </row>
    <row r="3539">
      <c r="A3539" s="1" t="inlineStr">
        <is>
          <t>H4</t>
        </is>
      </c>
      <c r="B3539" s="1" t="n">
        <v>88</v>
      </c>
      <c r="C3539" s="2">
        <f>_xlfn.XLOOKUP(B3539,Results!$B$23:$B$119,Results!$D$23:$D$119)</f>
        <v/>
      </c>
      <c r="D3539" s="1" t="n">
        <v>36</v>
      </c>
      <c r="E3539" s="1" t="inlineStr">
        <is>
          <t>CHO</t>
        </is>
      </c>
      <c r="F3539" s="1" t="n">
        <v>6.8991</v>
      </c>
      <c r="G3539" s="1" t="n">
        <v>4.508375</v>
      </c>
    </row>
    <row r="3540">
      <c r="A3540" s="2" t="inlineStr">
        <is>
          <t>H4</t>
        </is>
      </c>
      <c r="B3540" s="2" t="n">
        <v>88</v>
      </c>
      <c r="C3540" s="2">
        <f>_xlfn.XLOOKUP(B3540,Results!$B$23:$B$119,Results!$D$23:$D$119)</f>
        <v/>
      </c>
      <c r="D3540" s="2" t="n">
        <v>37</v>
      </c>
      <c r="E3540" s="2" t="inlineStr">
        <is>
          <t>CHO</t>
        </is>
      </c>
      <c r="F3540" s="2" t="n">
        <v>6.9813</v>
      </c>
      <c r="G3540" s="2" t="n">
        <v>4.586459</v>
      </c>
    </row>
    <row r="3541">
      <c r="A3541" s="1" t="inlineStr">
        <is>
          <t>H4</t>
        </is>
      </c>
      <c r="B3541" s="1" t="n">
        <v>88</v>
      </c>
      <c r="C3541" s="2">
        <f>_xlfn.XLOOKUP(B3541,Results!$B$23:$B$119,Results!$D$23:$D$119)</f>
        <v/>
      </c>
      <c r="D3541" s="1" t="n">
        <v>38</v>
      </c>
      <c r="E3541" s="1" t="inlineStr">
        <is>
          <t>CHO</t>
        </is>
      </c>
      <c r="F3541" s="1" t="n">
        <v>7.0535</v>
      </c>
      <c r="G3541" s="1" t="n">
        <v>4.654572</v>
      </c>
    </row>
    <row r="3542">
      <c r="A3542" s="2" t="inlineStr">
        <is>
          <t>H4</t>
        </is>
      </c>
      <c r="B3542" s="2" t="n">
        <v>88</v>
      </c>
      <c r="C3542" s="2">
        <f>_xlfn.XLOOKUP(B3542,Results!$B$23:$B$119,Results!$D$23:$D$119)</f>
        <v/>
      </c>
      <c r="D3542" s="2" t="n">
        <v>39</v>
      </c>
      <c r="E3542" s="2" t="inlineStr">
        <is>
          <t>CHO</t>
        </is>
      </c>
      <c r="F3542" s="2" t="n">
        <v>7.1205</v>
      </c>
      <c r="G3542" s="2" t="n">
        <v>4.71748</v>
      </c>
    </row>
    <row r="3543">
      <c r="A3543" s="1" t="inlineStr">
        <is>
          <t>H4</t>
        </is>
      </c>
      <c r="B3543" s="1" t="n">
        <v>88</v>
      </c>
      <c r="C3543" s="2">
        <f>_xlfn.XLOOKUP(B3543,Results!$B$23:$B$119,Results!$D$23:$D$119)</f>
        <v/>
      </c>
      <c r="D3543" s="1" t="n">
        <v>40</v>
      </c>
      <c r="E3543" s="1" t="inlineStr">
        <is>
          <t>CHO</t>
        </is>
      </c>
      <c r="F3543" s="1" t="n">
        <v>7.1711</v>
      </c>
      <c r="G3543" s="1" t="n">
        <v>4.763917</v>
      </c>
    </row>
    <row r="3544">
      <c r="A3544" s="2" t="inlineStr">
        <is>
          <t>H5</t>
        </is>
      </c>
      <c r="B3544" s="2" t="n">
        <v>89</v>
      </c>
      <c r="C3544" s="2">
        <f>_xlfn.XLOOKUP(B3544,Results!$B$23:$B$119,Results!$D$23:$D$119)</f>
        <v/>
      </c>
      <c r="D3544" s="2" t="n">
        <v>1</v>
      </c>
      <c r="E3544" s="2" t="inlineStr">
        <is>
          <t>CHO</t>
        </is>
      </c>
      <c r="F3544" s="2" t="n">
        <v>2.2849</v>
      </c>
      <c r="G3544" s="2" t="n">
        <v>0.028197</v>
      </c>
    </row>
    <row r="3545">
      <c r="A3545" s="1" t="inlineStr">
        <is>
          <t>H5</t>
        </is>
      </c>
      <c r="B3545" s="1" t="n">
        <v>89</v>
      </c>
      <c r="C3545" s="2">
        <f>_xlfn.XLOOKUP(B3545,Results!$B$23:$B$119,Results!$D$23:$D$119)</f>
        <v/>
      </c>
      <c r="D3545" s="1" t="n">
        <v>2</v>
      </c>
      <c r="E3545" s="1" t="inlineStr">
        <is>
          <t>CHO</t>
        </is>
      </c>
      <c r="F3545" s="1" t="n">
        <v>2.2731</v>
      </c>
      <c r="G3545" s="1" t="n">
        <v>0.011529</v>
      </c>
    </row>
    <row r="3546">
      <c r="A3546" s="2" t="inlineStr">
        <is>
          <t>H5</t>
        </is>
      </c>
      <c r="B3546" s="2" t="n">
        <v>89</v>
      </c>
      <c r="C3546" s="2">
        <f>_xlfn.XLOOKUP(B3546,Results!$B$23:$B$119,Results!$D$23:$D$119)</f>
        <v/>
      </c>
      <c r="D3546" s="2" t="n">
        <v>3</v>
      </c>
      <c r="E3546" s="2" t="inlineStr">
        <is>
          <t>CHO</t>
        </is>
      </c>
      <c r="F3546" s="2" t="n">
        <v>2.2686</v>
      </c>
      <c r="G3546" s="2" t="n">
        <v>0.002279</v>
      </c>
    </row>
    <row r="3547">
      <c r="A3547" s="1" t="inlineStr">
        <is>
          <t>H5</t>
        </is>
      </c>
      <c r="B3547" s="1" t="n">
        <v>89</v>
      </c>
      <c r="C3547" s="2">
        <f>_xlfn.XLOOKUP(B3547,Results!$B$23:$B$119,Results!$D$23:$D$119)</f>
        <v/>
      </c>
      <c r="D3547" s="1" t="n">
        <v>4</v>
      </c>
      <c r="E3547" s="1" t="inlineStr">
        <is>
          <t>CHO</t>
        </is>
      </c>
      <c r="F3547" s="1" t="n">
        <v>2.272</v>
      </c>
      <c r="G3547" s="1" t="n">
        <v>0.000809</v>
      </c>
    </row>
    <row r="3548">
      <c r="A3548" s="2" t="inlineStr">
        <is>
          <t>H5</t>
        </is>
      </c>
      <c r="B3548" s="2" t="n">
        <v>89</v>
      </c>
      <c r="C3548" s="2">
        <f>_xlfn.XLOOKUP(B3548,Results!$B$23:$B$119,Results!$D$23:$D$119)</f>
        <v/>
      </c>
      <c r="D3548" s="2" t="n">
        <v>5</v>
      </c>
      <c r="E3548" s="2" t="inlineStr">
        <is>
          <t>CHO</t>
        </is>
      </c>
      <c r="F3548" s="2" t="n">
        <v>2.2784</v>
      </c>
      <c r="G3548" s="2" t="n">
        <v>0.002343</v>
      </c>
    </row>
    <row r="3549">
      <c r="A3549" s="1" t="inlineStr">
        <is>
          <t>H5</t>
        </is>
      </c>
      <c r="B3549" s="1" t="n">
        <v>89</v>
      </c>
      <c r="C3549" s="2">
        <f>_xlfn.XLOOKUP(B3549,Results!$B$23:$B$119,Results!$D$23:$D$119)</f>
        <v/>
      </c>
      <c r="D3549" s="1" t="n">
        <v>6</v>
      </c>
      <c r="E3549" s="1" t="inlineStr">
        <is>
          <t>CHO</t>
        </is>
      </c>
      <c r="F3549" s="1" t="n">
        <v>2.2821</v>
      </c>
      <c r="G3549" s="1" t="n">
        <v>0.001284</v>
      </c>
    </row>
    <row r="3550">
      <c r="A3550" s="2" t="inlineStr">
        <is>
          <t>H5</t>
        </is>
      </c>
      <c r="B3550" s="2" t="n">
        <v>89</v>
      </c>
      <c r="C3550" s="2">
        <f>_xlfn.XLOOKUP(B3550,Results!$B$23:$B$119,Results!$D$23:$D$119)</f>
        <v/>
      </c>
      <c r="D3550" s="2" t="n">
        <v>7</v>
      </c>
      <c r="E3550" s="2" t="inlineStr">
        <is>
          <t>CHO</t>
        </is>
      </c>
      <c r="F3550" s="2" t="n">
        <v>2.2861</v>
      </c>
      <c r="G3550" s="2" t="n">
        <v>0.000473</v>
      </c>
    </row>
    <row r="3551">
      <c r="A3551" s="1" t="inlineStr">
        <is>
          <t>H5</t>
        </is>
      </c>
      <c r="B3551" s="1" t="n">
        <v>89</v>
      </c>
      <c r="C3551" s="2">
        <f>_xlfn.XLOOKUP(B3551,Results!$B$23:$B$119,Results!$D$23:$D$119)</f>
        <v/>
      </c>
      <c r="D3551" s="1" t="n">
        <v>8</v>
      </c>
      <c r="E3551" s="1" t="inlineStr">
        <is>
          <t>CHO</t>
        </is>
      </c>
      <c r="F3551" s="1" t="n">
        <v>2.2869</v>
      </c>
      <c r="G3551" s="1" t="n">
        <v>-0.003564</v>
      </c>
    </row>
    <row r="3552">
      <c r="A3552" s="2" t="inlineStr">
        <is>
          <t>H5</t>
        </is>
      </c>
      <c r="B3552" s="2" t="n">
        <v>89</v>
      </c>
      <c r="C3552" s="2">
        <f>_xlfn.XLOOKUP(B3552,Results!$B$23:$B$119,Results!$D$23:$D$119)</f>
        <v/>
      </c>
      <c r="D3552" s="2" t="n">
        <v>9</v>
      </c>
      <c r="E3552" s="2" t="inlineStr">
        <is>
          <t>CHO</t>
        </is>
      </c>
      <c r="F3552" s="2" t="n">
        <v>2.2896</v>
      </c>
      <c r="G3552" s="2" t="n">
        <v>-0.005736</v>
      </c>
    </row>
    <row r="3553">
      <c r="A3553" s="1" t="inlineStr">
        <is>
          <t>H5</t>
        </is>
      </c>
      <c r="B3553" s="1" t="n">
        <v>89</v>
      </c>
      <c r="C3553" s="2">
        <f>_xlfn.XLOOKUP(B3553,Results!$B$23:$B$119,Results!$D$23:$D$119)</f>
        <v/>
      </c>
      <c r="D3553" s="1" t="n">
        <v>10</v>
      </c>
      <c r="E3553" s="1" t="inlineStr">
        <is>
          <t>CHO</t>
        </is>
      </c>
      <c r="F3553" s="1" t="n">
        <v>2.2975</v>
      </c>
      <c r="G3553" s="1" t="n">
        <v>-0.002604</v>
      </c>
    </row>
    <row r="3554">
      <c r="A3554" s="2" t="inlineStr">
        <is>
          <t>H5</t>
        </is>
      </c>
      <c r="B3554" s="2" t="n">
        <v>89</v>
      </c>
      <c r="C3554" s="2">
        <f>_xlfn.XLOOKUP(B3554,Results!$B$23:$B$119,Results!$D$23:$D$119)</f>
        <v/>
      </c>
      <c r="D3554" s="2" t="n">
        <v>11</v>
      </c>
      <c r="E3554" s="2" t="inlineStr">
        <is>
          <t>CHO</t>
        </is>
      </c>
      <c r="F3554" s="2" t="n">
        <v>2.304</v>
      </c>
      <c r="G3554" s="2" t="n">
        <v>-0.000972</v>
      </c>
    </row>
    <row r="3555">
      <c r="A3555" s="1" t="inlineStr">
        <is>
          <t>H5</t>
        </is>
      </c>
      <c r="B3555" s="1" t="n">
        <v>89</v>
      </c>
      <c r="C3555" s="2">
        <f>_xlfn.XLOOKUP(B3555,Results!$B$23:$B$119,Results!$D$23:$D$119)</f>
        <v/>
      </c>
      <c r="D3555" s="1" t="n">
        <v>12</v>
      </c>
      <c r="E3555" s="1" t="inlineStr">
        <is>
          <t>CHO</t>
        </is>
      </c>
      <c r="F3555" s="1" t="n">
        <v>2.3099</v>
      </c>
      <c r="G3555" s="1" t="n">
        <v>0.000178</v>
      </c>
    </row>
    <row r="3556">
      <c r="A3556" s="2" t="inlineStr">
        <is>
          <t>H5</t>
        </is>
      </c>
      <c r="B3556" s="2" t="n">
        <v>89</v>
      </c>
      <c r="C3556" s="2">
        <f>_xlfn.XLOOKUP(B3556,Results!$B$23:$B$119,Results!$D$23:$D$119)</f>
        <v/>
      </c>
      <c r="D3556" s="2" t="n">
        <v>13</v>
      </c>
      <c r="E3556" s="2" t="inlineStr">
        <is>
          <t>CHO</t>
        </is>
      </c>
      <c r="F3556" s="2" t="n">
        <v>2.3145</v>
      </c>
      <c r="G3556" s="2" t="n">
        <v>-6.2e-05</v>
      </c>
    </row>
    <row r="3557">
      <c r="A3557" s="1" t="inlineStr">
        <is>
          <t>H5</t>
        </is>
      </c>
      <c r="B3557" s="1" t="n">
        <v>89</v>
      </c>
      <c r="C3557" s="2">
        <f>_xlfn.XLOOKUP(B3557,Results!$B$23:$B$119,Results!$D$23:$D$119)</f>
        <v/>
      </c>
      <c r="D3557" s="1" t="n">
        <v>14</v>
      </c>
      <c r="E3557" s="1" t="inlineStr">
        <is>
          <t>CHO</t>
        </is>
      </c>
      <c r="F3557" s="1" t="n">
        <v>2.3203</v>
      </c>
      <c r="G3557" s="1" t="n">
        <v>0.000854</v>
      </c>
    </row>
    <row r="3558">
      <c r="A3558" s="2" t="inlineStr">
        <is>
          <t>H5</t>
        </is>
      </c>
      <c r="B3558" s="2" t="n">
        <v>89</v>
      </c>
      <c r="C3558" s="2">
        <f>_xlfn.XLOOKUP(B3558,Results!$B$23:$B$119,Results!$D$23:$D$119)</f>
        <v/>
      </c>
      <c r="D3558" s="2" t="n">
        <v>15</v>
      </c>
      <c r="E3558" s="2" t="inlineStr">
        <is>
          <t>CHO</t>
        </is>
      </c>
      <c r="F3558" s="2" t="n">
        <v>2.3289</v>
      </c>
      <c r="G3558" s="2" t="n">
        <v>0.00472</v>
      </c>
    </row>
    <row r="3559">
      <c r="A3559" s="1" t="inlineStr">
        <is>
          <t>H5</t>
        </is>
      </c>
      <c r="B3559" s="1" t="n">
        <v>89</v>
      </c>
      <c r="C3559" s="2">
        <f>_xlfn.XLOOKUP(B3559,Results!$B$23:$B$119,Results!$D$23:$D$119)</f>
        <v/>
      </c>
      <c r="D3559" s="1" t="n">
        <v>16</v>
      </c>
      <c r="E3559" s="1" t="inlineStr">
        <is>
          <t>CHO</t>
        </is>
      </c>
      <c r="F3559" s="1" t="n">
        <v>2.3402</v>
      </c>
      <c r="G3559" s="1" t="n">
        <v>0.011194</v>
      </c>
    </row>
    <row r="3560">
      <c r="A3560" s="2" t="inlineStr">
        <is>
          <t>H5</t>
        </is>
      </c>
      <c r="B3560" s="2" t="n">
        <v>89</v>
      </c>
      <c r="C3560" s="2">
        <f>_xlfn.XLOOKUP(B3560,Results!$B$23:$B$119,Results!$D$23:$D$119)</f>
        <v/>
      </c>
      <c r="D3560" s="2" t="n">
        <v>17</v>
      </c>
      <c r="E3560" s="2" t="inlineStr">
        <is>
          <t>CHO</t>
        </is>
      </c>
      <c r="F3560" s="2" t="n">
        <v>2.362</v>
      </c>
      <c r="G3560" s="2" t="n">
        <v>0.028165</v>
      </c>
    </row>
    <row r="3561">
      <c r="A3561" s="1" t="inlineStr">
        <is>
          <t>H5</t>
        </is>
      </c>
      <c r="B3561" s="1" t="n">
        <v>89</v>
      </c>
      <c r="C3561" s="2">
        <f>_xlfn.XLOOKUP(B3561,Results!$B$23:$B$119,Results!$D$23:$D$119)</f>
        <v/>
      </c>
      <c r="D3561" s="1" t="n">
        <v>18</v>
      </c>
      <c r="E3561" s="1" t="inlineStr">
        <is>
          <t>CHO</t>
        </is>
      </c>
      <c r="F3561" s="1" t="n">
        <v>2.4005</v>
      </c>
      <c r="G3561" s="1" t="n">
        <v>0.061822</v>
      </c>
    </row>
    <row r="3562">
      <c r="A3562" s="2" t="inlineStr">
        <is>
          <t>H5</t>
        </is>
      </c>
      <c r="B3562" s="2" t="n">
        <v>89</v>
      </c>
      <c r="C3562" s="2">
        <f>_xlfn.XLOOKUP(B3562,Results!$B$23:$B$119,Results!$D$23:$D$119)</f>
        <v/>
      </c>
      <c r="D3562" s="2" t="n">
        <v>19</v>
      </c>
      <c r="E3562" s="2" t="inlineStr">
        <is>
          <t>CHO</t>
        </is>
      </c>
      <c r="F3562" s="2" t="n">
        <v>2.4694</v>
      </c>
      <c r="G3562" s="2" t="n">
        <v>0.125861</v>
      </c>
    </row>
    <row r="3563">
      <c r="A3563" s="1" t="inlineStr">
        <is>
          <t>H5</t>
        </is>
      </c>
      <c r="B3563" s="1" t="n">
        <v>89</v>
      </c>
      <c r="C3563" s="2">
        <f>_xlfn.XLOOKUP(B3563,Results!$B$23:$B$119,Results!$D$23:$D$119)</f>
        <v/>
      </c>
      <c r="D3563" s="1" t="n">
        <v>20</v>
      </c>
      <c r="E3563" s="1" t="inlineStr">
        <is>
          <t>CHO</t>
        </is>
      </c>
      <c r="F3563" s="1" t="n">
        <v>2.5892</v>
      </c>
      <c r="G3563" s="1" t="n">
        <v>0.240832</v>
      </c>
    </row>
    <row r="3564">
      <c r="A3564" s="2" t="inlineStr">
        <is>
          <t>H5</t>
        </is>
      </c>
      <c r="B3564" s="2" t="n">
        <v>89</v>
      </c>
      <c r="C3564" s="2">
        <f>_xlfn.XLOOKUP(B3564,Results!$B$23:$B$119,Results!$D$23:$D$119)</f>
        <v/>
      </c>
      <c r="D3564" s="2" t="n">
        <v>21</v>
      </c>
      <c r="E3564" s="2" t="inlineStr">
        <is>
          <t>CHO</t>
        </is>
      </c>
      <c r="F3564" s="2" t="n">
        <v>2.7971</v>
      </c>
      <c r="G3564" s="2" t="n">
        <v>0.443991</v>
      </c>
    </row>
    <row r="3565">
      <c r="A3565" s="1" t="inlineStr">
        <is>
          <t>H5</t>
        </is>
      </c>
      <c r="B3565" s="1" t="n">
        <v>89</v>
      </c>
      <c r="C3565" s="2">
        <f>_xlfn.XLOOKUP(B3565,Results!$B$23:$B$119,Results!$D$23:$D$119)</f>
        <v/>
      </c>
      <c r="D3565" s="1" t="n">
        <v>22</v>
      </c>
      <c r="E3565" s="1" t="inlineStr">
        <is>
          <t>CHO</t>
        </is>
      </c>
      <c r="F3565" s="1" t="n">
        <v>3.0961</v>
      </c>
      <c r="G3565" s="1" t="n">
        <v>0.738105</v>
      </c>
    </row>
    <row r="3566">
      <c r="A3566" s="2" t="inlineStr">
        <is>
          <t>H5</t>
        </is>
      </c>
      <c r="B3566" s="2" t="n">
        <v>89</v>
      </c>
      <c r="C3566" s="2">
        <f>_xlfn.XLOOKUP(B3566,Results!$B$23:$B$119,Results!$D$23:$D$119)</f>
        <v/>
      </c>
      <c r="D3566" s="2" t="n">
        <v>23</v>
      </c>
      <c r="E3566" s="2" t="inlineStr">
        <is>
          <t>CHO</t>
        </is>
      </c>
      <c r="F3566" s="2" t="n">
        <v>3.4852</v>
      </c>
      <c r="G3566" s="2" t="n">
        <v>1.122409</v>
      </c>
    </row>
    <row r="3567">
      <c r="A3567" s="1" t="inlineStr">
        <is>
          <t>H5</t>
        </is>
      </c>
      <c r="B3567" s="1" t="n">
        <v>89</v>
      </c>
      <c r="C3567" s="2">
        <f>_xlfn.XLOOKUP(B3567,Results!$B$23:$B$119,Results!$D$23:$D$119)</f>
        <v/>
      </c>
      <c r="D3567" s="1" t="n">
        <v>24</v>
      </c>
      <c r="E3567" s="1" t="inlineStr">
        <is>
          <t>CHO</t>
        </is>
      </c>
      <c r="F3567" s="1" t="n">
        <v>3.9207</v>
      </c>
      <c r="G3567" s="1" t="n">
        <v>1.553051</v>
      </c>
    </row>
    <row r="3568">
      <c r="A3568" s="2" t="inlineStr">
        <is>
          <t>H5</t>
        </is>
      </c>
      <c r="B3568" s="2" t="n">
        <v>89</v>
      </c>
      <c r="C3568" s="2">
        <f>_xlfn.XLOOKUP(B3568,Results!$B$23:$B$119,Results!$D$23:$D$119)</f>
        <v/>
      </c>
      <c r="D3568" s="2" t="n">
        <v>25</v>
      </c>
      <c r="E3568" s="2" t="inlineStr">
        <is>
          <t>CHO</t>
        </is>
      </c>
      <c r="F3568" s="2" t="n">
        <v>4.3632</v>
      </c>
      <c r="G3568" s="2" t="n">
        <v>1.990763</v>
      </c>
    </row>
    <row r="3569">
      <c r="A3569" s="1" t="inlineStr">
        <is>
          <t>H5</t>
        </is>
      </c>
      <c r="B3569" s="1" t="n">
        <v>89</v>
      </c>
      <c r="C3569" s="2">
        <f>_xlfn.XLOOKUP(B3569,Results!$B$23:$B$119,Results!$D$23:$D$119)</f>
        <v/>
      </c>
      <c r="D3569" s="1" t="n">
        <v>26</v>
      </c>
      <c r="E3569" s="1" t="inlineStr">
        <is>
          <t>CHO</t>
        </is>
      </c>
      <c r="F3569" s="1" t="n">
        <v>4.775</v>
      </c>
      <c r="G3569" s="1" t="n">
        <v>2.397783</v>
      </c>
    </row>
    <row r="3570">
      <c r="A3570" s="2" t="inlineStr">
        <is>
          <t>H5</t>
        </is>
      </c>
      <c r="B3570" s="2" t="n">
        <v>89</v>
      </c>
      <c r="C3570" s="2">
        <f>_xlfn.XLOOKUP(B3570,Results!$B$23:$B$119,Results!$D$23:$D$119)</f>
        <v/>
      </c>
      <c r="D3570" s="2" t="n">
        <v>27</v>
      </c>
      <c r="E3570" s="2" t="inlineStr">
        <is>
          <t>CHO</t>
        </is>
      </c>
      <c r="F3570" s="2" t="n">
        <v>5.149</v>
      </c>
      <c r="G3570" s="2" t="n">
        <v>2.76692</v>
      </c>
    </row>
    <row r="3571">
      <c r="A3571" s="1" t="inlineStr">
        <is>
          <t>H5</t>
        </is>
      </c>
      <c r="B3571" s="1" t="n">
        <v>89</v>
      </c>
      <c r="C3571" s="2">
        <f>_xlfn.XLOOKUP(B3571,Results!$B$23:$B$119,Results!$D$23:$D$119)</f>
        <v/>
      </c>
      <c r="D3571" s="1" t="n">
        <v>28</v>
      </c>
      <c r="E3571" s="1" t="inlineStr">
        <is>
          <t>CHO</t>
        </is>
      </c>
      <c r="F3571" s="1" t="n">
        <v>5.4801</v>
      </c>
      <c r="G3571" s="1" t="n">
        <v>3.093166</v>
      </c>
    </row>
    <row r="3572">
      <c r="A3572" s="2" t="inlineStr">
        <is>
          <t>H5</t>
        </is>
      </c>
      <c r="B3572" s="2" t="n">
        <v>89</v>
      </c>
      <c r="C3572" s="2">
        <f>_xlfn.XLOOKUP(B3572,Results!$B$23:$B$119,Results!$D$23:$D$119)</f>
        <v/>
      </c>
      <c r="D3572" s="2" t="n">
        <v>29</v>
      </c>
      <c r="E3572" s="2" t="inlineStr">
        <is>
          <t>CHO</t>
        </is>
      </c>
      <c r="F3572" s="2" t="n">
        <v>5.78</v>
      </c>
      <c r="G3572" s="2" t="n">
        <v>3.388309</v>
      </c>
    </row>
    <row r="3573">
      <c r="A3573" s="1" t="inlineStr">
        <is>
          <t>H5</t>
        </is>
      </c>
      <c r="B3573" s="1" t="n">
        <v>89</v>
      </c>
      <c r="C3573" s="2">
        <f>_xlfn.XLOOKUP(B3573,Results!$B$23:$B$119,Results!$D$23:$D$119)</f>
        <v/>
      </c>
      <c r="D3573" s="1" t="n">
        <v>30</v>
      </c>
      <c r="E3573" s="1" t="inlineStr">
        <is>
          <t>CHO</t>
        </is>
      </c>
      <c r="F3573" s="1" t="n">
        <v>6.0281</v>
      </c>
      <c r="G3573" s="1" t="n">
        <v>3.631582</v>
      </c>
    </row>
    <row r="3574">
      <c r="A3574" s="2" t="inlineStr">
        <is>
          <t>H5</t>
        </is>
      </c>
      <c r="B3574" s="2" t="n">
        <v>89</v>
      </c>
      <c r="C3574" s="2">
        <f>_xlfn.XLOOKUP(B3574,Results!$B$23:$B$119,Results!$D$23:$D$119)</f>
        <v/>
      </c>
      <c r="D3574" s="2" t="n">
        <v>31</v>
      </c>
      <c r="E3574" s="2" t="inlineStr">
        <is>
          <t>CHO</t>
        </is>
      </c>
      <c r="F3574" s="2" t="n">
        <v>6.241</v>
      </c>
      <c r="G3574" s="2" t="n">
        <v>3.839671</v>
      </c>
    </row>
    <row r="3575">
      <c r="A3575" s="1" t="inlineStr">
        <is>
          <t>H5</t>
        </is>
      </c>
      <c r="B3575" s="1" t="n">
        <v>89</v>
      </c>
      <c r="C3575" s="2">
        <f>_xlfn.XLOOKUP(B3575,Results!$B$23:$B$119,Results!$D$23:$D$119)</f>
        <v/>
      </c>
      <c r="D3575" s="1" t="n">
        <v>32</v>
      </c>
      <c r="E3575" s="1" t="inlineStr">
        <is>
          <t>CHO</t>
        </is>
      </c>
      <c r="F3575" s="1" t="n">
        <v>6.4213</v>
      </c>
      <c r="G3575" s="1" t="n">
        <v>4.015119</v>
      </c>
    </row>
    <row r="3576">
      <c r="A3576" s="2" t="inlineStr">
        <is>
          <t>H5</t>
        </is>
      </c>
      <c r="B3576" s="2" t="n">
        <v>89</v>
      </c>
      <c r="C3576" s="2">
        <f>_xlfn.XLOOKUP(B3576,Results!$B$23:$B$119,Results!$D$23:$D$119)</f>
        <v/>
      </c>
      <c r="D3576" s="2" t="n">
        <v>33</v>
      </c>
      <c r="E3576" s="2" t="inlineStr">
        <is>
          <t>CHO</t>
        </is>
      </c>
      <c r="F3576" s="2" t="n">
        <v>6.5702</v>
      </c>
      <c r="G3576" s="2" t="n">
        <v>4.159237</v>
      </c>
    </row>
    <row r="3577">
      <c r="A3577" s="1" t="inlineStr">
        <is>
          <t>H5</t>
        </is>
      </c>
      <c r="B3577" s="1" t="n">
        <v>89</v>
      </c>
      <c r="C3577" s="2">
        <f>_xlfn.XLOOKUP(B3577,Results!$B$23:$B$119,Results!$D$23:$D$119)</f>
        <v/>
      </c>
      <c r="D3577" s="1" t="n">
        <v>34</v>
      </c>
      <c r="E3577" s="1" t="inlineStr">
        <is>
          <t>CHO</t>
        </is>
      </c>
      <c r="F3577" s="1" t="n">
        <v>6.6985</v>
      </c>
      <c r="G3577" s="1" t="n">
        <v>4.282669</v>
      </c>
    </row>
    <row r="3578">
      <c r="A3578" s="2" t="inlineStr">
        <is>
          <t>H5</t>
        </is>
      </c>
      <c r="B3578" s="2" t="n">
        <v>89</v>
      </c>
      <c r="C3578" s="2">
        <f>_xlfn.XLOOKUP(B3578,Results!$B$23:$B$119,Results!$D$23:$D$119)</f>
        <v/>
      </c>
      <c r="D3578" s="2" t="n">
        <v>35</v>
      </c>
      <c r="E3578" s="2" t="inlineStr">
        <is>
          <t>CHO</t>
        </is>
      </c>
      <c r="F3578" s="2" t="n">
        <v>6.8162</v>
      </c>
      <c r="G3578" s="2" t="n">
        <v>4.395601</v>
      </c>
    </row>
    <row r="3579">
      <c r="A3579" s="1" t="inlineStr">
        <is>
          <t>H5</t>
        </is>
      </c>
      <c r="B3579" s="1" t="n">
        <v>89</v>
      </c>
      <c r="C3579" s="2">
        <f>_xlfn.XLOOKUP(B3579,Results!$B$23:$B$119,Results!$D$23:$D$119)</f>
        <v/>
      </c>
      <c r="D3579" s="1" t="n">
        <v>36</v>
      </c>
      <c r="E3579" s="1" t="inlineStr">
        <is>
          <t>CHO</t>
        </is>
      </c>
      <c r="F3579" s="1" t="n">
        <v>6.9139</v>
      </c>
      <c r="G3579" s="1" t="n">
        <v>4.488499</v>
      </c>
    </row>
    <row r="3580">
      <c r="A3580" s="2" t="inlineStr">
        <is>
          <t>H5</t>
        </is>
      </c>
      <c r="B3580" s="2" t="n">
        <v>89</v>
      </c>
      <c r="C3580" s="2">
        <f>_xlfn.XLOOKUP(B3580,Results!$B$23:$B$119,Results!$D$23:$D$119)</f>
        <v/>
      </c>
      <c r="D3580" s="2" t="n">
        <v>37</v>
      </c>
      <c r="E3580" s="2" t="inlineStr">
        <is>
          <t>CHO</t>
        </is>
      </c>
      <c r="F3580" s="2" t="n">
        <v>6.9878</v>
      </c>
      <c r="G3580" s="2" t="n">
        <v>4.557562</v>
      </c>
    </row>
    <row r="3581">
      <c r="A3581" s="1" t="inlineStr">
        <is>
          <t>H5</t>
        </is>
      </c>
      <c r="B3581" s="1" t="n">
        <v>89</v>
      </c>
      <c r="C3581" s="2">
        <f>_xlfn.XLOOKUP(B3581,Results!$B$23:$B$119,Results!$D$23:$D$119)</f>
        <v/>
      </c>
      <c r="D3581" s="1" t="n">
        <v>38</v>
      </c>
      <c r="E3581" s="1" t="inlineStr">
        <is>
          <t>CHO</t>
        </is>
      </c>
      <c r="F3581" s="1" t="n">
        <v>7.0614</v>
      </c>
      <c r="G3581" s="1" t="n">
        <v>4.626345</v>
      </c>
    </row>
    <row r="3582">
      <c r="A3582" s="2" t="inlineStr">
        <is>
          <t>H5</t>
        </is>
      </c>
      <c r="B3582" s="2" t="n">
        <v>89</v>
      </c>
      <c r="C3582" s="2">
        <f>_xlfn.XLOOKUP(B3582,Results!$B$23:$B$119,Results!$D$23:$D$119)</f>
        <v/>
      </c>
      <c r="D3582" s="2" t="n">
        <v>39</v>
      </c>
      <c r="E3582" s="2" t="inlineStr">
        <is>
          <t>CHO</t>
        </is>
      </c>
      <c r="F3582" s="2" t="n">
        <v>7.124</v>
      </c>
      <c r="G3582" s="2" t="n">
        <v>4.684118</v>
      </c>
    </row>
    <row r="3583">
      <c r="A3583" s="1" t="inlineStr">
        <is>
          <t>H5</t>
        </is>
      </c>
      <c r="B3583" s="1" t="n">
        <v>89</v>
      </c>
      <c r="C3583" s="2">
        <f>_xlfn.XLOOKUP(B3583,Results!$B$23:$B$119,Results!$D$23:$D$119)</f>
        <v/>
      </c>
      <c r="D3583" s="1" t="n">
        <v>40</v>
      </c>
      <c r="E3583" s="1" t="inlineStr">
        <is>
          <t>CHO</t>
        </is>
      </c>
      <c r="F3583" s="1" t="n">
        <v>7.1676</v>
      </c>
      <c r="G3583" s="1" t="n">
        <v>4.722842</v>
      </c>
    </row>
    <row r="3584">
      <c r="A3584" s="2" t="inlineStr">
        <is>
          <t>H6</t>
        </is>
      </c>
      <c r="B3584" s="2" t="n">
        <v>90</v>
      </c>
      <c r="C3584" s="2">
        <f>_xlfn.XLOOKUP(B3584,Results!$B$23:$B$119,Results!$D$23:$D$119)</f>
        <v/>
      </c>
      <c r="D3584" s="2" t="n">
        <v>1</v>
      </c>
      <c r="E3584" s="2" t="inlineStr">
        <is>
          <t>CHO</t>
        </is>
      </c>
      <c r="F3584" s="2" t="n">
        <v>2.2654</v>
      </c>
      <c r="G3584" s="2" t="n">
        <v>0.015208</v>
      </c>
    </row>
    <row r="3585">
      <c r="A3585" s="1" t="inlineStr">
        <is>
          <t>H6</t>
        </is>
      </c>
      <c r="B3585" s="1" t="n">
        <v>90</v>
      </c>
      <c r="C3585" s="2">
        <f>_xlfn.XLOOKUP(B3585,Results!$B$23:$B$119,Results!$D$23:$D$119)</f>
        <v/>
      </c>
      <c r="D3585" s="1" t="n">
        <v>2</v>
      </c>
      <c r="E3585" s="1" t="inlineStr">
        <is>
          <t>CHO</t>
        </is>
      </c>
      <c r="F3585" s="1" t="n">
        <v>2.2639</v>
      </c>
      <c r="G3585" s="1" t="n">
        <v>0.008685999999999999</v>
      </c>
    </row>
    <row r="3586">
      <c r="A3586" s="2" t="inlineStr">
        <is>
          <t>H6</t>
        </is>
      </c>
      <c r="B3586" s="2" t="n">
        <v>90</v>
      </c>
      <c r="C3586" s="2">
        <f>_xlfn.XLOOKUP(B3586,Results!$B$23:$B$119,Results!$D$23:$D$119)</f>
        <v/>
      </c>
      <c r="D3586" s="2" t="n">
        <v>3</v>
      </c>
      <c r="E3586" s="2" t="inlineStr">
        <is>
          <t>CHO</t>
        </is>
      </c>
      <c r="F3586" s="2" t="n">
        <v>2.2634</v>
      </c>
      <c r="G3586" s="2" t="n">
        <v>0.0032</v>
      </c>
    </row>
    <row r="3587">
      <c r="A3587" s="1" t="inlineStr">
        <is>
          <t>H6</t>
        </is>
      </c>
      <c r="B3587" s="1" t="n">
        <v>90</v>
      </c>
      <c r="C3587" s="2">
        <f>_xlfn.XLOOKUP(B3587,Results!$B$23:$B$119,Results!$D$23:$D$119)</f>
        <v/>
      </c>
      <c r="D3587" s="1" t="n">
        <v>4</v>
      </c>
      <c r="E3587" s="1" t="inlineStr">
        <is>
          <t>CHO</t>
        </is>
      </c>
      <c r="F3587" s="1" t="n">
        <v>2.2654</v>
      </c>
      <c r="G3587" s="1" t="n">
        <v>0.000141</v>
      </c>
    </row>
    <row r="3588">
      <c r="A3588" s="2" t="inlineStr">
        <is>
          <t>H6</t>
        </is>
      </c>
      <c r="B3588" s="2" t="n">
        <v>90</v>
      </c>
      <c r="C3588" s="2">
        <f>_xlfn.XLOOKUP(B3588,Results!$B$23:$B$119,Results!$D$23:$D$119)</f>
        <v/>
      </c>
      <c r="D3588" s="2" t="n">
        <v>5</v>
      </c>
      <c r="E3588" s="2" t="inlineStr">
        <is>
          <t>CHO</t>
        </is>
      </c>
      <c r="F3588" s="2" t="n">
        <v>2.2721</v>
      </c>
      <c r="G3588" s="2" t="n">
        <v>0.001756</v>
      </c>
    </row>
    <row r="3589">
      <c r="A3589" s="1" t="inlineStr">
        <is>
          <t>H6</t>
        </is>
      </c>
      <c r="B3589" s="1" t="n">
        <v>90</v>
      </c>
      <c r="C3589" s="2">
        <f>_xlfn.XLOOKUP(B3589,Results!$B$23:$B$119,Results!$D$23:$D$119)</f>
        <v/>
      </c>
      <c r="D3589" s="1" t="n">
        <v>6</v>
      </c>
      <c r="E3589" s="1" t="inlineStr">
        <is>
          <t>CHO</t>
        </is>
      </c>
      <c r="F3589" s="1" t="n">
        <v>2.2757</v>
      </c>
      <c r="G3589" s="1" t="n">
        <v>0.000303</v>
      </c>
    </row>
    <row r="3590">
      <c r="A3590" s="2" t="inlineStr">
        <is>
          <t>H6</t>
        </is>
      </c>
      <c r="B3590" s="2" t="n">
        <v>90</v>
      </c>
      <c r="C3590" s="2">
        <f>_xlfn.XLOOKUP(B3590,Results!$B$23:$B$119,Results!$D$23:$D$119)</f>
        <v/>
      </c>
      <c r="D3590" s="2" t="n">
        <v>7</v>
      </c>
      <c r="E3590" s="2" t="inlineStr">
        <is>
          <t>CHO</t>
        </is>
      </c>
      <c r="F3590" s="2" t="n">
        <v>2.2809</v>
      </c>
      <c r="G3590" s="2" t="n">
        <v>0.000447</v>
      </c>
    </row>
    <row r="3591">
      <c r="A3591" s="1" t="inlineStr">
        <is>
          <t>H6</t>
        </is>
      </c>
      <c r="B3591" s="1" t="n">
        <v>90</v>
      </c>
      <c r="C3591" s="2">
        <f>_xlfn.XLOOKUP(B3591,Results!$B$23:$B$119,Results!$D$23:$D$119)</f>
        <v/>
      </c>
      <c r="D3591" s="1" t="n">
        <v>8</v>
      </c>
      <c r="E3591" s="1" t="inlineStr">
        <is>
          <t>CHO</t>
        </is>
      </c>
      <c r="F3591" s="1" t="n">
        <v>2.2863</v>
      </c>
      <c r="G3591" s="1" t="n">
        <v>0.000809</v>
      </c>
    </row>
    <row r="3592">
      <c r="A3592" s="2" t="inlineStr">
        <is>
          <t>H6</t>
        </is>
      </c>
      <c r="B3592" s="2" t="n">
        <v>90</v>
      </c>
      <c r="C3592" s="2">
        <f>_xlfn.XLOOKUP(B3592,Results!$B$23:$B$119,Results!$D$23:$D$119)</f>
        <v/>
      </c>
      <c r="D3592" s="2" t="n">
        <v>9</v>
      </c>
      <c r="E3592" s="2" t="inlineStr">
        <is>
          <t>CHO</t>
        </is>
      </c>
      <c r="F3592" s="2" t="n">
        <v>2.2862</v>
      </c>
      <c r="G3592" s="2" t="n">
        <v>-0.00428</v>
      </c>
    </row>
    <row r="3593">
      <c r="A3593" s="1" t="inlineStr">
        <is>
          <t>H6</t>
        </is>
      </c>
      <c r="B3593" s="1" t="n">
        <v>90</v>
      </c>
      <c r="C3593" s="2">
        <f>_xlfn.XLOOKUP(B3593,Results!$B$23:$B$119,Results!$D$23:$D$119)</f>
        <v/>
      </c>
      <c r="D3593" s="1" t="n">
        <v>10</v>
      </c>
      <c r="E3593" s="1" t="inlineStr">
        <is>
          <t>CHO</t>
        </is>
      </c>
      <c r="F3593" s="1" t="n">
        <v>2.289</v>
      </c>
      <c r="G3593" s="1" t="n">
        <v>-0.006504</v>
      </c>
    </row>
    <row r="3594">
      <c r="A3594" s="2" t="inlineStr">
        <is>
          <t>H6</t>
        </is>
      </c>
      <c r="B3594" s="2" t="n">
        <v>90</v>
      </c>
      <c r="C3594" s="2">
        <f>_xlfn.XLOOKUP(B3594,Results!$B$23:$B$119,Results!$D$23:$D$119)</f>
        <v/>
      </c>
      <c r="D3594" s="2" t="n">
        <v>11</v>
      </c>
      <c r="E3594" s="2" t="inlineStr">
        <is>
          <t>CHO</t>
        </is>
      </c>
      <c r="F3594" s="2" t="n">
        <v>2.2998</v>
      </c>
      <c r="G3594" s="2" t="n">
        <v>-0.000768</v>
      </c>
    </row>
    <row r="3595">
      <c r="A3595" s="1" t="inlineStr">
        <is>
          <t>H6</t>
        </is>
      </c>
      <c r="B3595" s="1" t="n">
        <v>90</v>
      </c>
      <c r="C3595" s="2">
        <f>_xlfn.XLOOKUP(B3595,Results!$B$23:$B$119,Results!$D$23:$D$119)</f>
        <v/>
      </c>
      <c r="D3595" s="1" t="n">
        <v>12</v>
      </c>
      <c r="E3595" s="1" t="inlineStr">
        <is>
          <t>CHO</t>
        </is>
      </c>
      <c r="F3595" s="1" t="n">
        <v>2.3045</v>
      </c>
      <c r="G3595" s="1" t="n">
        <v>-0.001104</v>
      </c>
    </row>
    <row r="3596">
      <c r="A3596" s="2" t="inlineStr">
        <is>
          <t>H6</t>
        </is>
      </c>
      <c r="B3596" s="2" t="n">
        <v>90</v>
      </c>
      <c r="C3596" s="2">
        <f>_xlfn.XLOOKUP(B3596,Results!$B$23:$B$119,Results!$D$23:$D$119)</f>
        <v/>
      </c>
      <c r="D3596" s="2" t="n">
        <v>13</v>
      </c>
      <c r="E3596" s="2" t="inlineStr">
        <is>
          <t>CHO</t>
        </is>
      </c>
      <c r="F3596" s="2" t="n">
        <v>2.3079</v>
      </c>
      <c r="G3596" s="2" t="n">
        <v>-0.002794</v>
      </c>
    </row>
    <row r="3597">
      <c r="A3597" s="1" t="inlineStr">
        <is>
          <t>H6</t>
        </is>
      </c>
      <c r="B3597" s="1" t="n">
        <v>90</v>
      </c>
      <c r="C3597" s="2">
        <f>_xlfn.XLOOKUP(B3597,Results!$B$23:$B$119,Results!$D$23:$D$119)</f>
        <v/>
      </c>
      <c r="D3597" s="1" t="n">
        <v>14</v>
      </c>
      <c r="E3597" s="1" t="inlineStr">
        <is>
          <t>CHO</t>
        </is>
      </c>
      <c r="F3597" s="1" t="n">
        <v>2.3164</v>
      </c>
      <c r="G3597" s="1" t="n">
        <v>0.00068</v>
      </c>
    </row>
    <row r="3598">
      <c r="A3598" s="2" t="inlineStr">
        <is>
          <t>H6</t>
        </is>
      </c>
      <c r="B3598" s="2" t="n">
        <v>90</v>
      </c>
      <c r="C3598" s="2">
        <f>_xlfn.XLOOKUP(B3598,Results!$B$23:$B$119,Results!$D$23:$D$119)</f>
        <v/>
      </c>
      <c r="D3598" s="2" t="n">
        <v>15</v>
      </c>
      <c r="E3598" s="2" t="inlineStr">
        <is>
          <t>CHO</t>
        </is>
      </c>
      <c r="F3598" s="2" t="n">
        <v>2.3289</v>
      </c>
      <c r="G3598" s="2" t="n">
        <v>0.008111999999999999</v>
      </c>
    </row>
    <row r="3599">
      <c r="A3599" s="1" t="inlineStr">
        <is>
          <t>H6</t>
        </is>
      </c>
      <c r="B3599" s="1" t="n">
        <v>90</v>
      </c>
      <c r="C3599" s="2">
        <f>_xlfn.XLOOKUP(B3599,Results!$B$23:$B$119,Results!$D$23:$D$119)</f>
        <v/>
      </c>
      <c r="D3599" s="1" t="n">
        <v>16</v>
      </c>
      <c r="E3599" s="1" t="inlineStr">
        <is>
          <t>CHO</t>
        </is>
      </c>
      <c r="F3599" s="1" t="n">
        <v>2.336</v>
      </c>
      <c r="G3599" s="1" t="n">
        <v>0.010231</v>
      </c>
    </row>
    <row r="3600">
      <c r="A3600" s="2" t="inlineStr">
        <is>
          <t>H6</t>
        </is>
      </c>
      <c r="B3600" s="2" t="n">
        <v>90</v>
      </c>
      <c r="C3600" s="2">
        <f>_xlfn.XLOOKUP(B3600,Results!$B$23:$B$119,Results!$D$23:$D$119)</f>
        <v/>
      </c>
      <c r="D3600" s="2" t="n">
        <v>17</v>
      </c>
      <c r="E3600" s="2" t="inlineStr">
        <is>
          <t>CHO</t>
        </is>
      </c>
      <c r="F3600" s="2" t="n">
        <v>2.3579</v>
      </c>
      <c r="G3600" s="2" t="n">
        <v>0.027035</v>
      </c>
    </row>
    <row r="3601">
      <c r="A3601" s="1" t="inlineStr">
        <is>
          <t>H6</t>
        </is>
      </c>
      <c r="B3601" s="1" t="n">
        <v>90</v>
      </c>
      <c r="C3601" s="2">
        <f>_xlfn.XLOOKUP(B3601,Results!$B$23:$B$119,Results!$D$23:$D$119)</f>
        <v/>
      </c>
      <c r="D3601" s="1" t="n">
        <v>18</v>
      </c>
      <c r="E3601" s="1" t="inlineStr">
        <is>
          <t>CHO</t>
        </is>
      </c>
      <c r="F3601" s="1" t="n">
        <v>2.3961</v>
      </c>
      <c r="G3601" s="1" t="n">
        <v>0.060238</v>
      </c>
    </row>
    <row r="3602">
      <c r="A3602" s="2" t="inlineStr">
        <is>
          <t>H6</t>
        </is>
      </c>
      <c r="B3602" s="2" t="n">
        <v>90</v>
      </c>
      <c r="C3602" s="2">
        <f>_xlfn.XLOOKUP(B3602,Results!$B$23:$B$119,Results!$D$23:$D$119)</f>
        <v/>
      </c>
      <c r="D3602" s="2" t="n">
        <v>19</v>
      </c>
      <c r="E3602" s="2" t="inlineStr">
        <is>
          <t>CHO</t>
        </is>
      </c>
      <c r="F3602" s="2" t="n">
        <v>2.4701</v>
      </c>
      <c r="G3602" s="2" t="n">
        <v>0.129176</v>
      </c>
    </row>
    <row r="3603">
      <c r="A3603" s="1" t="inlineStr">
        <is>
          <t>H6</t>
        </is>
      </c>
      <c r="B3603" s="1" t="n">
        <v>90</v>
      </c>
      <c r="C3603" s="2">
        <f>_xlfn.XLOOKUP(B3603,Results!$B$23:$B$119,Results!$D$23:$D$119)</f>
        <v/>
      </c>
      <c r="D3603" s="1" t="n">
        <v>20</v>
      </c>
      <c r="E3603" s="1" t="inlineStr">
        <is>
          <t>CHO</t>
        </is>
      </c>
      <c r="F3603" s="1" t="n">
        <v>2.5919</v>
      </c>
      <c r="G3603" s="1" t="n">
        <v>0.245923</v>
      </c>
    </row>
    <row r="3604">
      <c r="A3604" s="2" t="inlineStr">
        <is>
          <t>H6</t>
        </is>
      </c>
      <c r="B3604" s="2" t="n">
        <v>90</v>
      </c>
      <c r="C3604" s="2">
        <f>_xlfn.XLOOKUP(B3604,Results!$B$23:$B$119,Results!$D$23:$D$119)</f>
        <v/>
      </c>
      <c r="D3604" s="2" t="n">
        <v>21</v>
      </c>
      <c r="E3604" s="2" t="inlineStr">
        <is>
          <t>CHO</t>
        </is>
      </c>
      <c r="F3604" s="2" t="n">
        <v>2.8007</v>
      </c>
      <c r="G3604" s="2" t="n">
        <v>0.449689</v>
      </c>
    </row>
    <row r="3605">
      <c r="A3605" s="1" t="inlineStr">
        <is>
          <t>H6</t>
        </is>
      </c>
      <c r="B3605" s="1" t="n">
        <v>90</v>
      </c>
      <c r="C3605" s="2">
        <f>_xlfn.XLOOKUP(B3605,Results!$B$23:$B$119,Results!$D$23:$D$119)</f>
        <v/>
      </c>
      <c r="D3605" s="1" t="n">
        <v>22</v>
      </c>
      <c r="E3605" s="1" t="inlineStr">
        <is>
          <t>CHO</t>
        </is>
      </c>
      <c r="F3605" s="1" t="n">
        <v>3.1005</v>
      </c>
      <c r="G3605" s="1" t="n">
        <v>0.74446</v>
      </c>
    </row>
    <row r="3606">
      <c r="A3606" s="2" t="inlineStr">
        <is>
          <t>H6</t>
        </is>
      </c>
      <c r="B3606" s="2" t="n">
        <v>90</v>
      </c>
      <c r="C3606" s="2">
        <f>_xlfn.XLOOKUP(B3606,Results!$B$23:$B$119,Results!$D$23:$D$119)</f>
        <v/>
      </c>
      <c r="D3606" s="2" t="n">
        <v>23</v>
      </c>
      <c r="E3606" s="2" t="inlineStr">
        <is>
          <t>CHO</t>
        </is>
      </c>
      <c r="F3606" s="2" t="n">
        <v>3.4931</v>
      </c>
      <c r="G3606" s="2" t="n">
        <v>1.131994</v>
      </c>
    </row>
    <row r="3607">
      <c r="A3607" s="1" t="inlineStr">
        <is>
          <t>H6</t>
        </is>
      </c>
      <c r="B3607" s="1" t="n">
        <v>90</v>
      </c>
      <c r="C3607" s="2">
        <f>_xlfn.XLOOKUP(B3607,Results!$B$23:$B$119,Results!$D$23:$D$119)</f>
        <v/>
      </c>
      <c r="D3607" s="1" t="n">
        <v>24</v>
      </c>
      <c r="E3607" s="1" t="inlineStr">
        <is>
          <t>CHO</t>
        </is>
      </c>
      <c r="F3607" s="1" t="n">
        <v>3.9402</v>
      </c>
      <c r="G3607" s="1" t="n">
        <v>1.574013</v>
      </c>
    </row>
    <row r="3608">
      <c r="A3608" s="2" t="inlineStr">
        <is>
          <t>H6</t>
        </is>
      </c>
      <c r="B3608" s="2" t="n">
        <v>90</v>
      </c>
      <c r="C3608" s="2">
        <f>_xlfn.XLOOKUP(B3608,Results!$B$23:$B$119,Results!$D$23:$D$119)</f>
        <v/>
      </c>
      <c r="D3608" s="2" t="n">
        <v>25</v>
      </c>
      <c r="E3608" s="2" t="inlineStr">
        <is>
          <t>CHO</t>
        </is>
      </c>
      <c r="F3608" s="2" t="n">
        <v>4.385</v>
      </c>
      <c r="G3608" s="2" t="n">
        <v>2.013761</v>
      </c>
    </row>
    <row r="3609">
      <c r="A3609" s="1" t="inlineStr">
        <is>
          <t>H6</t>
        </is>
      </c>
      <c r="B3609" s="1" t="n">
        <v>90</v>
      </c>
      <c r="C3609" s="2">
        <f>_xlfn.XLOOKUP(B3609,Results!$B$23:$B$119,Results!$D$23:$D$119)</f>
        <v/>
      </c>
      <c r="D3609" s="1" t="n">
        <v>26</v>
      </c>
      <c r="E3609" s="1" t="inlineStr">
        <is>
          <t>CHO</t>
        </is>
      </c>
      <c r="F3609" s="1" t="n">
        <v>4.8017</v>
      </c>
      <c r="G3609" s="1" t="n">
        <v>2.425412</v>
      </c>
    </row>
    <row r="3610">
      <c r="A3610" s="2" t="inlineStr">
        <is>
          <t>H6</t>
        </is>
      </c>
      <c r="B3610" s="2" t="n">
        <v>90</v>
      </c>
      <c r="C3610" s="2">
        <f>_xlfn.XLOOKUP(B3610,Results!$B$23:$B$119,Results!$D$23:$D$119)</f>
        <v/>
      </c>
      <c r="D3610" s="2" t="n">
        <v>27</v>
      </c>
      <c r="E3610" s="2" t="inlineStr">
        <is>
          <t>CHO</t>
        </is>
      </c>
      <c r="F3610" s="2" t="n">
        <v>5.1818</v>
      </c>
      <c r="G3610" s="2" t="n">
        <v>2.800543</v>
      </c>
    </row>
    <row r="3611">
      <c r="A3611" s="1" t="inlineStr">
        <is>
          <t>H6</t>
        </is>
      </c>
      <c r="B3611" s="1" t="n">
        <v>90</v>
      </c>
      <c r="C3611" s="2">
        <f>_xlfn.XLOOKUP(B3611,Results!$B$23:$B$119,Results!$D$23:$D$119)</f>
        <v/>
      </c>
      <c r="D3611" s="1" t="n">
        <v>28</v>
      </c>
      <c r="E3611" s="1" t="inlineStr">
        <is>
          <t>CHO</t>
        </is>
      </c>
      <c r="F3611" s="1" t="n">
        <v>5.5186</v>
      </c>
      <c r="G3611" s="1" t="n">
        <v>3.132241</v>
      </c>
    </row>
    <row r="3612">
      <c r="A3612" s="2" t="inlineStr">
        <is>
          <t>H6</t>
        </is>
      </c>
      <c r="B3612" s="2" t="n">
        <v>90</v>
      </c>
      <c r="C3612" s="2">
        <f>_xlfn.XLOOKUP(B3612,Results!$B$23:$B$119,Results!$D$23:$D$119)</f>
        <v/>
      </c>
      <c r="D3612" s="2" t="n">
        <v>29</v>
      </c>
      <c r="E3612" s="2" t="inlineStr">
        <is>
          <t>CHO</t>
        </is>
      </c>
      <c r="F3612" s="2" t="n">
        <v>5.8161</v>
      </c>
      <c r="G3612" s="2" t="n">
        <v>3.424733</v>
      </c>
    </row>
    <row r="3613">
      <c r="A3613" s="1" t="inlineStr">
        <is>
          <t>H6</t>
        </is>
      </c>
      <c r="B3613" s="1" t="n">
        <v>90</v>
      </c>
      <c r="C3613" s="2">
        <f>_xlfn.XLOOKUP(B3613,Results!$B$23:$B$119,Results!$D$23:$D$119)</f>
        <v/>
      </c>
      <c r="D3613" s="1" t="n">
        <v>30</v>
      </c>
      <c r="E3613" s="1" t="inlineStr">
        <is>
          <t>CHO</t>
        </is>
      </c>
      <c r="F3613" s="1" t="n">
        <v>6.0666</v>
      </c>
      <c r="G3613" s="1" t="n">
        <v>3.670157</v>
      </c>
    </row>
    <row r="3614">
      <c r="A3614" s="2" t="inlineStr">
        <is>
          <t>H6</t>
        </is>
      </c>
      <c r="B3614" s="2" t="n">
        <v>90</v>
      </c>
      <c r="C3614" s="2">
        <f>_xlfn.XLOOKUP(B3614,Results!$B$23:$B$119,Results!$D$23:$D$119)</f>
        <v/>
      </c>
      <c r="D3614" s="2" t="n">
        <v>31</v>
      </c>
      <c r="E3614" s="2" t="inlineStr">
        <is>
          <t>CHO</t>
        </is>
      </c>
      <c r="F3614" s="2" t="n">
        <v>6.2781</v>
      </c>
      <c r="G3614" s="2" t="n">
        <v>3.876601</v>
      </c>
    </row>
    <row r="3615">
      <c r="A3615" s="1" t="inlineStr">
        <is>
          <t>H6</t>
        </is>
      </c>
      <c r="B3615" s="1" t="n">
        <v>90</v>
      </c>
      <c r="C3615" s="2">
        <f>_xlfn.XLOOKUP(B3615,Results!$B$23:$B$119,Results!$D$23:$D$119)</f>
        <v/>
      </c>
      <c r="D3615" s="1" t="n">
        <v>32</v>
      </c>
      <c r="E3615" s="1" t="inlineStr">
        <is>
          <t>CHO</t>
        </is>
      </c>
      <c r="F3615" s="1" t="n">
        <v>6.4693</v>
      </c>
      <c r="G3615" s="1" t="n">
        <v>4.062777</v>
      </c>
    </row>
    <row r="3616">
      <c r="A3616" s="2" t="inlineStr">
        <is>
          <t>H6</t>
        </is>
      </c>
      <c r="B3616" s="2" t="n">
        <v>90</v>
      </c>
      <c r="C3616" s="2">
        <f>_xlfn.XLOOKUP(B3616,Results!$B$23:$B$119,Results!$D$23:$D$119)</f>
        <v/>
      </c>
      <c r="D3616" s="2" t="n">
        <v>33</v>
      </c>
      <c r="E3616" s="2" t="inlineStr">
        <is>
          <t>CHO</t>
        </is>
      </c>
      <c r="F3616" s="2" t="n">
        <v>6.6228</v>
      </c>
      <c r="G3616" s="2" t="n">
        <v>4.211223</v>
      </c>
    </row>
    <row r="3617">
      <c r="A3617" s="1" t="inlineStr">
        <is>
          <t>H6</t>
        </is>
      </c>
      <c r="B3617" s="1" t="n">
        <v>90</v>
      </c>
      <c r="C3617" s="2">
        <f>_xlfn.XLOOKUP(B3617,Results!$B$23:$B$119,Results!$D$23:$D$119)</f>
        <v/>
      </c>
      <c r="D3617" s="1" t="n">
        <v>34</v>
      </c>
      <c r="E3617" s="1" t="inlineStr">
        <is>
          <t>CHO</t>
        </is>
      </c>
      <c r="F3617" s="1" t="n">
        <v>6.7641</v>
      </c>
      <c r="G3617" s="1" t="n">
        <v>4.347513</v>
      </c>
    </row>
    <row r="3618">
      <c r="A3618" s="2" t="inlineStr">
        <is>
          <t>H6</t>
        </is>
      </c>
      <c r="B3618" s="2" t="n">
        <v>90</v>
      </c>
      <c r="C3618" s="2">
        <f>_xlfn.XLOOKUP(B3618,Results!$B$23:$B$119,Results!$D$23:$D$119)</f>
        <v/>
      </c>
      <c r="D3618" s="2" t="n">
        <v>35</v>
      </c>
      <c r="E3618" s="2" t="inlineStr">
        <is>
          <t>CHO</t>
        </is>
      </c>
      <c r="F3618" s="2" t="n">
        <v>6.8763</v>
      </c>
      <c r="G3618" s="2" t="n">
        <v>4.454655</v>
      </c>
    </row>
    <row r="3619">
      <c r="A3619" s="1" t="inlineStr">
        <is>
          <t>H6</t>
        </is>
      </c>
      <c r="B3619" s="1" t="n">
        <v>90</v>
      </c>
      <c r="C3619" s="2">
        <f>_xlfn.XLOOKUP(B3619,Results!$B$23:$B$119,Results!$D$23:$D$119)</f>
        <v/>
      </c>
      <c r="D3619" s="1" t="n">
        <v>36</v>
      </c>
      <c r="E3619" s="1" t="inlineStr">
        <is>
          <t>CHO</t>
        </is>
      </c>
      <c r="F3619" s="1" t="n">
        <v>6.9678</v>
      </c>
      <c r="G3619" s="1" t="n">
        <v>4.541089</v>
      </c>
    </row>
    <row r="3620">
      <c r="A3620" s="2" t="inlineStr">
        <is>
          <t>H6</t>
        </is>
      </c>
      <c r="B3620" s="2" t="n">
        <v>90</v>
      </c>
      <c r="C3620" s="2">
        <f>_xlfn.XLOOKUP(B3620,Results!$B$23:$B$119,Results!$D$23:$D$119)</f>
        <v/>
      </c>
      <c r="D3620" s="2" t="n">
        <v>37</v>
      </c>
      <c r="E3620" s="2" t="inlineStr">
        <is>
          <t>CHO</t>
        </is>
      </c>
      <c r="F3620" s="2" t="n">
        <v>7.0417</v>
      </c>
      <c r="G3620" s="2" t="n">
        <v>4.609943</v>
      </c>
    </row>
    <row r="3621">
      <c r="A3621" s="1" t="inlineStr">
        <is>
          <t>H6</t>
        </is>
      </c>
      <c r="B3621" s="1" t="n">
        <v>90</v>
      </c>
      <c r="C3621" s="2">
        <f>_xlfn.XLOOKUP(B3621,Results!$B$23:$B$119,Results!$D$23:$D$119)</f>
        <v/>
      </c>
      <c r="D3621" s="1" t="n">
        <v>38</v>
      </c>
      <c r="E3621" s="1" t="inlineStr">
        <is>
          <t>CHO</t>
        </is>
      </c>
      <c r="F3621" s="1" t="n">
        <v>7.1163</v>
      </c>
      <c r="G3621" s="1" t="n">
        <v>4.679565</v>
      </c>
    </row>
    <row r="3622">
      <c r="A3622" s="2" t="inlineStr">
        <is>
          <t>H6</t>
        </is>
      </c>
      <c r="B3622" s="2" t="n">
        <v>90</v>
      </c>
      <c r="C3622" s="2">
        <f>_xlfn.XLOOKUP(B3622,Results!$B$23:$B$119,Results!$D$23:$D$119)</f>
        <v/>
      </c>
      <c r="D3622" s="2" t="n">
        <v>39</v>
      </c>
      <c r="E3622" s="2" t="inlineStr">
        <is>
          <t>CHO</t>
        </is>
      </c>
      <c r="F3622" s="2" t="n">
        <v>7.1755</v>
      </c>
      <c r="G3622" s="2" t="n">
        <v>4.733692</v>
      </c>
    </row>
    <row r="3623">
      <c r="A3623" s="1" t="inlineStr">
        <is>
          <t>H6</t>
        </is>
      </c>
      <c r="B3623" s="1" t="n">
        <v>90</v>
      </c>
      <c r="C3623" s="2">
        <f>_xlfn.XLOOKUP(B3623,Results!$B$23:$B$119,Results!$D$23:$D$119)</f>
        <v/>
      </c>
      <c r="D3623" s="1" t="n">
        <v>40</v>
      </c>
      <c r="E3623" s="1" t="inlineStr">
        <is>
          <t>CHO</t>
        </is>
      </c>
      <c r="F3623" s="1" t="n">
        <v>7.2228</v>
      </c>
      <c r="G3623" s="1" t="n">
        <v>4.775898</v>
      </c>
    </row>
    <row r="3624">
      <c r="A3624" s="2" t="inlineStr">
        <is>
          <t>H7</t>
        </is>
      </c>
      <c r="B3624" s="2" t="n">
        <v>91</v>
      </c>
      <c r="C3624" s="2">
        <f>_xlfn.XLOOKUP(B3624,Results!$B$23:$B$119,Results!$D$23:$D$119)</f>
        <v/>
      </c>
      <c r="D3624" s="2" t="n">
        <v>1</v>
      </c>
      <c r="E3624" s="2" t="inlineStr"/>
      <c r="F3624" s="2" t="inlineStr"/>
      <c r="G3624" s="2" t="inlineStr"/>
    </row>
    <row r="3625">
      <c r="A3625" s="1" t="inlineStr">
        <is>
          <t>H7</t>
        </is>
      </c>
      <c r="B3625" s="1" t="n">
        <v>91</v>
      </c>
      <c r="C3625" s="2">
        <f>_xlfn.XLOOKUP(B3625,Results!$B$23:$B$119,Results!$D$23:$D$119)</f>
        <v/>
      </c>
      <c r="D3625" s="1" t="n">
        <v>2</v>
      </c>
      <c r="E3625" s="1" t="inlineStr"/>
      <c r="F3625" s="1" t="inlineStr"/>
      <c r="G3625" s="1" t="inlineStr"/>
    </row>
    <row r="3626">
      <c r="A3626" s="2" t="inlineStr">
        <is>
          <t>H7</t>
        </is>
      </c>
      <c r="B3626" s="2" t="n">
        <v>91</v>
      </c>
      <c r="C3626" s="2">
        <f>_xlfn.XLOOKUP(B3626,Results!$B$23:$B$119,Results!$D$23:$D$119)</f>
        <v/>
      </c>
      <c r="D3626" s="2" t="n">
        <v>3</v>
      </c>
      <c r="E3626" s="2" t="inlineStr"/>
      <c r="F3626" s="2" t="inlineStr"/>
      <c r="G3626" s="2" t="inlineStr"/>
    </row>
    <row r="3627">
      <c r="A3627" s="1" t="inlineStr">
        <is>
          <t>H7</t>
        </is>
      </c>
      <c r="B3627" s="1" t="n">
        <v>91</v>
      </c>
      <c r="C3627" s="2">
        <f>_xlfn.XLOOKUP(B3627,Results!$B$23:$B$119,Results!$D$23:$D$119)</f>
        <v/>
      </c>
      <c r="D3627" s="1" t="n">
        <v>4</v>
      </c>
      <c r="E3627" s="1" t="inlineStr"/>
      <c r="F3627" s="1" t="inlineStr"/>
      <c r="G3627" s="1" t="inlineStr"/>
    </row>
    <row r="3628">
      <c r="A3628" s="2" t="inlineStr">
        <is>
          <t>H7</t>
        </is>
      </c>
      <c r="B3628" s="2" t="n">
        <v>91</v>
      </c>
      <c r="C3628" s="2">
        <f>_xlfn.XLOOKUP(B3628,Results!$B$23:$B$119,Results!$D$23:$D$119)</f>
        <v/>
      </c>
      <c r="D3628" s="2" t="n">
        <v>5</v>
      </c>
      <c r="E3628" s="2" t="inlineStr"/>
      <c r="F3628" s="2" t="inlineStr"/>
      <c r="G3628" s="2" t="inlineStr"/>
    </row>
    <row r="3629">
      <c r="A3629" s="1" t="inlineStr">
        <is>
          <t>H7</t>
        </is>
      </c>
      <c r="B3629" s="1" t="n">
        <v>91</v>
      </c>
      <c r="C3629" s="2">
        <f>_xlfn.XLOOKUP(B3629,Results!$B$23:$B$119,Results!$D$23:$D$119)</f>
        <v/>
      </c>
      <c r="D3629" s="1" t="n">
        <v>6</v>
      </c>
      <c r="E3629" s="1" t="inlineStr"/>
      <c r="F3629" s="1" t="inlineStr"/>
      <c r="G3629" s="1" t="inlineStr"/>
    </row>
    <row r="3630">
      <c r="A3630" s="2" t="inlineStr">
        <is>
          <t>H7</t>
        </is>
      </c>
      <c r="B3630" s="2" t="n">
        <v>91</v>
      </c>
      <c r="C3630" s="2">
        <f>_xlfn.XLOOKUP(B3630,Results!$B$23:$B$119,Results!$D$23:$D$119)</f>
        <v/>
      </c>
      <c r="D3630" s="2" t="n">
        <v>7</v>
      </c>
      <c r="E3630" s="2" t="inlineStr"/>
      <c r="F3630" s="2" t="inlineStr"/>
      <c r="G3630" s="2" t="inlineStr"/>
    </row>
    <row r="3631">
      <c r="A3631" s="1" t="inlineStr">
        <is>
          <t>H7</t>
        </is>
      </c>
      <c r="B3631" s="1" t="n">
        <v>91</v>
      </c>
      <c r="C3631" s="2">
        <f>_xlfn.XLOOKUP(B3631,Results!$B$23:$B$119,Results!$D$23:$D$119)</f>
        <v/>
      </c>
      <c r="D3631" s="1" t="n">
        <v>8</v>
      </c>
      <c r="E3631" s="1" t="inlineStr"/>
      <c r="F3631" s="1" t="inlineStr"/>
      <c r="G3631" s="1" t="inlineStr"/>
    </row>
    <row r="3632">
      <c r="A3632" s="2" t="inlineStr">
        <is>
          <t>H7</t>
        </is>
      </c>
      <c r="B3632" s="2" t="n">
        <v>91</v>
      </c>
      <c r="C3632" s="2">
        <f>_xlfn.XLOOKUP(B3632,Results!$B$23:$B$119,Results!$D$23:$D$119)</f>
        <v/>
      </c>
      <c r="D3632" s="2" t="n">
        <v>9</v>
      </c>
      <c r="E3632" s="2" t="inlineStr"/>
      <c r="F3632" s="2" t="inlineStr"/>
      <c r="G3632" s="2" t="inlineStr"/>
    </row>
    <row r="3633">
      <c r="A3633" s="1" t="inlineStr">
        <is>
          <t>H7</t>
        </is>
      </c>
      <c r="B3633" s="1" t="n">
        <v>91</v>
      </c>
      <c r="C3633" s="2">
        <f>_xlfn.XLOOKUP(B3633,Results!$B$23:$B$119,Results!$D$23:$D$119)</f>
        <v/>
      </c>
      <c r="D3633" s="1" t="n">
        <v>10</v>
      </c>
      <c r="E3633" s="1" t="inlineStr"/>
      <c r="F3633" s="1" t="inlineStr"/>
      <c r="G3633" s="1" t="inlineStr"/>
    </row>
    <row r="3634">
      <c r="A3634" s="2" t="inlineStr">
        <is>
          <t>H7</t>
        </is>
      </c>
      <c r="B3634" s="2" t="n">
        <v>91</v>
      </c>
      <c r="C3634" s="2">
        <f>_xlfn.XLOOKUP(B3634,Results!$B$23:$B$119,Results!$D$23:$D$119)</f>
        <v/>
      </c>
      <c r="D3634" s="2" t="n">
        <v>11</v>
      </c>
      <c r="E3634" s="2" t="inlineStr"/>
      <c r="F3634" s="2" t="inlineStr"/>
      <c r="G3634" s="2" t="inlineStr"/>
    </row>
    <row r="3635">
      <c r="A3635" s="1" t="inlineStr">
        <is>
          <t>H7</t>
        </is>
      </c>
      <c r="B3635" s="1" t="n">
        <v>91</v>
      </c>
      <c r="C3635" s="2">
        <f>_xlfn.XLOOKUP(B3635,Results!$B$23:$B$119,Results!$D$23:$D$119)</f>
        <v/>
      </c>
      <c r="D3635" s="1" t="n">
        <v>12</v>
      </c>
      <c r="E3635" s="1" t="inlineStr"/>
      <c r="F3635" s="1" t="inlineStr"/>
      <c r="G3635" s="1" t="inlineStr"/>
    </row>
    <row r="3636">
      <c r="A3636" s="2" t="inlineStr">
        <is>
          <t>H7</t>
        </is>
      </c>
      <c r="B3636" s="2" t="n">
        <v>91</v>
      </c>
      <c r="C3636" s="2">
        <f>_xlfn.XLOOKUP(B3636,Results!$B$23:$B$119,Results!$D$23:$D$119)</f>
        <v/>
      </c>
      <c r="D3636" s="2" t="n">
        <v>13</v>
      </c>
      <c r="E3636" s="2" t="inlineStr"/>
      <c r="F3636" s="2" t="inlineStr"/>
      <c r="G3636" s="2" t="inlineStr"/>
    </row>
    <row r="3637">
      <c r="A3637" s="1" t="inlineStr">
        <is>
          <t>H7</t>
        </is>
      </c>
      <c r="B3637" s="1" t="n">
        <v>91</v>
      </c>
      <c r="C3637" s="2">
        <f>_xlfn.XLOOKUP(B3637,Results!$B$23:$B$119,Results!$D$23:$D$119)</f>
        <v/>
      </c>
      <c r="D3637" s="1" t="n">
        <v>14</v>
      </c>
      <c r="E3637" s="1" t="inlineStr"/>
      <c r="F3637" s="1" t="inlineStr"/>
      <c r="G3637" s="1" t="inlineStr"/>
    </row>
    <row r="3638">
      <c r="A3638" s="2" t="inlineStr">
        <is>
          <t>H7</t>
        </is>
      </c>
      <c r="B3638" s="2" t="n">
        <v>91</v>
      </c>
      <c r="C3638" s="2">
        <f>_xlfn.XLOOKUP(B3638,Results!$B$23:$B$119,Results!$D$23:$D$119)</f>
        <v/>
      </c>
      <c r="D3638" s="2" t="n">
        <v>15</v>
      </c>
      <c r="E3638" s="2" t="inlineStr"/>
      <c r="F3638" s="2" t="inlineStr"/>
      <c r="G3638" s="2" t="inlineStr"/>
    </row>
    <row r="3639">
      <c r="A3639" s="1" t="inlineStr">
        <is>
          <t>H7</t>
        </is>
      </c>
      <c r="B3639" s="1" t="n">
        <v>91</v>
      </c>
      <c r="C3639" s="2">
        <f>_xlfn.XLOOKUP(B3639,Results!$B$23:$B$119,Results!$D$23:$D$119)</f>
        <v/>
      </c>
      <c r="D3639" s="1" t="n">
        <v>16</v>
      </c>
      <c r="E3639" s="1" t="inlineStr"/>
      <c r="F3639" s="1" t="inlineStr"/>
      <c r="G3639" s="1" t="inlineStr"/>
    </row>
    <row r="3640">
      <c r="A3640" s="2" t="inlineStr">
        <is>
          <t>H7</t>
        </is>
      </c>
      <c r="B3640" s="2" t="n">
        <v>91</v>
      </c>
      <c r="C3640" s="2">
        <f>_xlfn.XLOOKUP(B3640,Results!$B$23:$B$119,Results!$D$23:$D$119)</f>
        <v/>
      </c>
      <c r="D3640" s="2" t="n">
        <v>17</v>
      </c>
      <c r="E3640" s="2" t="inlineStr"/>
      <c r="F3640" s="2" t="inlineStr"/>
      <c r="G3640" s="2" t="inlineStr"/>
    </row>
    <row r="3641">
      <c r="A3641" s="1" t="inlineStr">
        <is>
          <t>H7</t>
        </is>
      </c>
      <c r="B3641" s="1" t="n">
        <v>91</v>
      </c>
      <c r="C3641" s="2">
        <f>_xlfn.XLOOKUP(B3641,Results!$B$23:$B$119,Results!$D$23:$D$119)</f>
        <v/>
      </c>
      <c r="D3641" s="1" t="n">
        <v>18</v>
      </c>
      <c r="E3641" s="1" t="inlineStr"/>
      <c r="F3641" s="1" t="inlineStr"/>
      <c r="G3641" s="1" t="inlineStr"/>
    </row>
    <row r="3642">
      <c r="A3642" s="2" t="inlineStr">
        <is>
          <t>H7</t>
        </is>
      </c>
      <c r="B3642" s="2" t="n">
        <v>91</v>
      </c>
      <c r="C3642" s="2">
        <f>_xlfn.XLOOKUP(B3642,Results!$B$23:$B$119,Results!$D$23:$D$119)</f>
        <v/>
      </c>
      <c r="D3642" s="2" t="n">
        <v>19</v>
      </c>
      <c r="E3642" s="2" t="inlineStr"/>
      <c r="F3642" s="2" t="inlineStr"/>
      <c r="G3642" s="2" t="inlineStr"/>
    </row>
    <row r="3643">
      <c r="A3643" s="1" t="inlineStr">
        <is>
          <t>H7</t>
        </is>
      </c>
      <c r="B3643" s="1" t="n">
        <v>91</v>
      </c>
      <c r="C3643" s="2">
        <f>_xlfn.XLOOKUP(B3643,Results!$B$23:$B$119,Results!$D$23:$D$119)</f>
        <v/>
      </c>
      <c r="D3643" s="1" t="n">
        <v>20</v>
      </c>
      <c r="E3643" s="1" t="inlineStr"/>
      <c r="F3643" s="1" t="inlineStr"/>
      <c r="G3643" s="1" t="inlineStr"/>
    </row>
    <row r="3644">
      <c r="A3644" s="2" t="inlineStr">
        <is>
          <t>H7</t>
        </is>
      </c>
      <c r="B3644" s="2" t="n">
        <v>91</v>
      </c>
      <c r="C3644" s="2">
        <f>_xlfn.XLOOKUP(B3644,Results!$B$23:$B$119,Results!$D$23:$D$119)</f>
        <v/>
      </c>
      <c r="D3644" s="2" t="n">
        <v>21</v>
      </c>
      <c r="E3644" s="2" t="inlineStr"/>
      <c r="F3644" s="2" t="inlineStr"/>
      <c r="G3644" s="2" t="inlineStr"/>
    </row>
    <row r="3645">
      <c r="A3645" s="1" t="inlineStr">
        <is>
          <t>H7</t>
        </is>
      </c>
      <c r="B3645" s="1" t="n">
        <v>91</v>
      </c>
      <c r="C3645" s="2">
        <f>_xlfn.XLOOKUP(B3645,Results!$B$23:$B$119,Results!$D$23:$D$119)</f>
        <v/>
      </c>
      <c r="D3645" s="1" t="n">
        <v>22</v>
      </c>
      <c r="E3645" s="1" t="inlineStr"/>
      <c r="F3645" s="1" t="inlineStr"/>
      <c r="G3645" s="1" t="inlineStr"/>
    </row>
    <row r="3646">
      <c r="A3646" s="2" t="inlineStr">
        <is>
          <t>H7</t>
        </is>
      </c>
      <c r="B3646" s="2" t="n">
        <v>91</v>
      </c>
      <c r="C3646" s="2">
        <f>_xlfn.XLOOKUP(B3646,Results!$B$23:$B$119,Results!$D$23:$D$119)</f>
        <v/>
      </c>
      <c r="D3646" s="2" t="n">
        <v>23</v>
      </c>
      <c r="E3646" s="2" t="inlineStr"/>
      <c r="F3646" s="2" t="inlineStr"/>
      <c r="G3646" s="2" t="inlineStr"/>
    </row>
    <row r="3647">
      <c r="A3647" s="1" t="inlineStr">
        <is>
          <t>H7</t>
        </is>
      </c>
      <c r="B3647" s="1" t="n">
        <v>91</v>
      </c>
      <c r="C3647" s="2">
        <f>_xlfn.XLOOKUP(B3647,Results!$B$23:$B$119,Results!$D$23:$D$119)</f>
        <v/>
      </c>
      <c r="D3647" s="1" t="n">
        <v>24</v>
      </c>
      <c r="E3647" s="1" t="inlineStr"/>
      <c r="F3647" s="1" t="inlineStr"/>
      <c r="G3647" s="1" t="inlineStr"/>
    </row>
    <row r="3648">
      <c r="A3648" s="2" t="inlineStr">
        <is>
          <t>H7</t>
        </is>
      </c>
      <c r="B3648" s="2" t="n">
        <v>91</v>
      </c>
      <c r="C3648" s="2">
        <f>_xlfn.XLOOKUP(B3648,Results!$B$23:$B$119,Results!$D$23:$D$119)</f>
        <v/>
      </c>
      <c r="D3648" s="2" t="n">
        <v>25</v>
      </c>
      <c r="E3648" s="2" t="inlineStr"/>
      <c r="F3648" s="2" t="inlineStr"/>
      <c r="G3648" s="2" t="inlineStr"/>
    </row>
    <row r="3649">
      <c r="A3649" s="1" t="inlineStr">
        <is>
          <t>H7</t>
        </is>
      </c>
      <c r="B3649" s="1" t="n">
        <v>91</v>
      </c>
      <c r="C3649" s="2">
        <f>_xlfn.XLOOKUP(B3649,Results!$B$23:$B$119,Results!$D$23:$D$119)</f>
        <v/>
      </c>
      <c r="D3649" s="1" t="n">
        <v>26</v>
      </c>
      <c r="E3649" s="1" t="inlineStr"/>
      <c r="F3649" s="1" t="inlineStr"/>
      <c r="G3649" s="1" t="inlineStr"/>
    </row>
    <row r="3650">
      <c r="A3650" s="2" t="inlineStr">
        <is>
          <t>H7</t>
        </is>
      </c>
      <c r="B3650" s="2" t="n">
        <v>91</v>
      </c>
      <c r="C3650" s="2">
        <f>_xlfn.XLOOKUP(B3650,Results!$B$23:$B$119,Results!$D$23:$D$119)</f>
        <v/>
      </c>
      <c r="D3650" s="2" t="n">
        <v>27</v>
      </c>
      <c r="E3650" s="2" t="inlineStr"/>
      <c r="F3650" s="2" t="inlineStr"/>
      <c r="G3650" s="2" t="inlineStr"/>
    </row>
    <row r="3651">
      <c r="A3651" s="1" t="inlineStr">
        <is>
          <t>H7</t>
        </is>
      </c>
      <c r="B3651" s="1" t="n">
        <v>91</v>
      </c>
      <c r="C3651" s="2">
        <f>_xlfn.XLOOKUP(B3651,Results!$B$23:$B$119,Results!$D$23:$D$119)</f>
        <v/>
      </c>
      <c r="D3651" s="1" t="n">
        <v>28</v>
      </c>
      <c r="E3651" s="1" t="inlineStr"/>
      <c r="F3651" s="1" t="inlineStr"/>
      <c r="G3651" s="1" t="inlineStr"/>
    </row>
    <row r="3652">
      <c r="A3652" s="2" t="inlineStr">
        <is>
          <t>H7</t>
        </is>
      </c>
      <c r="B3652" s="2" t="n">
        <v>91</v>
      </c>
      <c r="C3652" s="2">
        <f>_xlfn.XLOOKUP(B3652,Results!$B$23:$B$119,Results!$D$23:$D$119)</f>
        <v/>
      </c>
      <c r="D3652" s="2" t="n">
        <v>29</v>
      </c>
      <c r="E3652" s="2" t="inlineStr"/>
      <c r="F3652" s="2" t="inlineStr"/>
      <c r="G3652" s="2" t="inlineStr"/>
    </row>
    <row r="3653">
      <c r="A3653" s="1" t="inlineStr">
        <is>
          <t>H7</t>
        </is>
      </c>
      <c r="B3653" s="1" t="n">
        <v>91</v>
      </c>
      <c r="C3653" s="2">
        <f>_xlfn.XLOOKUP(B3653,Results!$B$23:$B$119,Results!$D$23:$D$119)</f>
        <v/>
      </c>
      <c r="D3653" s="1" t="n">
        <v>30</v>
      </c>
      <c r="E3653" s="1" t="inlineStr"/>
      <c r="F3653" s="1" t="inlineStr"/>
      <c r="G3653" s="1" t="inlineStr"/>
    </row>
    <row r="3654">
      <c r="A3654" s="2" t="inlineStr">
        <is>
          <t>H7</t>
        </is>
      </c>
      <c r="B3654" s="2" t="n">
        <v>91</v>
      </c>
      <c r="C3654" s="2">
        <f>_xlfn.XLOOKUP(B3654,Results!$B$23:$B$119,Results!$D$23:$D$119)</f>
        <v/>
      </c>
      <c r="D3654" s="2" t="n">
        <v>31</v>
      </c>
      <c r="E3654" s="2" t="inlineStr"/>
      <c r="F3654" s="2" t="inlineStr"/>
      <c r="G3654" s="2" t="inlineStr"/>
    </row>
    <row r="3655">
      <c r="A3655" s="1" t="inlineStr">
        <is>
          <t>H7</t>
        </is>
      </c>
      <c r="B3655" s="1" t="n">
        <v>91</v>
      </c>
      <c r="C3655" s="2">
        <f>_xlfn.XLOOKUP(B3655,Results!$B$23:$B$119,Results!$D$23:$D$119)</f>
        <v/>
      </c>
      <c r="D3655" s="1" t="n">
        <v>32</v>
      </c>
      <c r="E3655" s="1" t="inlineStr"/>
      <c r="F3655" s="1" t="inlineStr"/>
      <c r="G3655" s="1" t="inlineStr"/>
    </row>
    <row r="3656">
      <c r="A3656" s="2" t="inlineStr">
        <is>
          <t>H7</t>
        </is>
      </c>
      <c r="B3656" s="2" t="n">
        <v>91</v>
      </c>
      <c r="C3656" s="2">
        <f>_xlfn.XLOOKUP(B3656,Results!$B$23:$B$119,Results!$D$23:$D$119)</f>
        <v/>
      </c>
      <c r="D3656" s="2" t="n">
        <v>33</v>
      </c>
      <c r="E3656" s="2" t="inlineStr"/>
      <c r="F3656" s="2" t="inlineStr"/>
      <c r="G3656" s="2" t="inlineStr"/>
    </row>
    <row r="3657">
      <c r="A3657" s="1" t="inlineStr">
        <is>
          <t>H7</t>
        </is>
      </c>
      <c r="B3657" s="1" t="n">
        <v>91</v>
      </c>
      <c r="C3657" s="2">
        <f>_xlfn.XLOOKUP(B3657,Results!$B$23:$B$119,Results!$D$23:$D$119)</f>
        <v/>
      </c>
      <c r="D3657" s="1" t="n">
        <v>34</v>
      </c>
      <c r="E3657" s="1" t="inlineStr"/>
      <c r="F3657" s="1" t="inlineStr"/>
      <c r="G3657" s="1" t="inlineStr"/>
    </row>
    <row r="3658">
      <c r="A3658" s="2" t="inlineStr">
        <is>
          <t>H7</t>
        </is>
      </c>
      <c r="B3658" s="2" t="n">
        <v>91</v>
      </c>
      <c r="C3658" s="2">
        <f>_xlfn.XLOOKUP(B3658,Results!$B$23:$B$119,Results!$D$23:$D$119)</f>
        <v/>
      </c>
      <c r="D3658" s="2" t="n">
        <v>35</v>
      </c>
      <c r="E3658" s="2" t="inlineStr"/>
      <c r="F3658" s="2" t="inlineStr"/>
      <c r="G3658" s="2" t="inlineStr"/>
    </row>
    <row r="3659">
      <c r="A3659" s="1" t="inlineStr">
        <is>
          <t>H7</t>
        </is>
      </c>
      <c r="B3659" s="1" t="n">
        <v>91</v>
      </c>
      <c r="C3659" s="2">
        <f>_xlfn.XLOOKUP(B3659,Results!$B$23:$B$119,Results!$D$23:$D$119)</f>
        <v/>
      </c>
      <c r="D3659" s="1" t="n">
        <v>36</v>
      </c>
      <c r="E3659" s="1" t="inlineStr"/>
      <c r="F3659" s="1" t="inlineStr"/>
      <c r="G3659" s="1" t="inlineStr"/>
    </row>
    <row r="3660">
      <c r="A3660" s="2" t="inlineStr">
        <is>
          <t>H7</t>
        </is>
      </c>
      <c r="B3660" s="2" t="n">
        <v>91</v>
      </c>
      <c r="C3660" s="2">
        <f>_xlfn.XLOOKUP(B3660,Results!$B$23:$B$119,Results!$D$23:$D$119)</f>
        <v/>
      </c>
      <c r="D3660" s="2" t="n">
        <v>37</v>
      </c>
      <c r="E3660" s="2" t="inlineStr"/>
      <c r="F3660" s="2" t="inlineStr"/>
      <c r="G3660" s="2" t="inlineStr"/>
    </row>
    <row r="3661">
      <c r="A3661" s="1" t="inlineStr">
        <is>
          <t>H7</t>
        </is>
      </c>
      <c r="B3661" s="1" t="n">
        <v>91</v>
      </c>
      <c r="C3661" s="2">
        <f>_xlfn.XLOOKUP(B3661,Results!$B$23:$B$119,Results!$D$23:$D$119)</f>
        <v/>
      </c>
      <c r="D3661" s="1" t="n">
        <v>38</v>
      </c>
      <c r="E3661" s="1" t="inlineStr"/>
      <c r="F3661" s="1" t="inlineStr"/>
      <c r="G3661" s="1" t="inlineStr"/>
    </row>
    <row r="3662">
      <c r="A3662" s="2" t="inlineStr">
        <is>
          <t>H7</t>
        </is>
      </c>
      <c r="B3662" s="2" t="n">
        <v>91</v>
      </c>
      <c r="C3662" s="2">
        <f>_xlfn.XLOOKUP(B3662,Results!$B$23:$B$119,Results!$D$23:$D$119)</f>
        <v/>
      </c>
      <c r="D3662" s="2" t="n">
        <v>39</v>
      </c>
      <c r="E3662" s="2" t="inlineStr"/>
      <c r="F3662" s="2" t="inlineStr"/>
      <c r="G3662" s="2" t="inlineStr"/>
    </row>
    <row r="3663">
      <c r="A3663" s="1" t="inlineStr">
        <is>
          <t>H7</t>
        </is>
      </c>
      <c r="B3663" s="1" t="n">
        <v>91</v>
      </c>
      <c r="C3663" s="2">
        <f>_xlfn.XLOOKUP(B3663,Results!$B$23:$B$119,Results!$D$23:$D$119)</f>
        <v/>
      </c>
      <c r="D3663" s="1" t="n">
        <v>40</v>
      </c>
      <c r="E3663" s="1" t="inlineStr"/>
      <c r="F3663" s="1" t="inlineStr"/>
      <c r="G3663" s="1" t="inlineStr"/>
    </row>
    <row r="3664">
      <c r="A3664" s="2" t="inlineStr">
        <is>
          <t>H8</t>
        </is>
      </c>
      <c r="B3664" s="2" t="n">
        <v>92</v>
      </c>
      <c r="C3664" s="2">
        <f>_xlfn.XLOOKUP(B3664,Results!$B$23:$B$119,Results!$D$23:$D$119)</f>
        <v/>
      </c>
      <c r="D3664" s="2" t="n">
        <v>1</v>
      </c>
      <c r="E3664" s="2" t="inlineStr"/>
      <c r="F3664" s="2" t="inlineStr"/>
      <c r="G3664" s="2" t="inlineStr"/>
    </row>
    <row r="3665">
      <c r="A3665" s="1" t="inlineStr">
        <is>
          <t>H8</t>
        </is>
      </c>
      <c r="B3665" s="1" t="n">
        <v>92</v>
      </c>
      <c r="C3665" s="2">
        <f>_xlfn.XLOOKUP(B3665,Results!$B$23:$B$119,Results!$D$23:$D$119)</f>
        <v/>
      </c>
      <c r="D3665" s="1" t="n">
        <v>2</v>
      </c>
      <c r="E3665" s="1" t="inlineStr"/>
      <c r="F3665" s="1" t="inlineStr"/>
      <c r="G3665" s="1" t="inlineStr"/>
    </row>
    <row r="3666">
      <c r="A3666" s="2" t="inlineStr">
        <is>
          <t>H8</t>
        </is>
      </c>
      <c r="B3666" s="2" t="n">
        <v>92</v>
      </c>
      <c r="C3666" s="2">
        <f>_xlfn.XLOOKUP(B3666,Results!$B$23:$B$119,Results!$D$23:$D$119)</f>
        <v/>
      </c>
      <c r="D3666" s="2" t="n">
        <v>3</v>
      </c>
      <c r="E3666" s="2" t="inlineStr"/>
      <c r="F3666" s="2" t="inlineStr"/>
      <c r="G3666" s="2" t="inlineStr"/>
    </row>
    <row r="3667">
      <c r="A3667" s="1" t="inlineStr">
        <is>
          <t>H8</t>
        </is>
      </c>
      <c r="B3667" s="1" t="n">
        <v>92</v>
      </c>
      <c r="C3667" s="2">
        <f>_xlfn.XLOOKUP(B3667,Results!$B$23:$B$119,Results!$D$23:$D$119)</f>
        <v/>
      </c>
      <c r="D3667" s="1" t="n">
        <v>4</v>
      </c>
      <c r="E3667" s="1" t="inlineStr"/>
      <c r="F3667" s="1" t="inlineStr"/>
      <c r="G3667" s="1" t="inlineStr"/>
    </row>
    <row r="3668">
      <c r="A3668" s="2" t="inlineStr">
        <is>
          <t>H8</t>
        </is>
      </c>
      <c r="B3668" s="2" t="n">
        <v>92</v>
      </c>
      <c r="C3668" s="2">
        <f>_xlfn.XLOOKUP(B3668,Results!$B$23:$B$119,Results!$D$23:$D$119)</f>
        <v/>
      </c>
      <c r="D3668" s="2" t="n">
        <v>5</v>
      </c>
      <c r="E3668" s="2" t="inlineStr"/>
      <c r="F3668" s="2" t="inlineStr"/>
      <c r="G3668" s="2" t="inlineStr"/>
    </row>
    <row r="3669">
      <c r="A3669" s="1" t="inlineStr">
        <is>
          <t>H8</t>
        </is>
      </c>
      <c r="B3669" s="1" t="n">
        <v>92</v>
      </c>
      <c r="C3669" s="2">
        <f>_xlfn.XLOOKUP(B3669,Results!$B$23:$B$119,Results!$D$23:$D$119)</f>
        <v/>
      </c>
      <c r="D3669" s="1" t="n">
        <v>6</v>
      </c>
      <c r="E3669" s="1" t="inlineStr"/>
      <c r="F3669" s="1" t="inlineStr"/>
      <c r="G3669" s="1" t="inlineStr"/>
    </row>
    <row r="3670">
      <c r="A3670" s="2" t="inlineStr">
        <is>
          <t>H8</t>
        </is>
      </c>
      <c r="B3670" s="2" t="n">
        <v>92</v>
      </c>
      <c r="C3670" s="2">
        <f>_xlfn.XLOOKUP(B3670,Results!$B$23:$B$119,Results!$D$23:$D$119)</f>
        <v/>
      </c>
      <c r="D3670" s="2" t="n">
        <v>7</v>
      </c>
      <c r="E3670" s="2" t="inlineStr"/>
      <c r="F3670" s="2" t="inlineStr"/>
      <c r="G3670" s="2" t="inlineStr"/>
    </row>
    <row r="3671">
      <c r="A3671" s="1" t="inlineStr">
        <is>
          <t>H8</t>
        </is>
      </c>
      <c r="B3671" s="1" t="n">
        <v>92</v>
      </c>
      <c r="C3671" s="2">
        <f>_xlfn.XLOOKUP(B3671,Results!$B$23:$B$119,Results!$D$23:$D$119)</f>
        <v/>
      </c>
      <c r="D3671" s="1" t="n">
        <v>8</v>
      </c>
      <c r="E3671" s="1" t="inlineStr"/>
      <c r="F3671" s="1" t="inlineStr"/>
      <c r="G3671" s="1" t="inlineStr"/>
    </row>
    <row r="3672">
      <c r="A3672" s="2" t="inlineStr">
        <is>
          <t>H8</t>
        </is>
      </c>
      <c r="B3672" s="2" t="n">
        <v>92</v>
      </c>
      <c r="C3672" s="2">
        <f>_xlfn.XLOOKUP(B3672,Results!$B$23:$B$119,Results!$D$23:$D$119)</f>
        <v/>
      </c>
      <c r="D3672" s="2" t="n">
        <v>9</v>
      </c>
      <c r="E3672" s="2" t="inlineStr"/>
      <c r="F3672" s="2" t="inlineStr"/>
      <c r="G3672" s="2" t="inlineStr"/>
    </row>
    <row r="3673">
      <c r="A3673" s="1" t="inlineStr">
        <is>
          <t>H8</t>
        </is>
      </c>
      <c r="B3673" s="1" t="n">
        <v>92</v>
      </c>
      <c r="C3673" s="2">
        <f>_xlfn.XLOOKUP(B3673,Results!$B$23:$B$119,Results!$D$23:$D$119)</f>
        <v/>
      </c>
      <c r="D3673" s="1" t="n">
        <v>10</v>
      </c>
      <c r="E3673" s="1" t="inlineStr"/>
      <c r="F3673" s="1" t="inlineStr"/>
      <c r="G3673" s="1" t="inlineStr"/>
    </row>
    <row r="3674">
      <c r="A3674" s="2" t="inlineStr">
        <is>
          <t>H8</t>
        </is>
      </c>
      <c r="B3674" s="2" t="n">
        <v>92</v>
      </c>
      <c r="C3674" s="2">
        <f>_xlfn.XLOOKUP(B3674,Results!$B$23:$B$119,Results!$D$23:$D$119)</f>
        <v/>
      </c>
      <c r="D3674" s="2" t="n">
        <v>11</v>
      </c>
      <c r="E3674" s="2" t="inlineStr"/>
      <c r="F3674" s="2" t="inlineStr"/>
      <c r="G3674" s="2" t="inlineStr"/>
    </row>
    <row r="3675">
      <c r="A3675" s="1" t="inlineStr">
        <is>
          <t>H8</t>
        </is>
      </c>
      <c r="B3675" s="1" t="n">
        <v>92</v>
      </c>
      <c r="C3675" s="2">
        <f>_xlfn.XLOOKUP(B3675,Results!$B$23:$B$119,Results!$D$23:$D$119)</f>
        <v/>
      </c>
      <c r="D3675" s="1" t="n">
        <v>12</v>
      </c>
      <c r="E3675" s="1" t="inlineStr"/>
      <c r="F3675" s="1" t="inlineStr"/>
      <c r="G3675" s="1" t="inlineStr"/>
    </row>
    <row r="3676">
      <c r="A3676" s="2" t="inlineStr">
        <is>
          <t>H8</t>
        </is>
      </c>
      <c r="B3676" s="2" t="n">
        <v>92</v>
      </c>
      <c r="C3676" s="2">
        <f>_xlfn.XLOOKUP(B3676,Results!$B$23:$B$119,Results!$D$23:$D$119)</f>
        <v/>
      </c>
      <c r="D3676" s="2" t="n">
        <v>13</v>
      </c>
      <c r="E3676" s="2" t="inlineStr"/>
      <c r="F3676" s="2" t="inlineStr"/>
      <c r="G3676" s="2" t="inlineStr"/>
    </row>
    <row r="3677">
      <c r="A3677" s="1" t="inlineStr">
        <is>
          <t>H8</t>
        </is>
      </c>
      <c r="B3677" s="1" t="n">
        <v>92</v>
      </c>
      <c r="C3677" s="2">
        <f>_xlfn.XLOOKUP(B3677,Results!$B$23:$B$119,Results!$D$23:$D$119)</f>
        <v/>
      </c>
      <c r="D3677" s="1" t="n">
        <v>14</v>
      </c>
      <c r="E3677" s="1" t="inlineStr"/>
      <c r="F3677" s="1" t="inlineStr"/>
      <c r="G3677" s="1" t="inlineStr"/>
    </row>
    <row r="3678">
      <c r="A3678" s="2" t="inlineStr">
        <is>
          <t>H8</t>
        </is>
      </c>
      <c r="B3678" s="2" t="n">
        <v>92</v>
      </c>
      <c r="C3678" s="2">
        <f>_xlfn.XLOOKUP(B3678,Results!$B$23:$B$119,Results!$D$23:$D$119)</f>
        <v/>
      </c>
      <c r="D3678" s="2" t="n">
        <v>15</v>
      </c>
      <c r="E3678" s="2" t="inlineStr"/>
      <c r="F3678" s="2" t="inlineStr"/>
      <c r="G3678" s="2" t="inlineStr"/>
    </row>
    <row r="3679">
      <c r="A3679" s="1" t="inlineStr">
        <is>
          <t>H8</t>
        </is>
      </c>
      <c r="B3679" s="1" t="n">
        <v>92</v>
      </c>
      <c r="C3679" s="2">
        <f>_xlfn.XLOOKUP(B3679,Results!$B$23:$B$119,Results!$D$23:$D$119)</f>
        <v/>
      </c>
      <c r="D3679" s="1" t="n">
        <v>16</v>
      </c>
      <c r="E3679" s="1" t="inlineStr"/>
      <c r="F3679" s="1" t="inlineStr"/>
      <c r="G3679" s="1" t="inlineStr"/>
    </row>
    <row r="3680">
      <c r="A3680" s="2" t="inlineStr">
        <is>
          <t>H8</t>
        </is>
      </c>
      <c r="B3680" s="2" t="n">
        <v>92</v>
      </c>
      <c r="C3680" s="2">
        <f>_xlfn.XLOOKUP(B3680,Results!$B$23:$B$119,Results!$D$23:$D$119)</f>
        <v/>
      </c>
      <c r="D3680" s="2" t="n">
        <v>17</v>
      </c>
      <c r="E3680" s="2" t="inlineStr"/>
      <c r="F3680" s="2" t="inlineStr"/>
      <c r="G3680" s="2" t="inlineStr"/>
    </row>
    <row r="3681">
      <c r="A3681" s="1" t="inlineStr">
        <is>
          <t>H8</t>
        </is>
      </c>
      <c r="B3681" s="1" t="n">
        <v>92</v>
      </c>
      <c r="C3681" s="2">
        <f>_xlfn.XLOOKUP(B3681,Results!$B$23:$B$119,Results!$D$23:$D$119)</f>
        <v/>
      </c>
      <c r="D3681" s="1" t="n">
        <v>18</v>
      </c>
      <c r="E3681" s="1" t="inlineStr"/>
      <c r="F3681" s="1" t="inlineStr"/>
      <c r="G3681" s="1" t="inlineStr"/>
    </row>
    <row r="3682">
      <c r="A3682" s="2" t="inlineStr">
        <is>
          <t>H8</t>
        </is>
      </c>
      <c r="B3682" s="2" t="n">
        <v>92</v>
      </c>
      <c r="C3682" s="2">
        <f>_xlfn.XLOOKUP(B3682,Results!$B$23:$B$119,Results!$D$23:$D$119)</f>
        <v/>
      </c>
      <c r="D3682" s="2" t="n">
        <v>19</v>
      </c>
      <c r="E3682" s="2" t="inlineStr"/>
      <c r="F3682" s="2" t="inlineStr"/>
      <c r="G3682" s="2" t="inlineStr"/>
    </row>
    <row r="3683">
      <c r="A3683" s="1" t="inlineStr">
        <is>
          <t>H8</t>
        </is>
      </c>
      <c r="B3683" s="1" t="n">
        <v>92</v>
      </c>
      <c r="C3683" s="2">
        <f>_xlfn.XLOOKUP(B3683,Results!$B$23:$B$119,Results!$D$23:$D$119)</f>
        <v/>
      </c>
      <c r="D3683" s="1" t="n">
        <v>20</v>
      </c>
      <c r="E3683" s="1" t="inlineStr"/>
      <c r="F3683" s="1" t="inlineStr"/>
      <c r="G3683" s="1" t="inlineStr"/>
    </row>
    <row r="3684">
      <c r="A3684" s="2" t="inlineStr">
        <is>
          <t>H8</t>
        </is>
      </c>
      <c r="B3684" s="2" t="n">
        <v>92</v>
      </c>
      <c r="C3684" s="2">
        <f>_xlfn.XLOOKUP(B3684,Results!$B$23:$B$119,Results!$D$23:$D$119)</f>
        <v/>
      </c>
      <c r="D3684" s="2" t="n">
        <v>21</v>
      </c>
      <c r="E3684" s="2" t="inlineStr"/>
      <c r="F3684" s="2" t="inlineStr"/>
      <c r="G3684" s="2" t="inlineStr"/>
    </row>
    <row r="3685">
      <c r="A3685" s="1" t="inlineStr">
        <is>
          <t>H8</t>
        </is>
      </c>
      <c r="B3685" s="1" t="n">
        <v>92</v>
      </c>
      <c r="C3685" s="2">
        <f>_xlfn.XLOOKUP(B3685,Results!$B$23:$B$119,Results!$D$23:$D$119)</f>
        <v/>
      </c>
      <c r="D3685" s="1" t="n">
        <v>22</v>
      </c>
      <c r="E3685" s="1" t="inlineStr"/>
      <c r="F3685" s="1" t="inlineStr"/>
      <c r="G3685" s="1" t="inlineStr"/>
    </row>
    <row r="3686">
      <c r="A3686" s="2" t="inlineStr">
        <is>
          <t>H8</t>
        </is>
      </c>
      <c r="B3686" s="2" t="n">
        <v>92</v>
      </c>
      <c r="C3686" s="2">
        <f>_xlfn.XLOOKUP(B3686,Results!$B$23:$B$119,Results!$D$23:$D$119)</f>
        <v/>
      </c>
      <c r="D3686" s="2" t="n">
        <v>23</v>
      </c>
      <c r="E3686" s="2" t="inlineStr"/>
      <c r="F3686" s="2" t="inlineStr"/>
      <c r="G3686" s="2" t="inlineStr"/>
    </row>
    <row r="3687">
      <c r="A3687" s="1" t="inlineStr">
        <is>
          <t>H8</t>
        </is>
      </c>
      <c r="B3687" s="1" t="n">
        <v>92</v>
      </c>
      <c r="C3687" s="2">
        <f>_xlfn.XLOOKUP(B3687,Results!$B$23:$B$119,Results!$D$23:$D$119)</f>
        <v/>
      </c>
      <c r="D3687" s="1" t="n">
        <v>24</v>
      </c>
      <c r="E3687" s="1" t="inlineStr"/>
      <c r="F3687" s="1" t="inlineStr"/>
      <c r="G3687" s="1" t="inlineStr"/>
    </row>
    <row r="3688">
      <c r="A3688" s="2" t="inlineStr">
        <is>
          <t>H8</t>
        </is>
      </c>
      <c r="B3688" s="2" t="n">
        <v>92</v>
      </c>
      <c r="C3688" s="2">
        <f>_xlfn.XLOOKUP(B3688,Results!$B$23:$B$119,Results!$D$23:$D$119)</f>
        <v/>
      </c>
      <c r="D3688" s="2" t="n">
        <v>25</v>
      </c>
      <c r="E3688" s="2" t="inlineStr"/>
      <c r="F3688" s="2" t="inlineStr"/>
      <c r="G3688" s="2" t="inlineStr"/>
    </row>
    <row r="3689">
      <c r="A3689" s="1" t="inlineStr">
        <is>
          <t>H8</t>
        </is>
      </c>
      <c r="B3689" s="1" t="n">
        <v>92</v>
      </c>
      <c r="C3689" s="2">
        <f>_xlfn.XLOOKUP(B3689,Results!$B$23:$B$119,Results!$D$23:$D$119)</f>
        <v/>
      </c>
      <c r="D3689" s="1" t="n">
        <v>26</v>
      </c>
      <c r="E3689" s="1" t="inlineStr"/>
      <c r="F3689" s="1" t="inlineStr"/>
      <c r="G3689" s="1" t="inlineStr"/>
    </row>
    <row r="3690">
      <c r="A3690" s="2" t="inlineStr">
        <is>
          <t>H8</t>
        </is>
      </c>
      <c r="B3690" s="2" t="n">
        <v>92</v>
      </c>
      <c r="C3690" s="2">
        <f>_xlfn.XLOOKUP(B3690,Results!$B$23:$B$119,Results!$D$23:$D$119)</f>
        <v/>
      </c>
      <c r="D3690" s="2" t="n">
        <v>27</v>
      </c>
      <c r="E3690" s="2" t="inlineStr"/>
      <c r="F3690" s="2" t="inlineStr"/>
      <c r="G3690" s="2" t="inlineStr"/>
    </row>
    <row r="3691">
      <c r="A3691" s="1" t="inlineStr">
        <is>
          <t>H8</t>
        </is>
      </c>
      <c r="B3691" s="1" t="n">
        <v>92</v>
      </c>
      <c r="C3691" s="2">
        <f>_xlfn.XLOOKUP(B3691,Results!$B$23:$B$119,Results!$D$23:$D$119)</f>
        <v/>
      </c>
      <c r="D3691" s="1" t="n">
        <v>28</v>
      </c>
      <c r="E3691" s="1" t="inlineStr"/>
      <c r="F3691" s="1" t="inlineStr"/>
      <c r="G3691" s="1" t="inlineStr"/>
    </row>
    <row r="3692">
      <c r="A3692" s="2" t="inlineStr">
        <is>
          <t>H8</t>
        </is>
      </c>
      <c r="B3692" s="2" t="n">
        <v>92</v>
      </c>
      <c r="C3692" s="2">
        <f>_xlfn.XLOOKUP(B3692,Results!$B$23:$B$119,Results!$D$23:$D$119)</f>
        <v/>
      </c>
      <c r="D3692" s="2" t="n">
        <v>29</v>
      </c>
      <c r="E3692" s="2" t="inlineStr"/>
      <c r="F3692" s="2" t="inlineStr"/>
      <c r="G3692" s="2" t="inlineStr"/>
    </row>
    <row r="3693">
      <c r="A3693" s="1" t="inlineStr">
        <is>
          <t>H8</t>
        </is>
      </c>
      <c r="B3693" s="1" t="n">
        <v>92</v>
      </c>
      <c r="C3693" s="2">
        <f>_xlfn.XLOOKUP(B3693,Results!$B$23:$B$119,Results!$D$23:$D$119)</f>
        <v/>
      </c>
      <c r="D3693" s="1" t="n">
        <v>30</v>
      </c>
      <c r="E3693" s="1" t="inlineStr"/>
      <c r="F3693" s="1" t="inlineStr"/>
      <c r="G3693" s="1" t="inlineStr"/>
    </row>
    <row r="3694">
      <c r="A3694" s="2" t="inlineStr">
        <is>
          <t>H8</t>
        </is>
      </c>
      <c r="B3694" s="2" t="n">
        <v>92</v>
      </c>
      <c r="C3694" s="2">
        <f>_xlfn.XLOOKUP(B3694,Results!$B$23:$B$119,Results!$D$23:$D$119)</f>
        <v/>
      </c>
      <c r="D3694" s="2" t="n">
        <v>31</v>
      </c>
      <c r="E3694" s="2" t="inlineStr"/>
      <c r="F3694" s="2" t="inlineStr"/>
      <c r="G3694" s="2" t="inlineStr"/>
    </row>
    <row r="3695">
      <c r="A3695" s="1" t="inlineStr">
        <is>
          <t>H8</t>
        </is>
      </c>
      <c r="B3695" s="1" t="n">
        <v>92</v>
      </c>
      <c r="C3695" s="2">
        <f>_xlfn.XLOOKUP(B3695,Results!$B$23:$B$119,Results!$D$23:$D$119)</f>
        <v/>
      </c>
      <c r="D3695" s="1" t="n">
        <v>32</v>
      </c>
      <c r="E3695" s="1" t="inlineStr"/>
      <c r="F3695" s="1" t="inlineStr"/>
      <c r="G3695" s="1" t="inlineStr"/>
    </row>
    <row r="3696">
      <c r="A3696" s="2" t="inlineStr">
        <is>
          <t>H8</t>
        </is>
      </c>
      <c r="B3696" s="2" t="n">
        <v>92</v>
      </c>
      <c r="C3696" s="2">
        <f>_xlfn.XLOOKUP(B3696,Results!$B$23:$B$119,Results!$D$23:$D$119)</f>
        <v/>
      </c>
      <c r="D3696" s="2" t="n">
        <v>33</v>
      </c>
      <c r="E3696" s="2" t="inlineStr"/>
      <c r="F3696" s="2" t="inlineStr"/>
      <c r="G3696" s="2" t="inlineStr"/>
    </row>
    <row r="3697">
      <c r="A3697" s="1" t="inlineStr">
        <is>
          <t>H8</t>
        </is>
      </c>
      <c r="B3697" s="1" t="n">
        <v>92</v>
      </c>
      <c r="C3697" s="2">
        <f>_xlfn.XLOOKUP(B3697,Results!$B$23:$B$119,Results!$D$23:$D$119)</f>
        <v/>
      </c>
      <c r="D3697" s="1" t="n">
        <v>34</v>
      </c>
      <c r="E3697" s="1" t="inlineStr"/>
      <c r="F3697" s="1" t="inlineStr"/>
      <c r="G3697" s="1" t="inlineStr"/>
    </row>
    <row r="3698">
      <c r="A3698" s="2" t="inlineStr">
        <is>
          <t>H8</t>
        </is>
      </c>
      <c r="B3698" s="2" t="n">
        <v>92</v>
      </c>
      <c r="C3698" s="2">
        <f>_xlfn.XLOOKUP(B3698,Results!$B$23:$B$119,Results!$D$23:$D$119)</f>
        <v/>
      </c>
      <c r="D3698" s="2" t="n">
        <v>35</v>
      </c>
      <c r="E3698" s="2" t="inlineStr"/>
      <c r="F3698" s="2" t="inlineStr"/>
      <c r="G3698" s="2" t="inlineStr"/>
    </row>
    <row r="3699">
      <c r="A3699" s="1" t="inlineStr">
        <is>
          <t>H8</t>
        </is>
      </c>
      <c r="B3699" s="1" t="n">
        <v>92</v>
      </c>
      <c r="C3699" s="2">
        <f>_xlfn.XLOOKUP(B3699,Results!$B$23:$B$119,Results!$D$23:$D$119)</f>
        <v/>
      </c>
      <c r="D3699" s="1" t="n">
        <v>36</v>
      </c>
      <c r="E3699" s="1" t="inlineStr"/>
      <c r="F3699" s="1" t="inlineStr"/>
      <c r="G3699" s="1" t="inlineStr"/>
    </row>
    <row r="3700">
      <c r="A3700" s="2" t="inlineStr">
        <is>
          <t>H8</t>
        </is>
      </c>
      <c r="B3700" s="2" t="n">
        <v>92</v>
      </c>
      <c r="C3700" s="2">
        <f>_xlfn.XLOOKUP(B3700,Results!$B$23:$B$119,Results!$D$23:$D$119)</f>
        <v/>
      </c>
      <c r="D3700" s="2" t="n">
        <v>37</v>
      </c>
      <c r="E3700" s="2" t="inlineStr"/>
      <c r="F3700" s="2" t="inlineStr"/>
      <c r="G3700" s="2" t="inlineStr"/>
    </row>
    <row r="3701">
      <c r="A3701" s="1" t="inlineStr">
        <is>
          <t>H8</t>
        </is>
      </c>
      <c r="B3701" s="1" t="n">
        <v>92</v>
      </c>
      <c r="C3701" s="2">
        <f>_xlfn.XLOOKUP(B3701,Results!$B$23:$B$119,Results!$D$23:$D$119)</f>
        <v/>
      </c>
      <c r="D3701" s="1" t="n">
        <v>38</v>
      </c>
      <c r="E3701" s="1" t="inlineStr"/>
      <c r="F3701" s="1" t="inlineStr"/>
      <c r="G3701" s="1" t="inlineStr"/>
    </row>
    <row r="3702">
      <c r="A3702" s="2" t="inlineStr">
        <is>
          <t>H8</t>
        </is>
      </c>
      <c r="B3702" s="2" t="n">
        <v>92</v>
      </c>
      <c r="C3702" s="2">
        <f>_xlfn.XLOOKUP(B3702,Results!$B$23:$B$119,Results!$D$23:$D$119)</f>
        <v/>
      </c>
      <c r="D3702" s="2" t="n">
        <v>39</v>
      </c>
      <c r="E3702" s="2" t="inlineStr"/>
      <c r="F3702" s="2" t="inlineStr"/>
      <c r="G3702" s="2" t="inlineStr"/>
    </row>
    <row r="3703">
      <c r="A3703" s="1" t="inlineStr">
        <is>
          <t>H8</t>
        </is>
      </c>
      <c r="B3703" s="1" t="n">
        <v>92</v>
      </c>
      <c r="C3703" s="2">
        <f>_xlfn.XLOOKUP(B3703,Results!$B$23:$B$119,Results!$D$23:$D$119)</f>
        <v/>
      </c>
      <c r="D3703" s="1" t="n">
        <v>40</v>
      </c>
      <c r="E3703" s="1" t="inlineStr"/>
      <c r="F3703" s="1" t="inlineStr"/>
      <c r="G3703" s="1" t="inlineStr"/>
    </row>
    <row r="3704">
      <c r="A3704" s="2" t="inlineStr">
        <is>
          <t>H9</t>
        </is>
      </c>
      <c r="B3704" s="2" t="n">
        <v>93</v>
      </c>
      <c r="C3704" s="2">
        <f>_xlfn.XLOOKUP(B3704,Results!$B$23:$B$119,Results!$D$23:$D$119)</f>
        <v/>
      </c>
      <c r="D3704" s="2" t="n">
        <v>1</v>
      </c>
      <c r="E3704" s="2" t="inlineStr"/>
      <c r="F3704" s="2" t="inlineStr"/>
      <c r="G3704" s="2" t="inlineStr"/>
    </row>
    <row r="3705">
      <c r="A3705" s="1" t="inlineStr">
        <is>
          <t>H9</t>
        </is>
      </c>
      <c r="B3705" s="1" t="n">
        <v>93</v>
      </c>
      <c r="C3705" s="2">
        <f>_xlfn.XLOOKUP(B3705,Results!$B$23:$B$119,Results!$D$23:$D$119)</f>
        <v/>
      </c>
      <c r="D3705" s="1" t="n">
        <v>2</v>
      </c>
      <c r="E3705" s="1" t="inlineStr"/>
      <c r="F3705" s="1" t="inlineStr"/>
      <c r="G3705" s="1" t="inlineStr"/>
    </row>
    <row r="3706">
      <c r="A3706" s="2" t="inlineStr">
        <is>
          <t>H9</t>
        </is>
      </c>
      <c r="B3706" s="2" t="n">
        <v>93</v>
      </c>
      <c r="C3706" s="2">
        <f>_xlfn.XLOOKUP(B3706,Results!$B$23:$B$119,Results!$D$23:$D$119)</f>
        <v/>
      </c>
      <c r="D3706" s="2" t="n">
        <v>3</v>
      </c>
      <c r="E3706" s="2" t="inlineStr"/>
      <c r="F3706" s="2" t="inlineStr"/>
      <c r="G3706" s="2" t="inlineStr"/>
    </row>
    <row r="3707">
      <c r="A3707" s="1" t="inlineStr">
        <is>
          <t>H9</t>
        </is>
      </c>
      <c r="B3707" s="1" t="n">
        <v>93</v>
      </c>
      <c r="C3707" s="2">
        <f>_xlfn.XLOOKUP(B3707,Results!$B$23:$B$119,Results!$D$23:$D$119)</f>
        <v/>
      </c>
      <c r="D3707" s="1" t="n">
        <v>4</v>
      </c>
      <c r="E3707" s="1" t="inlineStr"/>
      <c r="F3707" s="1" t="inlineStr"/>
      <c r="G3707" s="1" t="inlineStr"/>
    </row>
    <row r="3708">
      <c r="A3708" s="2" t="inlineStr">
        <is>
          <t>H9</t>
        </is>
      </c>
      <c r="B3708" s="2" t="n">
        <v>93</v>
      </c>
      <c r="C3708" s="2">
        <f>_xlfn.XLOOKUP(B3708,Results!$B$23:$B$119,Results!$D$23:$D$119)</f>
        <v/>
      </c>
      <c r="D3708" s="2" t="n">
        <v>5</v>
      </c>
      <c r="E3708" s="2" t="inlineStr"/>
      <c r="F3708" s="2" t="inlineStr"/>
      <c r="G3708" s="2" t="inlineStr"/>
    </row>
    <row r="3709">
      <c r="A3709" s="1" t="inlineStr">
        <is>
          <t>H9</t>
        </is>
      </c>
      <c r="B3709" s="1" t="n">
        <v>93</v>
      </c>
      <c r="C3709" s="2">
        <f>_xlfn.XLOOKUP(B3709,Results!$B$23:$B$119,Results!$D$23:$D$119)</f>
        <v/>
      </c>
      <c r="D3709" s="1" t="n">
        <v>6</v>
      </c>
      <c r="E3709" s="1" t="inlineStr"/>
      <c r="F3709" s="1" t="inlineStr"/>
      <c r="G3709" s="1" t="inlineStr"/>
    </row>
    <row r="3710">
      <c r="A3710" s="2" t="inlineStr">
        <is>
          <t>H9</t>
        </is>
      </c>
      <c r="B3710" s="2" t="n">
        <v>93</v>
      </c>
      <c r="C3710" s="2">
        <f>_xlfn.XLOOKUP(B3710,Results!$B$23:$B$119,Results!$D$23:$D$119)</f>
        <v/>
      </c>
      <c r="D3710" s="2" t="n">
        <v>7</v>
      </c>
      <c r="E3710" s="2" t="inlineStr"/>
      <c r="F3710" s="2" t="inlineStr"/>
      <c r="G3710" s="2" t="inlineStr"/>
    </row>
    <row r="3711">
      <c r="A3711" s="1" t="inlineStr">
        <is>
          <t>H9</t>
        </is>
      </c>
      <c r="B3711" s="1" t="n">
        <v>93</v>
      </c>
      <c r="C3711" s="2">
        <f>_xlfn.XLOOKUP(B3711,Results!$B$23:$B$119,Results!$D$23:$D$119)</f>
        <v/>
      </c>
      <c r="D3711" s="1" t="n">
        <v>8</v>
      </c>
      <c r="E3711" s="1" t="inlineStr"/>
      <c r="F3711" s="1" t="inlineStr"/>
      <c r="G3711" s="1" t="inlineStr"/>
    </row>
    <row r="3712">
      <c r="A3712" s="2" t="inlineStr">
        <is>
          <t>H9</t>
        </is>
      </c>
      <c r="B3712" s="2" t="n">
        <v>93</v>
      </c>
      <c r="C3712" s="2">
        <f>_xlfn.XLOOKUP(B3712,Results!$B$23:$B$119,Results!$D$23:$D$119)</f>
        <v/>
      </c>
      <c r="D3712" s="2" t="n">
        <v>9</v>
      </c>
      <c r="E3712" s="2" t="inlineStr"/>
      <c r="F3712" s="2" t="inlineStr"/>
      <c r="G3712" s="2" t="inlineStr"/>
    </row>
    <row r="3713">
      <c r="A3713" s="1" t="inlineStr">
        <is>
          <t>H9</t>
        </is>
      </c>
      <c r="B3713" s="1" t="n">
        <v>93</v>
      </c>
      <c r="C3713" s="2">
        <f>_xlfn.XLOOKUP(B3713,Results!$B$23:$B$119,Results!$D$23:$D$119)</f>
        <v/>
      </c>
      <c r="D3713" s="1" t="n">
        <v>10</v>
      </c>
      <c r="E3713" s="1" t="inlineStr"/>
      <c r="F3713" s="1" t="inlineStr"/>
      <c r="G3713" s="1" t="inlineStr"/>
    </row>
    <row r="3714">
      <c r="A3714" s="2" t="inlineStr">
        <is>
          <t>H9</t>
        </is>
      </c>
      <c r="B3714" s="2" t="n">
        <v>93</v>
      </c>
      <c r="C3714" s="2">
        <f>_xlfn.XLOOKUP(B3714,Results!$B$23:$B$119,Results!$D$23:$D$119)</f>
        <v/>
      </c>
      <c r="D3714" s="2" t="n">
        <v>11</v>
      </c>
      <c r="E3714" s="2" t="inlineStr"/>
      <c r="F3714" s="2" t="inlineStr"/>
      <c r="G3714" s="2" t="inlineStr"/>
    </row>
    <row r="3715">
      <c r="A3715" s="1" t="inlineStr">
        <is>
          <t>H9</t>
        </is>
      </c>
      <c r="B3715" s="1" t="n">
        <v>93</v>
      </c>
      <c r="C3715" s="2">
        <f>_xlfn.XLOOKUP(B3715,Results!$B$23:$B$119,Results!$D$23:$D$119)</f>
        <v/>
      </c>
      <c r="D3715" s="1" t="n">
        <v>12</v>
      </c>
      <c r="E3715" s="1" t="inlineStr"/>
      <c r="F3715" s="1" t="inlineStr"/>
      <c r="G3715" s="1" t="inlineStr"/>
    </row>
    <row r="3716">
      <c r="A3716" s="2" t="inlineStr">
        <is>
          <t>H9</t>
        </is>
      </c>
      <c r="B3716" s="2" t="n">
        <v>93</v>
      </c>
      <c r="C3716" s="2">
        <f>_xlfn.XLOOKUP(B3716,Results!$B$23:$B$119,Results!$D$23:$D$119)</f>
        <v/>
      </c>
      <c r="D3716" s="2" t="n">
        <v>13</v>
      </c>
      <c r="E3716" s="2" t="inlineStr"/>
      <c r="F3716" s="2" t="inlineStr"/>
      <c r="G3716" s="2" t="inlineStr"/>
    </row>
    <row r="3717">
      <c r="A3717" s="1" t="inlineStr">
        <is>
          <t>H9</t>
        </is>
      </c>
      <c r="B3717" s="1" t="n">
        <v>93</v>
      </c>
      <c r="C3717" s="2">
        <f>_xlfn.XLOOKUP(B3717,Results!$B$23:$B$119,Results!$D$23:$D$119)</f>
        <v/>
      </c>
      <c r="D3717" s="1" t="n">
        <v>14</v>
      </c>
      <c r="E3717" s="1" t="inlineStr"/>
      <c r="F3717" s="1" t="inlineStr"/>
      <c r="G3717" s="1" t="inlineStr"/>
    </row>
    <row r="3718">
      <c r="A3718" s="2" t="inlineStr">
        <is>
          <t>H9</t>
        </is>
      </c>
      <c r="B3718" s="2" t="n">
        <v>93</v>
      </c>
      <c r="C3718" s="2">
        <f>_xlfn.XLOOKUP(B3718,Results!$B$23:$B$119,Results!$D$23:$D$119)</f>
        <v/>
      </c>
      <c r="D3718" s="2" t="n">
        <v>15</v>
      </c>
      <c r="E3718" s="2" t="inlineStr"/>
      <c r="F3718" s="2" t="inlineStr"/>
      <c r="G3718" s="2" t="inlineStr"/>
    </row>
    <row r="3719">
      <c r="A3719" s="1" t="inlineStr">
        <is>
          <t>H9</t>
        </is>
      </c>
      <c r="B3719" s="1" t="n">
        <v>93</v>
      </c>
      <c r="C3719" s="2">
        <f>_xlfn.XLOOKUP(B3719,Results!$B$23:$B$119,Results!$D$23:$D$119)</f>
        <v/>
      </c>
      <c r="D3719" s="1" t="n">
        <v>16</v>
      </c>
      <c r="E3719" s="1" t="inlineStr"/>
      <c r="F3719" s="1" t="inlineStr"/>
      <c r="G3719" s="1" t="inlineStr"/>
    </row>
    <row r="3720">
      <c r="A3720" s="2" t="inlineStr">
        <is>
          <t>H9</t>
        </is>
      </c>
      <c r="B3720" s="2" t="n">
        <v>93</v>
      </c>
      <c r="C3720" s="2">
        <f>_xlfn.XLOOKUP(B3720,Results!$B$23:$B$119,Results!$D$23:$D$119)</f>
        <v/>
      </c>
      <c r="D3720" s="2" t="n">
        <v>17</v>
      </c>
      <c r="E3720" s="2" t="inlineStr"/>
      <c r="F3720" s="2" t="inlineStr"/>
      <c r="G3720" s="2" t="inlineStr"/>
    </row>
    <row r="3721">
      <c r="A3721" s="1" t="inlineStr">
        <is>
          <t>H9</t>
        </is>
      </c>
      <c r="B3721" s="1" t="n">
        <v>93</v>
      </c>
      <c r="C3721" s="2">
        <f>_xlfn.XLOOKUP(B3721,Results!$B$23:$B$119,Results!$D$23:$D$119)</f>
        <v/>
      </c>
      <c r="D3721" s="1" t="n">
        <v>18</v>
      </c>
      <c r="E3721" s="1" t="inlineStr"/>
      <c r="F3721" s="1" t="inlineStr"/>
      <c r="G3721" s="1" t="inlineStr"/>
    </row>
    <row r="3722">
      <c r="A3722" s="2" t="inlineStr">
        <is>
          <t>H9</t>
        </is>
      </c>
      <c r="B3722" s="2" t="n">
        <v>93</v>
      </c>
      <c r="C3722" s="2">
        <f>_xlfn.XLOOKUP(B3722,Results!$B$23:$B$119,Results!$D$23:$D$119)</f>
        <v/>
      </c>
      <c r="D3722" s="2" t="n">
        <v>19</v>
      </c>
      <c r="E3722" s="2" t="inlineStr"/>
      <c r="F3722" s="2" t="inlineStr"/>
      <c r="G3722" s="2" t="inlineStr"/>
    </row>
    <row r="3723">
      <c r="A3723" s="1" t="inlineStr">
        <is>
          <t>H9</t>
        </is>
      </c>
      <c r="B3723" s="1" t="n">
        <v>93</v>
      </c>
      <c r="C3723" s="2">
        <f>_xlfn.XLOOKUP(B3723,Results!$B$23:$B$119,Results!$D$23:$D$119)</f>
        <v/>
      </c>
      <c r="D3723" s="1" t="n">
        <v>20</v>
      </c>
      <c r="E3723" s="1" t="inlineStr"/>
      <c r="F3723" s="1" t="inlineStr"/>
      <c r="G3723" s="1" t="inlineStr"/>
    </row>
    <row r="3724">
      <c r="A3724" s="2" t="inlineStr">
        <is>
          <t>H9</t>
        </is>
      </c>
      <c r="B3724" s="2" t="n">
        <v>93</v>
      </c>
      <c r="C3724" s="2">
        <f>_xlfn.XLOOKUP(B3724,Results!$B$23:$B$119,Results!$D$23:$D$119)</f>
        <v/>
      </c>
      <c r="D3724" s="2" t="n">
        <v>21</v>
      </c>
      <c r="E3724" s="2" t="inlineStr"/>
      <c r="F3724" s="2" t="inlineStr"/>
      <c r="G3724" s="2" t="inlineStr"/>
    </row>
    <row r="3725">
      <c r="A3725" s="1" t="inlineStr">
        <is>
          <t>H9</t>
        </is>
      </c>
      <c r="B3725" s="1" t="n">
        <v>93</v>
      </c>
      <c r="C3725" s="2">
        <f>_xlfn.XLOOKUP(B3725,Results!$B$23:$B$119,Results!$D$23:$D$119)</f>
        <v/>
      </c>
      <c r="D3725" s="1" t="n">
        <v>22</v>
      </c>
      <c r="E3725" s="1" t="inlineStr"/>
      <c r="F3725" s="1" t="inlineStr"/>
      <c r="G3725" s="1" t="inlineStr"/>
    </row>
    <row r="3726">
      <c r="A3726" s="2" t="inlineStr">
        <is>
          <t>H9</t>
        </is>
      </c>
      <c r="B3726" s="2" t="n">
        <v>93</v>
      </c>
      <c r="C3726" s="2">
        <f>_xlfn.XLOOKUP(B3726,Results!$B$23:$B$119,Results!$D$23:$D$119)</f>
        <v/>
      </c>
      <c r="D3726" s="2" t="n">
        <v>23</v>
      </c>
      <c r="E3726" s="2" t="inlineStr"/>
      <c r="F3726" s="2" t="inlineStr"/>
      <c r="G3726" s="2" t="inlineStr"/>
    </row>
    <row r="3727">
      <c r="A3727" s="1" t="inlineStr">
        <is>
          <t>H9</t>
        </is>
      </c>
      <c r="B3727" s="1" t="n">
        <v>93</v>
      </c>
      <c r="C3727" s="2">
        <f>_xlfn.XLOOKUP(B3727,Results!$B$23:$B$119,Results!$D$23:$D$119)</f>
        <v/>
      </c>
      <c r="D3727" s="1" t="n">
        <v>24</v>
      </c>
      <c r="E3727" s="1" t="inlineStr"/>
      <c r="F3727" s="1" t="inlineStr"/>
      <c r="G3727" s="1" t="inlineStr"/>
    </row>
    <row r="3728">
      <c r="A3728" s="2" t="inlineStr">
        <is>
          <t>H9</t>
        </is>
      </c>
      <c r="B3728" s="2" t="n">
        <v>93</v>
      </c>
      <c r="C3728" s="2">
        <f>_xlfn.XLOOKUP(B3728,Results!$B$23:$B$119,Results!$D$23:$D$119)</f>
        <v/>
      </c>
      <c r="D3728" s="2" t="n">
        <v>25</v>
      </c>
      <c r="E3728" s="2" t="inlineStr"/>
      <c r="F3728" s="2" t="inlineStr"/>
      <c r="G3728" s="2" t="inlineStr"/>
    </row>
    <row r="3729">
      <c r="A3729" s="1" t="inlineStr">
        <is>
          <t>H9</t>
        </is>
      </c>
      <c r="B3729" s="1" t="n">
        <v>93</v>
      </c>
      <c r="C3729" s="2">
        <f>_xlfn.XLOOKUP(B3729,Results!$B$23:$B$119,Results!$D$23:$D$119)</f>
        <v/>
      </c>
      <c r="D3729" s="1" t="n">
        <v>26</v>
      </c>
      <c r="E3729" s="1" t="inlineStr"/>
      <c r="F3729" s="1" t="inlineStr"/>
      <c r="G3729" s="1" t="inlineStr"/>
    </row>
    <row r="3730">
      <c r="A3730" s="2" t="inlineStr">
        <is>
          <t>H9</t>
        </is>
      </c>
      <c r="B3730" s="2" t="n">
        <v>93</v>
      </c>
      <c r="C3730" s="2">
        <f>_xlfn.XLOOKUP(B3730,Results!$B$23:$B$119,Results!$D$23:$D$119)</f>
        <v/>
      </c>
      <c r="D3730" s="2" t="n">
        <v>27</v>
      </c>
      <c r="E3730" s="2" t="inlineStr"/>
      <c r="F3730" s="2" t="inlineStr"/>
      <c r="G3730" s="2" t="inlineStr"/>
    </row>
    <row r="3731">
      <c r="A3731" s="1" t="inlineStr">
        <is>
          <t>H9</t>
        </is>
      </c>
      <c r="B3731" s="1" t="n">
        <v>93</v>
      </c>
      <c r="C3731" s="2">
        <f>_xlfn.XLOOKUP(B3731,Results!$B$23:$B$119,Results!$D$23:$D$119)</f>
        <v/>
      </c>
      <c r="D3731" s="1" t="n">
        <v>28</v>
      </c>
      <c r="E3731" s="1" t="inlineStr"/>
      <c r="F3731" s="1" t="inlineStr"/>
      <c r="G3731" s="1" t="inlineStr"/>
    </row>
    <row r="3732">
      <c r="A3732" s="2" t="inlineStr">
        <is>
          <t>H9</t>
        </is>
      </c>
      <c r="B3732" s="2" t="n">
        <v>93</v>
      </c>
      <c r="C3732" s="2">
        <f>_xlfn.XLOOKUP(B3732,Results!$B$23:$B$119,Results!$D$23:$D$119)</f>
        <v/>
      </c>
      <c r="D3732" s="2" t="n">
        <v>29</v>
      </c>
      <c r="E3732" s="2" t="inlineStr"/>
      <c r="F3732" s="2" t="inlineStr"/>
      <c r="G3732" s="2" t="inlineStr"/>
    </row>
    <row r="3733">
      <c r="A3733" s="1" t="inlineStr">
        <is>
          <t>H9</t>
        </is>
      </c>
      <c r="B3733" s="1" t="n">
        <v>93</v>
      </c>
      <c r="C3733" s="2">
        <f>_xlfn.XLOOKUP(B3733,Results!$B$23:$B$119,Results!$D$23:$D$119)</f>
        <v/>
      </c>
      <c r="D3733" s="1" t="n">
        <v>30</v>
      </c>
      <c r="E3733" s="1" t="inlineStr"/>
      <c r="F3733" s="1" t="inlineStr"/>
      <c r="G3733" s="1" t="inlineStr"/>
    </row>
    <row r="3734">
      <c r="A3734" s="2" t="inlineStr">
        <is>
          <t>H9</t>
        </is>
      </c>
      <c r="B3734" s="2" t="n">
        <v>93</v>
      </c>
      <c r="C3734" s="2">
        <f>_xlfn.XLOOKUP(B3734,Results!$B$23:$B$119,Results!$D$23:$D$119)</f>
        <v/>
      </c>
      <c r="D3734" s="2" t="n">
        <v>31</v>
      </c>
      <c r="E3734" s="2" t="inlineStr"/>
      <c r="F3734" s="2" t="inlineStr"/>
      <c r="G3734" s="2" t="inlineStr"/>
    </row>
    <row r="3735">
      <c r="A3735" s="1" t="inlineStr">
        <is>
          <t>H9</t>
        </is>
      </c>
      <c r="B3735" s="1" t="n">
        <v>93</v>
      </c>
      <c r="C3735" s="2">
        <f>_xlfn.XLOOKUP(B3735,Results!$B$23:$B$119,Results!$D$23:$D$119)</f>
        <v/>
      </c>
      <c r="D3735" s="1" t="n">
        <v>32</v>
      </c>
      <c r="E3735" s="1" t="inlineStr"/>
      <c r="F3735" s="1" t="inlineStr"/>
      <c r="G3735" s="1" t="inlineStr"/>
    </row>
    <row r="3736">
      <c r="A3736" s="2" t="inlineStr">
        <is>
          <t>H9</t>
        </is>
      </c>
      <c r="B3736" s="2" t="n">
        <v>93</v>
      </c>
      <c r="C3736" s="2">
        <f>_xlfn.XLOOKUP(B3736,Results!$B$23:$B$119,Results!$D$23:$D$119)</f>
        <v/>
      </c>
      <c r="D3736" s="2" t="n">
        <v>33</v>
      </c>
      <c r="E3736" s="2" t="inlineStr"/>
      <c r="F3736" s="2" t="inlineStr"/>
      <c r="G3736" s="2" t="inlineStr"/>
    </row>
    <row r="3737">
      <c r="A3737" s="1" t="inlineStr">
        <is>
          <t>H9</t>
        </is>
      </c>
      <c r="B3737" s="1" t="n">
        <v>93</v>
      </c>
      <c r="C3737" s="2">
        <f>_xlfn.XLOOKUP(B3737,Results!$B$23:$B$119,Results!$D$23:$D$119)</f>
        <v/>
      </c>
      <c r="D3737" s="1" t="n">
        <v>34</v>
      </c>
      <c r="E3737" s="1" t="inlineStr"/>
      <c r="F3737" s="1" t="inlineStr"/>
      <c r="G3737" s="1" t="inlineStr"/>
    </row>
    <row r="3738">
      <c r="A3738" s="2" t="inlineStr">
        <is>
          <t>H9</t>
        </is>
      </c>
      <c r="B3738" s="2" t="n">
        <v>93</v>
      </c>
      <c r="C3738" s="2">
        <f>_xlfn.XLOOKUP(B3738,Results!$B$23:$B$119,Results!$D$23:$D$119)</f>
        <v/>
      </c>
      <c r="D3738" s="2" t="n">
        <v>35</v>
      </c>
      <c r="E3738" s="2" t="inlineStr"/>
      <c r="F3738" s="2" t="inlineStr"/>
      <c r="G3738" s="2" t="inlineStr"/>
    </row>
    <row r="3739">
      <c r="A3739" s="1" t="inlineStr">
        <is>
          <t>H9</t>
        </is>
      </c>
      <c r="B3739" s="1" t="n">
        <v>93</v>
      </c>
      <c r="C3739" s="2">
        <f>_xlfn.XLOOKUP(B3739,Results!$B$23:$B$119,Results!$D$23:$D$119)</f>
        <v/>
      </c>
      <c r="D3739" s="1" t="n">
        <v>36</v>
      </c>
      <c r="E3739" s="1" t="inlineStr"/>
      <c r="F3739" s="1" t="inlineStr"/>
      <c r="G3739" s="1" t="inlineStr"/>
    </row>
    <row r="3740">
      <c r="A3740" s="2" t="inlineStr">
        <is>
          <t>H9</t>
        </is>
      </c>
      <c r="B3740" s="2" t="n">
        <v>93</v>
      </c>
      <c r="C3740" s="2">
        <f>_xlfn.XLOOKUP(B3740,Results!$B$23:$B$119,Results!$D$23:$D$119)</f>
        <v/>
      </c>
      <c r="D3740" s="2" t="n">
        <v>37</v>
      </c>
      <c r="E3740" s="2" t="inlineStr"/>
      <c r="F3740" s="2" t="inlineStr"/>
      <c r="G3740" s="2" t="inlineStr"/>
    </row>
    <row r="3741">
      <c r="A3741" s="1" t="inlineStr">
        <is>
          <t>H9</t>
        </is>
      </c>
      <c r="B3741" s="1" t="n">
        <v>93</v>
      </c>
      <c r="C3741" s="2">
        <f>_xlfn.XLOOKUP(B3741,Results!$B$23:$B$119,Results!$D$23:$D$119)</f>
        <v/>
      </c>
      <c r="D3741" s="1" t="n">
        <v>38</v>
      </c>
      <c r="E3741" s="1" t="inlineStr"/>
      <c r="F3741" s="1" t="inlineStr"/>
      <c r="G3741" s="1" t="inlineStr"/>
    </row>
    <row r="3742">
      <c r="A3742" s="2" t="inlineStr">
        <is>
          <t>H9</t>
        </is>
      </c>
      <c r="B3742" s="2" t="n">
        <v>93</v>
      </c>
      <c r="C3742" s="2">
        <f>_xlfn.XLOOKUP(B3742,Results!$B$23:$B$119,Results!$D$23:$D$119)</f>
        <v/>
      </c>
      <c r="D3742" s="2" t="n">
        <v>39</v>
      </c>
      <c r="E3742" s="2" t="inlineStr"/>
      <c r="F3742" s="2" t="inlineStr"/>
      <c r="G3742" s="2" t="inlineStr"/>
    </row>
    <row r="3743">
      <c r="A3743" s="1" t="inlineStr">
        <is>
          <t>H9</t>
        </is>
      </c>
      <c r="B3743" s="1" t="n">
        <v>93</v>
      </c>
      <c r="C3743" s="2">
        <f>_xlfn.XLOOKUP(B3743,Results!$B$23:$B$119,Results!$D$23:$D$119)</f>
        <v/>
      </c>
      <c r="D3743" s="1" t="n">
        <v>40</v>
      </c>
      <c r="E3743" s="1" t="inlineStr"/>
      <c r="F3743" s="1" t="inlineStr"/>
      <c r="G3743" s="1" t="inlineStr"/>
    </row>
    <row r="3744">
      <c r="A3744" s="2" t="inlineStr">
        <is>
          <t>H10</t>
        </is>
      </c>
      <c r="B3744" s="2" t="n">
        <v>94</v>
      </c>
      <c r="C3744" s="2">
        <f>_xlfn.XLOOKUP(B3744,Results!$B$23:$B$119,Results!$D$23:$D$119)</f>
        <v/>
      </c>
      <c r="D3744" s="2" t="n">
        <v>1</v>
      </c>
      <c r="E3744" s="2" t="inlineStr"/>
      <c r="F3744" s="2" t="inlineStr"/>
      <c r="G3744" s="2" t="inlineStr"/>
    </row>
    <row r="3745">
      <c r="A3745" s="1" t="inlineStr">
        <is>
          <t>H10</t>
        </is>
      </c>
      <c r="B3745" s="1" t="n">
        <v>94</v>
      </c>
      <c r="C3745" s="2">
        <f>_xlfn.XLOOKUP(B3745,Results!$B$23:$B$119,Results!$D$23:$D$119)</f>
        <v/>
      </c>
      <c r="D3745" s="1" t="n">
        <v>2</v>
      </c>
      <c r="E3745" s="1" t="inlineStr"/>
      <c r="F3745" s="1" t="inlineStr"/>
      <c r="G3745" s="1" t="inlineStr"/>
    </row>
    <row r="3746">
      <c r="A3746" s="2" t="inlineStr">
        <is>
          <t>H10</t>
        </is>
      </c>
      <c r="B3746" s="2" t="n">
        <v>94</v>
      </c>
      <c r="C3746" s="2">
        <f>_xlfn.XLOOKUP(B3746,Results!$B$23:$B$119,Results!$D$23:$D$119)</f>
        <v/>
      </c>
      <c r="D3746" s="2" t="n">
        <v>3</v>
      </c>
      <c r="E3746" s="2" t="inlineStr"/>
      <c r="F3746" s="2" t="inlineStr"/>
      <c r="G3746" s="2" t="inlineStr"/>
    </row>
    <row r="3747">
      <c r="A3747" s="1" t="inlineStr">
        <is>
          <t>H10</t>
        </is>
      </c>
      <c r="B3747" s="1" t="n">
        <v>94</v>
      </c>
      <c r="C3747" s="2">
        <f>_xlfn.XLOOKUP(B3747,Results!$B$23:$B$119,Results!$D$23:$D$119)</f>
        <v/>
      </c>
      <c r="D3747" s="1" t="n">
        <v>4</v>
      </c>
      <c r="E3747" s="1" t="inlineStr"/>
      <c r="F3747" s="1" t="inlineStr"/>
      <c r="G3747" s="1" t="inlineStr"/>
    </row>
    <row r="3748">
      <c r="A3748" s="2" t="inlineStr">
        <is>
          <t>H10</t>
        </is>
      </c>
      <c r="B3748" s="2" t="n">
        <v>94</v>
      </c>
      <c r="C3748" s="2">
        <f>_xlfn.XLOOKUP(B3748,Results!$B$23:$B$119,Results!$D$23:$D$119)</f>
        <v/>
      </c>
      <c r="D3748" s="2" t="n">
        <v>5</v>
      </c>
      <c r="E3748" s="2" t="inlineStr"/>
      <c r="F3748" s="2" t="inlineStr"/>
      <c r="G3748" s="2" t="inlineStr"/>
    </row>
    <row r="3749">
      <c r="A3749" s="1" t="inlineStr">
        <is>
          <t>H10</t>
        </is>
      </c>
      <c r="B3749" s="1" t="n">
        <v>94</v>
      </c>
      <c r="C3749" s="2">
        <f>_xlfn.XLOOKUP(B3749,Results!$B$23:$B$119,Results!$D$23:$D$119)</f>
        <v/>
      </c>
      <c r="D3749" s="1" t="n">
        <v>6</v>
      </c>
      <c r="E3749" s="1" t="inlineStr"/>
      <c r="F3749" s="1" t="inlineStr"/>
      <c r="G3749" s="1" t="inlineStr"/>
    </row>
    <row r="3750">
      <c r="A3750" s="2" t="inlineStr">
        <is>
          <t>H10</t>
        </is>
      </c>
      <c r="B3750" s="2" t="n">
        <v>94</v>
      </c>
      <c r="C3750" s="2">
        <f>_xlfn.XLOOKUP(B3750,Results!$B$23:$B$119,Results!$D$23:$D$119)</f>
        <v/>
      </c>
      <c r="D3750" s="2" t="n">
        <v>7</v>
      </c>
      <c r="E3750" s="2" t="inlineStr"/>
      <c r="F3750" s="2" t="inlineStr"/>
      <c r="G3750" s="2" t="inlineStr"/>
    </row>
    <row r="3751">
      <c r="A3751" s="1" t="inlineStr">
        <is>
          <t>H10</t>
        </is>
      </c>
      <c r="B3751" s="1" t="n">
        <v>94</v>
      </c>
      <c r="C3751" s="2">
        <f>_xlfn.XLOOKUP(B3751,Results!$B$23:$B$119,Results!$D$23:$D$119)</f>
        <v/>
      </c>
      <c r="D3751" s="1" t="n">
        <v>8</v>
      </c>
      <c r="E3751" s="1" t="inlineStr"/>
      <c r="F3751" s="1" t="inlineStr"/>
      <c r="G3751" s="1" t="inlineStr"/>
    </row>
    <row r="3752">
      <c r="A3752" s="2" t="inlineStr">
        <is>
          <t>H10</t>
        </is>
      </c>
      <c r="B3752" s="2" t="n">
        <v>94</v>
      </c>
      <c r="C3752" s="2">
        <f>_xlfn.XLOOKUP(B3752,Results!$B$23:$B$119,Results!$D$23:$D$119)</f>
        <v/>
      </c>
      <c r="D3752" s="2" t="n">
        <v>9</v>
      </c>
      <c r="E3752" s="2" t="inlineStr"/>
      <c r="F3752" s="2" t="inlineStr"/>
      <c r="G3752" s="2" t="inlineStr"/>
    </row>
    <row r="3753">
      <c r="A3753" s="1" t="inlineStr">
        <is>
          <t>H10</t>
        </is>
      </c>
      <c r="B3753" s="1" t="n">
        <v>94</v>
      </c>
      <c r="C3753" s="2">
        <f>_xlfn.XLOOKUP(B3753,Results!$B$23:$B$119,Results!$D$23:$D$119)</f>
        <v/>
      </c>
      <c r="D3753" s="1" t="n">
        <v>10</v>
      </c>
      <c r="E3753" s="1" t="inlineStr"/>
      <c r="F3753" s="1" t="inlineStr"/>
      <c r="G3753" s="1" t="inlineStr"/>
    </row>
    <row r="3754">
      <c r="A3754" s="2" t="inlineStr">
        <is>
          <t>H10</t>
        </is>
      </c>
      <c r="B3754" s="2" t="n">
        <v>94</v>
      </c>
      <c r="C3754" s="2">
        <f>_xlfn.XLOOKUP(B3754,Results!$B$23:$B$119,Results!$D$23:$D$119)</f>
        <v/>
      </c>
      <c r="D3754" s="2" t="n">
        <v>11</v>
      </c>
      <c r="E3754" s="2" t="inlineStr"/>
      <c r="F3754" s="2" t="inlineStr"/>
      <c r="G3754" s="2" t="inlineStr"/>
    </row>
    <row r="3755">
      <c r="A3755" s="1" t="inlineStr">
        <is>
          <t>H10</t>
        </is>
      </c>
      <c r="B3755" s="1" t="n">
        <v>94</v>
      </c>
      <c r="C3755" s="2">
        <f>_xlfn.XLOOKUP(B3755,Results!$B$23:$B$119,Results!$D$23:$D$119)</f>
        <v/>
      </c>
      <c r="D3755" s="1" t="n">
        <v>12</v>
      </c>
      <c r="E3755" s="1" t="inlineStr"/>
      <c r="F3755" s="1" t="inlineStr"/>
      <c r="G3755" s="1" t="inlineStr"/>
    </row>
    <row r="3756">
      <c r="A3756" s="2" t="inlineStr">
        <is>
          <t>H10</t>
        </is>
      </c>
      <c r="B3756" s="2" t="n">
        <v>94</v>
      </c>
      <c r="C3756" s="2">
        <f>_xlfn.XLOOKUP(B3756,Results!$B$23:$B$119,Results!$D$23:$D$119)</f>
        <v/>
      </c>
      <c r="D3756" s="2" t="n">
        <v>13</v>
      </c>
      <c r="E3756" s="2" t="inlineStr"/>
      <c r="F3756" s="2" t="inlineStr"/>
      <c r="G3756" s="2" t="inlineStr"/>
    </row>
    <row r="3757">
      <c r="A3757" s="1" t="inlineStr">
        <is>
          <t>H10</t>
        </is>
      </c>
      <c r="B3757" s="1" t="n">
        <v>94</v>
      </c>
      <c r="C3757" s="2">
        <f>_xlfn.XLOOKUP(B3757,Results!$B$23:$B$119,Results!$D$23:$D$119)</f>
        <v/>
      </c>
      <c r="D3757" s="1" t="n">
        <v>14</v>
      </c>
      <c r="E3757" s="1" t="inlineStr"/>
      <c r="F3757" s="1" t="inlineStr"/>
      <c r="G3757" s="1" t="inlineStr"/>
    </row>
    <row r="3758">
      <c r="A3758" s="2" t="inlineStr">
        <is>
          <t>H10</t>
        </is>
      </c>
      <c r="B3758" s="2" t="n">
        <v>94</v>
      </c>
      <c r="C3758" s="2">
        <f>_xlfn.XLOOKUP(B3758,Results!$B$23:$B$119,Results!$D$23:$D$119)</f>
        <v/>
      </c>
      <c r="D3758" s="2" t="n">
        <v>15</v>
      </c>
      <c r="E3758" s="2" t="inlineStr"/>
      <c r="F3758" s="2" t="inlineStr"/>
      <c r="G3758" s="2" t="inlineStr"/>
    </row>
    <row r="3759">
      <c r="A3759" s="1" t="inlineStr">
        <is>
          <t>H10</t>
        </is>
      </c>
      <c r="B3759" s="1" t="n">
        <v>94</v>
      </c>
      <c r="C3759" s="2">
        <f>_xlfn.XLOOKUP(B3759,Results!$B$23:$B$119,Results!$D$23:$D$119)</f>
        <v/>
      </c>
      <c r="D3759" s="1" t="n">
        <v>16</v>
      </c>
      <c r="E3759" s="1" t="inlineStr"/>
      <c r="F3759" s="1" t="inlineStr"/>
      <c r="G3759" s="1" t="inlineStr"/>
    </row>
    <row r="3760">
      <c r="A3760" s="2" t="inlineStr">
        <is>
          <t>H10</t>
        </is>
      </c>
      <c r="B3760" s="2" t="n">
        <v>94</v>
      </c>
      <c r="C3760" s="2">
        <f>_xlfn.XLOOKUP(B3760,Results!$B$23:$B$119,Results!$D$23:$D$119)</f>
        <v/>
      </c>
      <c r="D3760" s="2" t="n">
        <v>17</v>
      </c>
      <c r="E3760" s="2" t="inlineStr"/>
      <c r="F3760" s="2" t="inlineStr"/>
      <c r="G3760" s="2" t="inlineStr"/>
    </row>
    <row r="3761">
      <c r="A3761" s="1" t="inlineStr">
        <is>
          <t>H10</t>
        </is>
      </c>
      <c r="B3761" s="1" t="n">
        <v>94</v>
      </c>
      <c r="C3761" s="2">
        <f>_xlfn.XLOOKUP(B3761,Results!$B$23:$B$119,Results!$D$23:$D$119)</f>
        <v/>
      </c>
      <c r="D3761" s="1" t="n">
        <v>18</v>
      </c>
      <c r="E3761" s="1" t="inlineStr"/>
      <c r="F3761" s="1" t="inlineStr"/>
      <c r="G3761" s="1" t="inlineStr"/>
    </row>
    <row r="3762">
      <c r="A3762" s="2" t="inlineStr">
        <is>
          <t>H10</t>
        </is>
      </c>
      <c r="B3762" s="2" t="n">
        <v>94</v>
      </c>
      <c r="C3762" s="2">
        <f>_xlfn.XLOOKUP(B3762,Results!$B$23:$B$119,Results!$D$23:$D$119)</f>
        <v/>
      </c>
      <c r="D3762" s="2" t="n">
        <v>19</v>
      </c>
      <c r="E3762" s="2" t="inlineStr"/>
      <c r="F3762" s="2" t="inlineStr"/>
      <c r="G3762" s="2" t="inlineStr"/>
    </row>
    <row r="3763">
      <c r="A3763" s="1" t="inlineStr">
        <is>
          <t>H10</t>
        </is>
      </c>
      <c r="B3763" s="1" t="n">
        <v>94</v>
      </c>
      <c r="C3763" s="2">
        <f>_xlfn.XLOOKUP(B3763,Results!$B$23:$B$119,Results!$D$23:$D$119)</f>
        <v/>
      </c>
      <c r="D3763" s="1" t="n">
        <v>20</v>
      </c>
      <c r="E3763" s="1" t="inlineStr"/>
      <c r="F3763" s="1" t="inlineStr"/>
      <c r="G3763" s="1" t="inlineStr"/>
    </row>
    <row r="3764">
      <c r="A3764" s="2" t="inlineStr">
        <is>
          <t>H10</t>
        </is>
      </c>
      <c r="B3764" s="2" t="n">
        <v>94</v>
      </c>
      <c r="C3764" s="2">
        <f>_xlfn.XLOOKUP(B3764,Results!$B$23:$B$119,Results!$D$23:$D$119)</f>
        <v/>
      </c>
      <c r="D3764" s="2" t="n">
        <v>21</v>
      </c>
      <c r="E3764" s="2" t="inlineStr"/>
      <c r="F3764" s="2" t="inlineStr"/>
      <c r="G3764" s="2" t="inlineStr"/>
    </row>
    <row r="3765">
      <c r="A3765" s="1" t="inlineStr">
        <is>
          <t>H10</t>
        </is>
      </c>
      <c r="B3765" s="1" t="n">
        <v>94</v>
      </c>
      <c r="C3765" s="2">
        <f>_xlfn.XLOOKUP(B3765,Results!$B$23:$B$119,Results!$D$23:$D$119)</f>
        <v/>
      </c>
      <c r="D3765" s="1" t="n">
        <v>22</v>
      </c>
      <c r="E3765" s="1" t="inlineStr"/>
      <c r="F3765" s="1" t="inlineStr"/>
      <c r="G3765" s="1" t="inlineStr"/>
    </row>
    <row r="3766">
      <c r="A3766" s="2" t="inlineStr">
        <is>
          <t>H10</t>
        </is>
      </c>
      <c r="B3766" s="2" t="n">
        <v>94</v>
      </c>
      <c r="C3766" s="2">
        <f>_xlfn.XLOOKUP(B3766,Results!$B$23:$B$119,Results!$D$23:$D$119)</f>
        <v/>
      </c>
      <c r="D3766" s="2" t="n">
        <v>23</v>
      </c>
      <c r="E3766" s="2" t="inlineStr"/>
      <c r="F3766" s="2" t="inlineStr"/>
      <c r="G3766" s="2" t="inlineStr"/>
    </row>
    <row r="3767">
      <c r="A3767" s="1" t="inlineStr">
        <is>
          <t>H10</t>
        </is>
      </c>
      <c r="B3767" s="1" t="n">
        <v>94</v>
      </c>
      <c r="C3767" s="2">
        <f>_xlfn.XLOOKUP(B3767,Results!$B$23:$B$119,Results!$D$23:$D$119)</f>
        <v/>
      </c>
      <c r="D3767" s="1" t="n">
        <v>24</v>
      </c>
      <c r="E3767" s="1" t="inlineStr"/>
      <c r="F3767" s="1" t="inlineStr"/>
      <c r="G3767" s="1" t="inlineStr"/>
    </row>
    <row r="3768">
      <c r="A3768" s="2" t="inlineStr">
        <is>
          <t>H10</t>
        </is>
      </c>
      <c r="B3768" s="2" t="n">
        <v>94</v>
      </c>
      <c r="C3768" s="2">
        <f>_xlfn.XLOOKUP(B3768,Results!$B$23:$B$119,Results!$D$23:$D$119)</f>
        <v/>
      </c>
      <c r="D3768" s="2" t="n">
        <v>25</v>
      </c>
      <c r="E3768" s="2" t="inlineStr"/>
      <c r="F3768" s="2" t="inlineStr"/>
      <c r="G3768" s="2" t="inlineStr"/>
    </row>
    <row r="3769">
      <c r="A3769" s="1" t="inlineStr">
        <is>
          <t>H10</t>
        </is>
      </c>
      <c r="B3769" s="1" t="n">
        <v>94</v>
      </c>
      <c r="C3769" s="2">
        <f>_xlfn.XLOOKUP(B3769,Results!$B$23:$B$119,Results!$D$23:$D$119)</f>
        <v/>
      </c>
      <c r="D3769" s="1" t="n">
        <v>26</v>
      </c>
      <c r="E3769" s="1" t="inlineStr"/>
      <c r="F3769" s="1" t="inlineStr"/>
      <c r="G3769" s="1" t="inlineStr"/>
    </row>
    <row r="3770">
      <c r="A3770" s="2" t="inlineStr">
        <is>
          <t>H10</t>
        </is>
      </c>
      <c r="B3770" s="2" t="n">
        <v>94</v>
      </c>
      <c r="C3770" s="2">
        <f>_xlfn.XLOOKUP(B3770,Results!$B$23:$B$119,Results!$D$23:$D$119)</f>
        <v/>
      </c>
      <c r="D3770" s="2" t="n">
        <v>27</v>
      </c>
      <c r="E3770" s="2" t="inlineStr"/>
      <c r="F3770" s="2" t="inlineStr"/>
      <c r="G3770" s="2" t="inlineStr"/>
    </row>
    <row r="3771">
      <c r="A3771" s="1" t="inlineStr">
        <is>
          <t>H10</t>
        </is>
      </c>
      <c r="B3771" s="1" t="n">
        <v>94</v>
      </c>
      <c r="C3771" s="2">
        <f>_xlfn.XLOOKUP(B3771,Results!$B$23:$B$119,Results!$D$23:$D$119)</f>
        <v/>
      </c>
      <c r="D3771" s="1" t="n">
        <v>28</v>
      </c>
      <c r="E3771" s="1" t="inlineStr"/>
      <c r="F3771" s="1" t="inlineStr"/>
      <c r="G3771" s="1" t="inlineStr"/>
    </row>
    <row r="3772">
      <c r="A3772" s="2" t="inlineStr">
        <is>
          <t>H10</t>
        </is>
      </c>
      <c r="B3772" s="2" t="n">
        <v>94</v>
      </c>
      <c r="C3772" s="2">
        <f>_xlfn.XLOOKUP(B3772,Results!$B$23:$B$119,Results!$D$23:$D$119)</f>
        <v/>
      </c>
      <c r="D3772" s="2" t="n">
        <v>29</v>
      </c>
      <c r="E3772" s="2" t="inlineStr"/>
      <c r="F3772" s="2" t="inlineStr"/>
      <c r="G3772" s="2" t="inlineStr"/>
    </row>
    <row r="3773">
      <c r="A3773" s="1" t="inlineStr">
        <is>
          <t>H10</t>
        </is>
      </c>
      <c r="B3773" s="1" t="n">
        <v>94</v>
      </c>
      <c r="C3773" s="2">
        <f>_xlfn.XLOOKUP(B3773,Results!$B$23:$B$119,Results!$D$23:$D$119)</f>
        <v/>
      </c>
      <c r="D3773" s="1" t="n">
        <v>30</v>
      </c>
      <c r="E3773" s="1" t="inlineStr"/>
      <c r="F3773" s="1" t="inlineStr"/>
      <c r="G3773" s="1" t="inlineStr"/>
    </row>
    <row r="3774">
      <c r="A3774" s="2" t="inlineStr">
        <is>
          <t>H10</t>
        </is>
      </c>
      <c r="B3774" s="2" t="n">
        <v>94</v>
      </c>
      <c r="C3774" s="2">
        <f>_xlfn.XLOOKUP(B3774,Results!$B$23:$B$119,Results!$D$23:$D$119)</f>
        <v/>
      </c>
      <c r="D3774" s="2" t="n">
        <v>31</v>
      </c>
      <c r="E3774" s="2" t="inlineStr"/>
      <c r="F3774" s="2" t="inlineStr"/>
      <c r="G3774" s="2" t="inlineStr"/>
    </row>
    <row r="3775">
      <c r="A3775" s="1" t="inlineStr">
        <is>
          <t>H10</t>
        </is>
      </c>
      <c r="B3775" s="1" t="n">
        <v>94</v>
      </c>
      <c r="C3775" s="2">
        <f>_xlfn.XLOOKUP(B3775,Results!$B$23:$B$119,Results!$D$23:$D$119)</f>
        <v/>
      </c>
      <c r="D3775" s="1" t="n">
        <v>32</v>
      </c>
      <c r="E3775" s="1" t="inlineStr"/>
      <c r="F3775" s="1" t="inlineStr"/>
      <c r="G3775" s="1" t="inlineStr"/>
    </row>
    <row r="3776">
      <c r="A3776" s="2" t="inlineStr">
        <is>
          <t>H10</t>
        </is>
      </c>
      <c r="B3776" s="2" t="n">
        <v>94</v>
      </c>
      <c r="C3776" s="2">
        <f>_xlfn.XLOOKUP(B3776,Results!$B$23:$B$119,Results!$D$23:$D$119)</f>
        <v/>
      </c>
      <c r="D3776" s="2" t="n">
        <v>33</v>
      </c>
      <c r="E3776" s="2" t="inlineStr"/>
      <c r="F3776" s="2" t="inlineStr"/>
      <c r="G3776" s="2" t="inlineStr"/>
    </row>
    <row r="3777">
      <c r="A3777" s="1" t="inlineStr">
        <is>
          <t>H10</t>
        </is>
      </c>
      <c r="B3777" s="1" t="n">
        <v>94</v>
      </c>
      <c r="C3777" s="2">
        <f>_xlfn.XLOOKUP(B3777,Results!$B$23:$B$119,Results!$D$23:$D$119)</f>
        <v/>
      </c>
      <c r="D3777" s="1" t="n">
        <v>34</v>
      </c>
      <c r="E3777" s="1" t="inlineStr"/>
      <c r="F3777" s="1" t="inlineStr"/>
      <c r="G3777" s="1" t="inlineStr"/>
    </row>
    <row r="3778">
      <c r="A3778" s="2" t="inlineStr">
        <is>
          <t>H10</t>
        </is>
      </c>
      <c r="B3778" s="2" t="n">
        <v>94</v>
      </c>
      <c r="C3778" s="2">
        <f>_xlfn.XLOOKUP(B3778,Results!$B$23:$B$119,Results!$D$23:$D$119)</f>
        <v/>
      </c>
      <c r="D3778" s="2" t="n">
        <v>35</v>
      </c>
      <c r="E3778" s="2" t="inlineStr"/>
      <c r="F3778" s="2" t="inlineStr"/>
      <c r="G3778" s="2" t="inlineStr"/>
    </row>
    <row r="3779">
      <c r="A3779" s="1" t="inlineStr">
        <is>
          <t>H10</t>
        </is>
      </c>
      <c r="B3779" s="1" t="n">
        <v>94</v>
      </c>
      <c r="C3779" s="2">
        <f>_xlfn.XLOOKUP(B3779,Results!$B$23:$B$119,Results!$D$23:$D$119)</f>
        <v/>
      </c>
      <c r="D3779" s="1" t="n">
        <v>36</v>
      </c>
      <c r="E3779" s="1" t="inlineStr"/>
      <c r="F3779" s="1" t="inlineStr"/>
      <c r="G3779" s="1" t="inlineStr"/>
    </row>
    <row r="3780">
      <c r="A3780" s="2" t="inlineStr">
        <is>
          <t>H10</t>
        </is>
      </c>
      <c r="B3780" s="2" t="n">
        <v>94</v>
      </c>
      <c r="C3780" s="2">
        <f>_xlfn.XLOOKUP(B3780,Results!$B$23:$B$119,Results!$D$23:$D$119)</f>
        <v/>
      </c>
      <c r="D3780" s="2" t="n">
        <v>37</v>
      </c>
      <c r="E3780" s="2" t="inlineStr"/>
      <c r="F3780" s="2" t="inlineStr"/>
      <c r="G3780" s="2" t="inlineStr"/>
    </row>
    <row r="3781">
      <c r="A3781" s="1" t="inlineStr">
        <is>
          <t>H10</t>
        </is>
      </c>
      <c r="B3781" s="1" t="n">
        <v>94</v>
      </c>
      <c r="C3781" s="2">
        <f>_xlfn.XLOOKUP(B3781,Results!$B$23:$B$119,Results!$D$23:$D$119)</f>
        <v/>
      </c>
      <c r="D3781" s="1" t="n">
        <v>38</v>
      </c>
      <c r="E3781" s="1" t="inlineStr"/>
      <c r="F3781" s="1" t="inlineStr"/>
      <c r="G3781" s="1" t="inlineStr"/>
    </row>
    <row r="3782">
      <c r="A3782" s="2" t="inlineStr">
        <is>
          <t>H10</t>
        </is>
      </c>
      <c r="B3782" s="2" t="n">
        <v>94</v>
      </c>
      <c r="C3782" s="2">
        <f>_xlfn.XLOOKUP(B3782,Results!$B$23:$B$119,Results!$D$23:$D$119)</f>
        <v/>
      </c>
      <c r="D3782" s="2" t="n">
        <v>39</v>
      </c>
      <c r="E3782" s="2" t="inlineStr"/>
      <c r="F3782" s="2" t="inlineStr"/>
      <c r="G3782" s="2" t="inlineStr"/>
    </row>
    <row r="3783">
      <c r="A3783" s="1" t="inlineStr">
        <is>
          <t>H10</t>
        </is>
      </c>
      <c r="B3783" s="1" t="n">
        <v>94</v>
      </c>
      <c r="C3783" s="2">
        <f>_xlfn.XLOOKUP(B3783,Results!$B$23:$B$119,Results!$D$23:$D$119)</f>
        <v/>
      </c>
      <c r="D3783" s="1" t="n">
        <v>40</v>
      </c>
      <c r="E3783" s="1" t="inlineStr"/>
      <c r="F3783" s="1" t="inlineStr"/>
      <c r="G3783" s="1" t="inlineStr"/>
    </row>
    <row r="3784">
      <c r="A3784" s="2" t="inlineStr">
        <is>
          <t>H11</t>
        </is>
      </c>
      <c r="B3784" s="2" t="n">
        <v>95</v>
      </c>
      <c r="C3784" s="2">
        <f>_xlfn.XLOOKUP(B3784,Results!$B$23:$B$119,Results!$D$23:$D$119)</f>
        <v/>
      </c>
      <c r="D3784" s="2" t="n">
        <v>1</v>
      </c>
      <c r="E3784" s="2" t="inlineStr"/>
      <c r="F3784" s="2" t="inlineStr"/>
      <c r="G3784" s="2" t="inlineStr"/>
    </row>
    <row r="3785">
      <c r="A3785" s="1" t="inlineStr">
        <is>
          <t>H11</t>
        </is>
      </c>
      <c r="B3785" s="1" t="n">
        <v>95</v>
      </c>
      <c r="C3785" s="2">
        <f>_xlfn.XLOOKUP(B3785,Results!$B$23:$B$119,Results!$D$23:$D$119)</f>
        <v/>
      </c>
      <c r="D3785" s="1" t="n">
        <v>2</v>
      </c>
      <c r="E3785" s="1" t="inlineStr"/>
      <c r="F3785" s="1" t="inlineStr"/>
      <c r="G3785" s="1" t="inlineStr"/>
    </row>
    <row r="3786">
      <c r="A3786" s="2" t="inlineStr">
        <is>
          <t>H11</t>
        </is>
      </c>
      <c r="B3786" s="2" t="n">
        <v>95</v>
      </c>
      <c r="C3786" s="2">
        <f>_xlfn.XLOOKUP(B3786,Results!$B$23:$B$119,Results!$D$23:$D$119)</f>
        <v/>
      </c>
      <c r="D3786" s="2" t="n">
        <v>3</v>
      </c>
      <c r="E3786" s="2" t="inlineStr"/>
      <c r="F3786" s="2" t="inlineStr"/>
      <c r="G3786" s="2" t="inlineStr"/>
    </row>
    <row r="3787">
      <c r="A3787" s="1" t="inlineStr">
        <is>
          <t>H11</t>
        </is>
      </c>
      <c r="B3787" s="1" t="n">
        <v>95</v>
      </c>
      <c r="C3787" s="2">
        <f>_xlfn.XLOOKUP(B3787,Results!$B$23:$B$119,Results!$D$23:$D$119)</f>
        <v/>
      </c>
      <c r="D3787" s="1" t="n">
        <v>4</v>
      </c>
      <c r="E3787" s="1" t="inlineStr"/>
      <c r="F3787" s="1" t="inlineStr"/>
      <c r="G3787" s="1" t="inlineStr"/>
    </row>
    <row r="3788">
      <c r="A3788" s="2" t="inlineStr">
        <is>
          <t>H11</t>
        </is>
      </c>
      <c r="B3788" s="2" t="n">
        <v>95</v>
      </c>
      <c r="C3788" s="2">
        <f>_xlfn.XLOOKUP(B3788,Results!$B$23:$B$119,Results!$D$23:$D$119)</f>
        <v/>
      </c>
      <c r="D3788" s="2" t="n">
        <v>5</v>
      </c>
      <c r="E3788" s="2" t="inlineStr"/>
      <c r="F3788" s="2" t="inlineStr"/>
      <c r="G3788" s="2" t="inlineStr"/>
    </row>
    <row r="3789">
      <c r="A3789" s="1" t="inlineStr">
        <is>
          <t>H11</t>
        </is>
      </c>
      <c r="B3789" s="1" t="n">
        <v>95</v>
      </c>
      <c r="C3789" s="2">
        <f>_xlfn.XLOOKUP(B3789,Results!$B$23:$B$119,Results!$D$23:$D$119)</f>
        <v/>
      </c>
      <c r="D3789" s="1" t="n">
        <v>6</v>
      </c>
      <c r="E3789" s="1" t="inlineStr"/>
      <c r="F3789" s="1" t="inlineStr"/>
      <c r="G3789" s="1" t="inlineStr"/>
    </row>
    <row r="3790">
      <c r="A3790" s="2" t="inlineStr">
        <is>
          <t>H11</t>
        </is>
      </c>
      <c r="B3790" s="2" t="n">
        <v>95</v>
      </c>
      <c r="C3790" s="2">
        <f>_xlfn.XLOOKUP(B3790,Results!$B$23:$B$119,Results!$D$23:$D$119)</f>
        <v/>
      </c>
      <c r="D3790" s="2" t="n">
        <v>7</v>
      </c>
      <c r="E3790" s="2" t="inlineStr"/>
      <c r="F3790" s="2" t="inlineStr"/>
      <c r="G3790" s="2" t="inlineStr"/>
    </row>
    <row r="3791">
      <c r="A3791" s="1" t="inlineStr">
        <is>
          <t>H11</t>
        </is>
      </c>
      <c r="B3791" s="1" t="n">
        <v>95</v>
      </c>
      <c r="C3791" s="2">
        <f>_xlfn.XLOOKUP(B3791,Results!$B$23:$B$119,Results!$D$23:$D$119)</f>
        <v/>
      </c>
      <c r="D3791" s="1" t="n">
        <v>8</v>
      </c>
      <c r="E3791" s="1" t="inlineStr"/>
      <c r="F3791" s="1" t="inlineStr"/>
      <c r="G3791" s="1" t="inlineStr"/>
    </row>
    <row r="3792">
      <c r="A3792" s="2" t="inlineStr">
        <is>
          <t>H11</t>
        </is>
      </c>
      <c r="B3792" s="2" t="n">
        <v>95</v>
      </c>
      <c r="C3792" s="2">
        <f>_xlfn.XLOOKUP(B3792,Results!$B$23:$B$119,Results!$D$23:$D$119)</f>
        <v/>
      </c>
      <c r="D3792" s="2" t="n">
        <v>9</v>
      </c>
      <c r="E3792" s="2" t="inlineStr"/>
      <c r="F3792" s="2" t="inlineStr"/>
      <c r="G3792" s="2" t="inlineStr"/>
    </row>
    <row r="3793">
      <c r="A3793" s="1" t="inlineStr">
        <is>
          <t>H11</t>
        </is>
      </c>
      <c r="B3793" s="1" t="n">
        <v>95</v>
      </c>
      <c r="C3793" s="2">
        <f>_xlfn.XLOOKUP(B3793,Results!$B$23:$B$119,Results!$D$23:$D$119)</f>
        <v/>
      </c>
      <c r="D3793" s="1" t="n">
        <v>10</v>
      </c>
      <c r="E3793" s="1" t="inlineStr"/>
      <c r="F3793" s="1" t="inlineStr"/>
      <c r="G3793" s="1" t="inlineStr"/>
    </row>
    <row r="3794">
      <c r="A3794" s="2" t="inlineStr">
        <is>
          <t>H11</t>
        </is>
      </c>
      <c r="B3794" s="2" t="n">
        <v>95</v>
      </c>
      <c r="C3794" s="2">
        <f>_xlfn.XLOOKUP(B3794,Results!$B$23:$B$119,Results!$D$23:$D$119)</f>
        <v/>
      </c>
      <c r="D3794" s="2" t="n">
        <v>11</v>
      </c>
      <c r="E3794" s="2" t="inlineStr"/>
      <c r="F3794" s="2" t="inlineStr"/>
      <c r="G3794" s="2" t="inlineStr"/>
    </row>
    <row r="3795">
      <c r="A3795" s="1" t="inlineStr">
        <is>
          <t>H11</t>
        </is>
      </c>
      <c r="B3795" s="1" t="n">
        <v>95</v>
      </c>
      <c r="C3795" s="2">
        <f>_xlfn.XLOOKUP(B3795,Results!$B$23:$B$119,Results!$D$23:$D$119)</f>
        <v/>
      </c>
      <c r="D3795" s="1" t="n">
        <v>12</v>
      </c>
      <c r="E3795" s="1" t="inlineStr"/>
      <c r="F3795" s="1" t="inlineStr"/>
      <c r="G3795" s="1" t="inlineStr"/>
    </row>
    <row r="3796">
      <c r="A3796" s="2" t="inlineStr">
        <is>
          <t>H11</t>
        </is>
      </c>
      <c r="B3796" s="2" t="n">
        <v>95</v>
      </c>
      <c r="C3796" s="2">
        <f>_xlfn.XLOOKUP(B3796,Results!$B$23:$B$119,Results!$D$23:$D$119)</f>
        <v/>
      </c>
      <c r="D3796" s="2" t="n">
        <v>13</v>
      </c>
      <c r="E3796" s="2" t="inlineStr"/>
      <c r="F3796" s="2" t="inlineStr"/>
      <c r="G3796" s="2" t="inlineStr"/>
    </row>
    <row r="3797">
      <c r="A3797" s="1" t="inlineStr">
        <is>
          <t>H11</t>
        </is>
      </c>
      <c r="B3797" s="1" t="n">
        <v>95</v>
      </c>
      <c r="C3797" s="2">
        <f>_xlfn.XLOOKUP(B3797,Results!$B$23:$B$119,Results!$D$23:$D$119)</f>
        <v/>
      </c>
      <c r="D3797" s="1" t="n">
        <v>14</v>
      </c>
      <c r="E3797" s="1" t="inlineStr"/>
      <c r="F3797" s="1" t="inlineStr"/>
      <c r="G3797" s="1" t="inlineStr"/>
    </row>
    <row r="3798">
      <c r="A3798" s="2" t="inlineStr">
        <is>
          <t>H11</t>
        </is>
      </c>
      <c r="B3798" s="2" t="n">
        <v>95</v>
      </c>
      <c r="C3798" s="2">
        <f>_xlfn.XLOOKUP(B3798,Results!$B$23:$B$119,Results!$D$23:$D$119)</f>
        <v/>
      </c>
      <c r="D3798" s="2" t="n">
        <v>15</v>
      </c>
      <c r="E3798" s="2" t="inlineStr"/>
      <c r="F3798" s="2" t="inlineStr"/>
      <c r="G3798" s="2" t="inlineStr"/>
    </row>
    <row r="3799">
      <c r="A3799" s="1" t="inlineStr">
        <is>
          <t>H11</t>
        </is>
      </c>
      <c r="B3799" s="1" t="n">
        <v>95</v>
      </c>
      <c r="C3799" s="2">
        <f>_xlfn.XLOOKUP(B3799,Results!$B$23:$B$119,Results!$D$23:$D$119)</f>
        <v/>
      </c>
      <c r="D3799" s="1" t="n">
        <v>16</v>
      </c>
      <c r="E3799" s="1" t="inlineStr"/>
      <c r="F3799" s="1" t="inlineStr"/>
      <c r="G3799" s="1" t="inlineStr"/>
    </row>
    <row r="3800">
      <c r="A3800" s="2" t="inlineStr">
        <is>
          <t>H11</t>
        </is>
      </c>
      <c r="B3800" s="2" t="n">
        <v>95</v>
      </c>
      <c r="C3800" s="2">
        <f>_xlfn.XLOOKUP(B3800,Results!$B$23:$B$119,Results!$D$23:$D$119)</f>
        <v/>
      </c>
      <c r="D3800" s="2" t="n">
        <v>17</v>
      </c>
      <c r="E3800" s="2" t="inlineStr"/>
      <c r="F3800" s="2" t="inlineStr"/>
      <c r="G3800" s="2" t="inlineStr"/>
    </row>
    <row r="3801">
      <c r="A3801" s="1" t="inlineStr">
        <is>
          <t>H11</t>
        </is>
      </c>
      <c r="B3801" s="1" t="n">
        <v>95</v>
      </c>
      <c r="C3801" s="2">
        <f>_xlfn.XLOOKUP(B3801,Results!$B$23:$B$119,Results!$D$23:$D$119)</f>
        <v/>
      </c>
      <c r="D3801" s="1" t="n">
        <v>18</v>
      </c>
      <c r="E3801" s="1" t="inlineStr"/>
      <c r="F3801" s="1" t="inlineStr"/>
      <c r="G3801" s="1" t="inlineStr"/>
    </row>
    <row r="3802">
      <c r="A3802" s="2" t="inlineStr">
        <is>
          <t>H11</t>
        </is>
      </c>
      <c r="B3802" s="2" t="n">
        <v>95</v>
      </c>
      <c r="C3802" s="2">
        <f>_xlfn.XLOOKUP(B3802,Results!$B$23:$B$119,Results!$D$23:$D$119)</f>
        <v/>
      </c>
      <c r="D3802" s="2" t="n">
        <v>19</v>
      </c>
      <c r="E3802" s="2" t="inlineStr"/>
      <c r="F3802" s="2" t="inlineStr"/>
      <c r="G3802" s="2" t="inlineStr"/>
    </row>
    <row r="3803">
      <c r="A3803" s="1" t="inlineStr">
        <is>
          <t>H11</t>
        </is>
      </c>
      <c r="B3803" s="1" t="n">
        <v>95</v>
      </c>
      <c r="C3803" s="2">
        <f>_xlfn.XLOOKUP(B3803,Results!$B$23:$B$119,Results!$D$23:$D$119)</f>
        <v/>
      </c>
      <c r="D3803" s="1" t="n">
        <v>20</v>
      </c>
      <c r="E3803" s="1" t="inlineStr"/>
      <c r="F3803" s="1" t="inlineStr"/>
      <c r="G3803" s="1" t="inlineStr"/>
    </row>
    <row r="3804">
      <c r="A3804" s="2" t="inlineStr">
        <is>
          <t>H11</t>
        </is>
      </c>
      <c r="B3804" s="2" t="n">
        <v>95</v>
      </c>
      <c r="C3804" s="2">
        <f>_xlfn.XLOOKUP(B3804,Results!$B$23:$B$119,Results!$D$23:$D$119)</f>
        <v/>
      </c>
      <c r="D3804" s="2" t="n">
        <v>21</v>
      </c>
      <c r="E3804" s="2" t="inlineStr"/>
      <c r="F3804" s="2" t="inlineStr"/>
      <c r="G3804" s="2" t="inlineStr"/>
    </row>
    <row r="3805">
      <c r="A3805" s="1" t="inlineStr">
        <is>
          <t>H11</t>
        </is>
      </c>
      <c r="B3805" s="1" t="n">
        <v>95</v>
      </c>
      <c r="C3805" s="2">
        <f>_xlfn.XLOOKUP(B3805,Results!$B$23:$B$119,Results!$D$23:$D$119)</f>
        <v/>
      </c>
      <c r="D3805" s="1" t="n">
        <v>22</v>
      </c>
      <c r="E3805" s="1" t="inlineStr"/>
      <c r="F3805" s="1" t="inlineStr"/>
      <c r="G3805" s="1" t="inlineStr"/>
    </row>
    <row r="3806">
      <c r="A3806" s="2" t="inlineStr">
        <is>
          <t>H11</t>
        </is>
      </c>
      <c r="B3806" s="2" t="n">
        <v>95</v>
      </c>
      <c r="C3806" s="2">
        <f>_xlfn.XLOOKUP(B3806,Results!$B$23:$B$119,Results!$D$23:$D$119)</f>
        <v/>
      </c>
      <c r="D3806" s="2" t="n">
        <v>23</v>
      </c>
      <c r="E3806" s="2" t="inlineStr"/>
      <c r="F3806" s="2" t="inlineStr"/>
      <c r="G3806" s="2" t="inlineStr"/>
    </row>
    <row r="3807">
      <c r="A3807" s="1" t="inlineStr">
        <is>
          <t>H11</t>
        </is>
      </c>
      <c r="B3807" s="1" t="n">
        <v>95</v>
      </c>
      <c r="C3807" s="2">
        <f>_xlfn.XLOOKUP(B3807,Results!$B$23:$B$119,Results!$D$23:$D$119)</f>
        <v/>
      </c>
      <c r="D3807" s="1" t="n">
        <v>24</v>
      </c>
      <c r="E3807" s="1" t="inlineStr"/>
      <c r="F3807" s="1" t="inlineStr"/>
      <c r="G3807" s="1" t="inlineStr"/>
    </row>
    <row r="3808">
      <c r="A3808" s="2" t="inlineStr">
        <is>
          <t>H11</t>
        </is>
      </c>
      <c r="B3808" s="2" t="n">
        <v>95</v>
      </c>
      <c r="C3808" s="2">
        <f>_xlfn.XLOOKUP(B3808,Results!$B$23:$B$119,Results!$D$23:$D$119)</f>
        <v/>
      </c>
      <c r="D3808" s="2" t="n">
        <v>25</v>
      </c>
      <c r="E3808" s="2" t="inlineStr"/>
      <c r="F3808" s="2" t="inlineStr"/>
      <c r="G3808" s="2" t="inlineStr"/>
    </row>
    <row r="3809">
      <c r="A3809" s="1" t="inlineStr">
        <is>
          <t>H11</t>
        </is>
      </c>
      <c r="B3809" s="1" t="n">
        <v>95</v>
      </c>
      <c r="C3809" s="2">
        <f>_xlfn.XLOOKUP(B3809,Results!$B$23:$B$119,Results!$D$23:$D$119)</f>
        <v/>
      </c>
      <c r="D3809" s="1" t="n">
        <v>26</v>
      </c>
      <c r="E3809" s="1" t="inlineStr"/>
      <c r="F3809" s="1" t="inlineStr"/>
      <c r="G3809" s="1" t="inlineStr"/>
    </row>
    <row r="3810">
      <c r="A3810" s="2" t="inlineStr">
        <is>
          <t>H11</t>
        </is>
      </c>
      <c r="B3810" s="2" t="n">
        <v>95</v>
      </c>
      <c r="C3810" s="2">
        <f>_xlfn.XLOOKUP(B3810,Results!$B$23:$B$119,Results!$D$23:$D$119)</f>
        <v/>
      </c>
      <c r="D3810" s="2" t="n">
        <v>27</v>
      </c>
      <c r="E3810" s="2" t="inlineStr"/>
      <c r="F3810" s="2" t="inlineStr"/>
      <c r="G3810" s="2" t="inlineStr"/>
    </row>
    <row r="3811">
      <c r="A3811" s="1" t="inlineStr">
        <is>
          <t>H11</t>
        </is>
      </c>
      <c r="B3811" s="1" t="n">
        <v>95</v>
      </c>
      <c r="C3811" s="2">
        <f>_xlfn.XLOOKUP(B3811,Results!$B$23:$B$119,Results!$D$23:$D$119)</f>
        <v/>
      </c>
      <c r="D3811" s="1" t="n">
        <v>28</v>
      </c>
      <c r="E3811" s="1" t="inlineStr"/>
      <c r="F3811" s="1" t="inlineStr"/>
      <c r="G3811" s="1" t="inlineStr"/>
    </row>
    <row r="3812">
      <c r="A3812" s="2" t="inlineStr">
        <is>
          <t>H11</t>
        </is>
      </c>
      <c r="B3812" s="2" t="n">
        <v>95</v>
      </c>
      <c r="C3812" s="2">
        <f>_xlfn.XLOOKUP(B3812,Results!$B$23:$B$119,Results!$D$23:$D$119)</f>
        <v/>
      </c>
      <c r="D3812" s="2" t="n">
        <v>29</v>
      </c>
      <c r="E3812" s="2" t="inlineStr"/>
      <c r="F3812" s="2" t="inlineStr"/>
      <c r="G3812" s="2" t="inlineStr"/>
    </row>
    <row r="3813">
      <c r="A3813" s="1" t="inlineStr">
        <is>
          <t>H11</t>
        </is>
      </c>
      <c r="B3813" s="1" t="n">
        <v>95</v>
      </c>
      <c r="C3813" s="2">
        <f>_xlfn.XLOOKUP(B3813,Results!$B$23:$B$119,Results!$D$23:$D$119)</f>
        <v/>
      </c>
      <c r="D3813" s="1" t="n">
        <v>30</v>
      </c>
      <c r="E3813" s="1" t="inlineStr"/>
      <c r="F3813" s="1" t="inlineStr"/>
      <c r="G3813" s="1" t="inlineStr"/>
    </row>
    <row r="3814">
      <c r="A3814" s="2" t="inlineStr">
        <is>
          <t>H11</t>
        </is>
      </c>
      <c r="B3814" s="2" t="n">
        <v>95</v>
      </c>
      <c r="C3814" s="2">
        <f>_xlfn.XLOOKUP(B3814,Results!$B$23:$B$119,Results!$D$23:$D$119)</f>
        <v/>
      </c>
      <c r="D3814" s="2" t="n">
        <v>31</v>
      </c>
      <c r="E3814" s="2" t="inlineStr"/>
      <c r="F3814" s="2" t="inlineStr"/>
      <c r="G3814" s="2" t="inlineStr"/>
    </row>
    <row r="3815">
      <c r="A3815" s="1" t="inlineStr">
        <is>
          <t>H11</t>
        </is>
      </c>
      <c r="B3815" s="1" t="n">
        <v>95</v>
      </c>
      <c r="C3815" s="2">
        <f>_xlfn.XLOOKUP(B3815,Results!$B$23:$B$119,Results!$D$23:$D$119)</f>
        <v/>
      </c>
      <c r="D3815" s="1" t="n">
        <v>32</v>
      </c>
      <c r="E3815" s="1" t="inlineStr"/>
      <c r="F3815" s="1" t="inlineStr"/>
      <c r="G3815" s="1" t="inlineStr"/>
    </row>
    <row r="3816">
      <c r="A3816" s="2" t="inlineStr">
        <is>
          <t>H11</t>
        </is>
      </c>
      <c r="B3816" s="2" t="n">
        <v>95</v>
      </c>
      <c r="C3816" s="2">
        <f>_xlfn.XLOOKUP(B3816,Results!$B$23:$B$119,Results!$D$23:$D$119)</f>
        <v/>
      </c>
      <c r="D3816" s="2" t="n">
        <v>33</v>
      </c>
      <c r="E3816" s="2" t="inlineStr"/>
      <c r="F3816" s="2" t="inlineStr"/>
      <c r="G3816" s="2" t="inlineStr"/>
    </row>
    <row r="3817">
      <c r="A3817" s="1" t="inlineStr">
        <is>
          <t>H11</t>
        </is>
      </c>
      <c r="B3817" s="1" t="n">
        <v>95</v>
      </c>
      <c r="C3817" s="2">
        <f>_xlfn.XLOOKUP(B3817,Results!$B$23:$B$119,Results!$D$23:$D$119)</f>
        <v/>
      </c>
      <c r="D3817" s="1" t="n">
        <v>34</v>
      </c>
      <c r="E3817" s="1" t="inlineStr"/>
      <c r="F3817" s="1" t="inlineStr"/>
      <c r="G3817" s="1" t="inlineStr"/>
    </row>
    <row r="3818">
      <c r="A3818" s="2" t="inlineStr">
        <is>
          <t>H11</t>
        </is>
      </c>
      <c r="B3818" s="2" t="n">
        <v>95</v>
      </c>
      <c r="C3818" s="2">
        <f>_xlfn.XLOOKUP(B3818,Results!$B$23:$B$119,Results!$D$23:$D$119)</f>
        <v/>
      </c>
      <c r="D3818" s="2" t="n">
        <v>35</v>
      </c>
      <c r="E3818" s="2" t="inlineStr"/>
      <c r="F3818" s="2" t="inlineStr"/>
      <c r="G3818" s="2" t="inlineStr"/>
    </row>
    <row r="3819">
      <c r="A3819" s="1" t="inlineStr">
        <is>
          <t>H11</t>
        </is>
      </c>
      <c r="B3819" s="1" t="n">
        <v>95</v>
      </c>
      <c r="C3819" s="2">
        <f>_xlfn.XLOOKUP(B3819,Results!$B$23:$B$119,Results!$D$23:$D$119)</f>
        <v/>
      </c>
      <c r="D3819" s="1" t="n">
        <v>36</v>
      </c>
      <c r="E3819" s="1" t="inlineStr"/>
      <c r="F3819" s="1" t="inlineStr"/>
      <c r="G3819" s="1" t="inlineStr"/>
    </row>
    <row r="3820">
      <c r="A3820" s="2" t="inlineStr">
        <is>
          <t>H11</t>
        </is>
      </c>
      <c r="B3820" s="2" t="n">
        <v>95</v>
      </c>
      <c r="C3820" s="2">
        <f>_xlfn.XLOOKUP(B3820,Results!$B$23:$B$119,Results!$D$23:$D$119)</f>
        <v/>
      </c>
      <c r="D3820" s="2" t="n">
        <v>37</v>
      </c>
      <c r="E3820" s="2" t="inlineStr"/>
      <c r="F3820" s="2" t="inlineStr"/>
      <c r="G3820" s="2" t="inlineStr"/>
    </row>
    <row r="3821">
      <c r="A3821" s="1" t="inlineStr">
        <is>
          <t>H11</t>
        </is>
      </c>
      <c r="B3821" s="1" t="n">
        <v>95</v>
      </c>
      <c r="C3821" s="2">
        <f>_xlfn.XLOOKUP(B3821,Results!$B$23:$B$119,Results!$D$23:$D$119)</f>
        <v/>
      </c>
      <c r="D3821" s="1" t="n">
        <v>38</v>
      </c>
      <c r="E3821" s="1" t="inlineStr"/>
      <c r="F3821" s="1" t="inlineStr"/>
      <c r="G3821" s="1" t="inlineStr"/>
    </row>
    <row r="3822">
      <c r="A3822" s="2" t="inlineStr">
        <is>
          <t>H11</t>
        </is>
      </c>
      <c r="B3822" s="2" t="n">
        <v>95</v>
      </c>
      <c r="C3822" s="2">
        <f>_xlfn.XLOOKUP(B3822,Results!$B$23:$B$119,Results!$D$23:$D$119)</f>
        <v/>
      </c>
      <c r="D3822" s="2" t="n">
        <v>39</v>
      </c>
      <c r="E3822" s="2" t="inlineStr"/>
      <c r="F3822" s="2" t="inlineStr"/>
      <c r="G3822" s="2" t="inlineStr"/>
    </row>
    <row r="3823">
      <c r="A3823" s="1" t="inlineStr">
        <is>
          <t>H11</t>
        </is>
      </c>
      <c r="B3823" s="1" t="n">
        <v>95</v>
      </c>
      <c r="C3823" s="2">
        <f>_xlfn.XLOOKUP(B3823,Results!$B$23:$B$119,Results!$D$23:$D$119)</f>
        <v/>
      </c>
      <c r="D3823" s="1" t="n">
        <v>40</v>
      </c>
      <c r="E3823" s="1" t="inlineStr"/>
      <c r="F3823" s="1" t="inlineStr"/>
      <c r="G3823" s="1" t="inlineStr"/>
    </row>
    <row r="3824">
      <c r="A3824" s="2" t="inlineStr">
        <is>
          <t>H12</t>
        </is>
      </c>
      <c r="B3824" s="2" t="n">
        <v>96</v>
      </c>
      <c r="C3824" s="2">
        <f>_xlfn.XLOOKUP(B3824,Results!$B$23:$B$119,Results!$D$23:$D$119)</f>
        <v/>
      </c>
      <c r="D3824" s="2" t="n">
        <v>1</v>
      </c>
      <c r="E3824" s="2" t="inlineStr"/>
      <c r="F3824" s="2" t="inlineStr"/>
      <c r="G3824" s="2" t="inlineStr"/>
    </row>
    <row r="3825">
      <c r="A3825" s="1" t="inlineStr">
        <is>
          <t>H12</t>
        </is>
      </c>
      <c r="B3825" s="1" t="n">
        <v>96</v>
      </c>
      <c r="C3825" s="2">
        <f>_xlfn.XLOOKUP(B3825,Results!$B$23:$B$119,Results!$D$23:$D$119)</f>
        <v/>
      </c>
      <c r="D3825" s="1" t="n">
        <v>2</v>
      </c>
      <c r="E3825" s="1" t="inlineStr"/>
      <c r="F3825" s="1" t="inlineStr"/>
      <c r="G3825" s="1" t="inlineStr"/>
    </row>
    <row r="3826">
      <c r="A3826" s="2" t="inlineStr">
        <is>
          <t>H12</t>
        </is>
      </c>
      <c r="B3826" s="2" t="n">
        <v>96</v>
      </c>
      <c r="C3826" s="2">
        <f>_xlfn.XLOOKUP(B3826,Results!$B$23:$B$119,Results!$D$23:$D$119)</f>
        <v/>
      </c>
      <c r="D3826" s="2" t="n">
        <v>3</v>
      </c>
      <c r="E3826" s="2" t="inlineStr"/>
      <c r="F3826" s="2" t="inlineStr"/>
      <c r="G3826" s="2" t="inlineStr"/>
    </row>
    <row r="3827">
      <c r="A3827" s="1" t="inlineStr">
        <is>
          <t>H12</t>
        </is>
      </c>
      <c r="B3827" s="1" t="n">
        <v>96</v>
      </c>
      <c r="C3827" s="2">
        <f>_xlfn.XLOOKUP(B3827,Results!$B$23:$B$119,Results!$D$23:$D$119)</f>
        <v/>
      </c>
      <c r="D3827" s="1" t="n">
        <v>4</v>
      </c>
      <c r="E3827" s="1" t="inlineStr"/>
      <c r="F3827" s="1" t="inlineStr"/>
      <c r="G3827" s="1" t="inlineStr"/>
    </row>
    <row r="3828">
      <c r="A3828" s="2" t="inlineStr">
        <is>
          <t>H12</t>
        </is>
      </c>
      <c r="B3828" s="2" t="n">
        <v>96</v>
      </c>
      <c r="C3828" s="2">
        <f>_xlfn.XLOOKUP(B3828,Results!$B$23:$B$119,Results!$D$23:$D$119)</f>
        <v/>
      </c>
      <c r="D3828" s="2" t="n">
        <v>5</v>
      </c>
      <c r="E3828" s="2" t="inlineStr"/>
      <c r="F3828" s="2" t="inlineStr"/>
      <c r="G3828" s="2" t="inlineStr"/>
    </row>
    <row r="3829">
      <c r="A3829" s="1" t="inlineStr">
        <is>
          <t>H12</t>
        </is>
      </c>
      <c r="B3829" s="1" t="n">
        <v>96</v>
      </c>
      <c r="C3829" s="2">
        <f>_xlfn.XLOOKUP(B3829,Results!$B$23:$B$119,Results!$D$23:$D$119)</f>
        <v/>
      </c>
      <c r="D3829" s="1" t="n">
        <v>6</v>
      </c>
      <c r="E3829" s="1" t="inlineStr"/>
      <c r="F3829" s="1" t="inlineStr"/>
      <c r="G3829" s="1" t="inlineStr"/>
    </row>
    <row r="3830">
      <c r="A3830" s="2" t="inlineStr">
        <is>
          <t>H12</t>
        </is>
      </c>
      <c r="B3830" s="2" t="n">
        <v>96</v>
      </c>
      <c r="C3830" s="2">
        <f>_xlfn.XLOOKUP(B3830,Results!$B$23:$B$119,Results!$D$23:$D$119)</f>
        <v/>
      </c>
      <c r="D3830" s="2" t="n">
        <v>7</v>
      </c>
      <c r="E3830" s="2" t="inlineStr"/>
      <c r="F3830" s="2" t="inlineStr"/>
      <c r="G3830" s="2" t="inlineStr"/>
    </row>
    <row r="3831">
      <c r="A3831" s="1" t="inlineStr">
        <is>
          <t>H12</t>
        </is>
      </c>
      <c r="B3831" s="1" t="n">
        <v>96</v>
      </c>
      <c r="C3831" s="2">
        <f>_xlfn.XLOOKUP(B3831,Results!$B$23:$B$119,Results!$D$23:$D$119)</f>
        <v/>
      </c>
      <c r="D3831" s="1" t="n">
        <v>8</v>
      </c>
      <c r="E3831" s="1" t="inlineStr"/>
      <c r="F3831" s="1" t="inlineStr"/>
      <c r="G3831" s="1" t="inlineStr"/>
    </row>
    <row r="3832">
      <c r="A3832" s="2" t="inlineStr">
        <is>
          <t>H12</t>
        </is>
      </c>
      <c r="B3832" s="2" t="n">
        <v>96</v>
      </c>
      <c r="C3832" s="2">
        <f>_xlfn.XLOOKUP(B3832,Results!$B$23:$B$119,Results!$D$23:$D$119)</f>
        <v/>
      </c>
      <c r="D3832" s="2" t="n">
        <v>9</v>
      </c>
      <c r="E3832" s="2" t="inlineStr"/>
      <c r="F3832" s="2" t="inlineStr"/>
      <c r="G3832" s="2" t="inlineStr"/>
    </row>
    <row r="3833">
      <c r="A3833" s="1" t="inlineStr">
        <is>
          <t>H12</t>
        </is>
      </c>
      <c r="B3833" s="1" t="n">
        <v>96</v>
      </c>
      <c r="C3833" s="2">
        <f>_xlfn.XLOOKUP(B3833,Results!$B$23:$B$119,Results!$D$23:$D$119)</f>
        <v/>
      </c>
      <c r="D3833" s="1" t="n">
        <v>10</v>
      </c>
      <c r="E3833" s="1" t="inlineStr"/>
      <c r="F3833" s="1" t="inlineStr"/>
      <c r="G3833" s="1" t="inlineStr"/>
    </row>
    <row r="3834">
      <c r="A3834" s="2" t="inlineStr">
        <is>
          <t>H12</t>
        </is>
      </c>
      <c r="B3834" s="2" t="n">
        <v>96</v>
      </c>
      <c r="C3834" s="2">
        <f>_xlfn.XLOOKUP(B3834,Results!$B$23:$B$119,Results!$D$23:$D$119)</f>
        <v/>
      </c>
      <c r="D3834" s="2" t="n">
        <v>11</v>
      </c>
      <c r="E3834" s="2" t="inlineStr"/>
      <c r="F3834" s="2" t="inlineStr"/>
      <c r="G3834" s="2" t="inlineStr"/>
    </row>
    <row r="3835">
      <c r="A3835" s="1" t="inlineStr">
        <is>
          <t>H12</t>
        </is>
      </c>
      <c r="B3835" s="1" t="n">
        <v>96</v>
      </c>
      <c r="C3835" s="2">
        <f>_xlfn.XLOOKUP(B3835,Results!$B$23:$B$119,Results!$D$23:$D$119)</f>
        <v/>
      </c>
      <c r="D3835" s="1" t="n">
        <v>12</v>
      </c>
      <c r="E3835" s="1" t="inlineStr"/>
      <c r="F3835" s="1" t="inlineStr"/>
      <c r="G3835" s="1" t="inlineStr"/>
    </row>
    <row r="3836">
      <c r="A3836" s="2" t="inlineStr">
        <is>
          <t>H12</t>
        </is>
      </c>
      <c r="B3836" s="2" t="n">
        <v>96</v>
      </c>
      <c r="C3836" s="2">
        <f>_xlfn.XLOOKUP(B3836,Results!$B$23:$B$119,Results!$D$23:$D$119)</f>
        <v/>
      </c>
      <c r="D3836" s="2" t="n">
        <v>13</v>
      </c>
      <c r="E3836" s="2" t="inlineStr"/>
      <c r="F3836" s="2" t="inlineStr"/>
      <c r="G3836" s="2" t="inlineStr"/>
    </row>
    <row r="3837">
      <c r="A3837" s="1" t="inlineStr">
        <is>
          <t>H12</t>
        </is>
      </c>
      <c r="B3837" s="1" t="n">
        <v>96</v>
      </c>
      <c r="C3837" s="2">
        <f>_xlfn.XLOOKUP(B3837,Results!$B$23:$B$119,Results!$D$23:$D$119)</f>
        <v/>
      </c>
      <c r="D3837" s="1" t="n">
        <v>14</v>
      </c>
      <c r="E3837" s="1" t="inlineStr"/>
      <c r="F3837" s="1" t="inlineStr"/>
      <c r="G3837" s="1" t="inlineStr"/>
    </row>
    <row r="3838">
      <c r="A3838" s="2" t="inlineStr">
        <is>
          <t>H12</t>
        </is>
      </c>
      <c r="B3838" s="2" t="n">
        <v>96</v>
      </c>
      <c r="C3838" s="2">
        <f>_xlfn.XLOOKUP(B3838,Results!$B$23:$B$119,Results!$D$23:$D$119)</f>
        <v/>
      </c>
      <c r="D3838" s="2" t="n">
        <v>15</v>
      </c>
      <c r="E3838" s="2" t="inlineStr"/>
      <c r="F3838" s="2" t="inlineStr"/>
      <c r="G3838" s="2" t="inlineStr"/>
    </row>
    <row r="3839">
      <c r="A3839" s="1" t="inlineStr">
        <is>
          <t>H12</t>
        </is>
      </c>
      <c r="B3839" s="1" t="n">
        <v>96</v>
      </c>
      <c r="C3839" s="2">
        <f>_xlfn.XLOOKUP(B3839,Results!$B$23:$B$119,Results!$D$23:$D$119)</f>
        <v/>
      </c>
      <c r="D3839" s="1" t="n">
        <v>16</v>
      </c>
      <c r="E3839" s="1" t="inlineStr"/>
      <c r="F3839" s="1" t="inlineStr"/>
      <c r="G3839" s="1" t="inlineStr"/>
    </row>
    <row r="3840">
      <c r="A3840" s="2" t="inlineStr">
        <is>
          <t>H12</t>
        </is>
      </c>
      <c r="B3840" s="2" t="n">
        <v>96</v>
      </c>
      <c r="C3840" s="2">
        <f>_xlfn.XLOOKUP(B3840,Results!$B$23:$B$119,Results!$D$23:$D$119)</f>
        <v/>
      </c>
      <c r="D3840" s="2" t="n">
        <v>17</v>
      </c>
      <c r="E3840" s="2" t="inlineStr"/>
      <c r="F3840" s="2" t="inlineStr"/>
      <c r="G3840" s="2" t="inlineStr"/>
    </row>
    <row r="3841">
      <c r="A3841" s="1" t="inlineStr">
        <is>
          <t>H12</t>
        </is>
      </c>
      <c r="B3841" s="1" t="n">
        <v>96</v>
      </c>
      <c r="C3841" s="2">
        <f>_xlfn.XLOOKUP(B3841,Results!$B$23:$B$119,Results!$D$23:$D$119)</f>
        <v/>
      </c>
      <c r="D3841" s="1" t="n">
        <v>18</v>
      </c>
      <c r="E3841" s="1" t="inlineStr"/>
      <c r="F3841" s="1" t="inlineStr"/>
      <c r="G3841" s="1" t="inlineStr"/>
    </row>
    <row r="3842">
      <c r="A3842" s="2" t="inlineStr">
        <is>
          <t>H12</t>
        </is>
      </c>
      <c r="B3842" s="2" t="n">
        <v>96</v>
      </c>
      <c r="C3842" s="2">
        <f>_xlfn.XLOOKUP(B3842,Results!$B$23:$B$119,Results!$D$23:$D$119)</f>
        <v/>
      </c>
      <c r="D3842" s="2" t="n">
        <v>19</v>
      </c>
      <c r="E3842" s="2" t="inlineStr"/>
      <c r="F3842" s="2" t="inlineStr"/>
      <c r="G3842" s="2" t="inlineStr"/>
    </row>
    <row r="3843">
      <c r="A3843" s="1" t="inlineStr">
        <is>
          <t>H12</t>
        </is>
      </c>
      <c r="B3843" s="1" t="n">
        <v>96</v>
      </c>
      <c r="C3843" s="2">
        <f>_xlfn.XLOOKUP(B3843,Results!$B$23:$B$119,Results!$D$23:$D$119)</f>
        <v/>
      </c>
      <c r="D3843" s="1" t="n">
        <v>20</v>
      </c>
      <c r="E3843" s="1" t="inlineStr"/>
      <c r="F3843" s="1" t="inlineStr"/>
      <c r="G3843" s="1" t="inlineStr"/>
    </row>
    <row r="3844">
      <c r="A3844" s="2" t="inlineStr">
        <is>
          <t>H12</t>
        </is>
      </c>
      <c r="B3844" s="2" t="n">
        <v>96</v>
      </c>
      <c r="C3844" s="2">
        <f>_xlfn.XLOOKUP(B3844,Results!$B$23:$B$119,Results!$D$23:$D$119)</f>
        <v/>
      </c>
      <c r="D3844" s="2" t="n">
        <v>21</v>
      </c>
      <c r="E3844" s="2" t="inlineStr"/>
      <c r="F3844" s="2" t="inlineStr"/>
      <c r="G3844" s="2" t="inlineStr"/>
    </row>
    <row r="3845">
      <c r="A3845" s="1" t="inlineStr">
        <is>
          <t>H12</t>
        </is>
      </c>
      <c r="B3845" s="1" t="n">
        <v>96</v>
      </c>
      <c r="C3845" s="2">
        <f>_xlfn.XLOOKUP(B3845,Results!$B$23:$B$119,Results!$D$23:$D$119)</f>
        <v/>
      </c>
      <c r="D3845" s="1" t="n">
        <v>22</v>
      </c>
      <c r="E3845" s="1" t="inlineStr"/>
      <c r="F3845" s="1" t="inlineStr"/>
      <c r="G3845" s="1" t="inlineStr"/>
    </row>
    <row r="3846">
      <c r="A3846" s="2" t="inlineStr">
        <is>
          <t>H12</t>
        </is>
      </c>
      <c r="B3846" s="2" t="n">
        <v>96</v>
      </c>
      <c r="C3846" s="2">
        <f>_xlfn.XLOOKUP(B3846,Results!$B$23:$B$119,Results!$D$23:$D$119)</f>
        <v/>
      </c>
      <c r="D3846" s="2" t="n">
        <v>23</v>
      </c>
      <c r="E3846" s="2" t="inlineStr"/>
      <c r="F3846" s="2" t="inlineStr"/>
      <c r="G3846" s="2" t="inlineStr"/>
    </row>
    <row r="3847">
      <c r="A3847" s="1" t="inlineStr">
        <is>
          <t>H12</t>
        </is>
      </c>
      <c r="B3847" s="1" t="n">
        <v>96</v>
      </c>
      <c r="C3847" s="2">
        <f>_xlfn.XLOOKUP(B3847,Results!$B$23:$B$119,Results!$D$23:$D$119)</f>
        <v/>
      </c>
      <c r="D3847" s="1" t="n">
        <v>24</v>
      </c>
      <c r="E3847" s="1" t="inlineStr"/>
      <c r="F3847" s="1" t="inlineStr"/>
      <c r="G3847" s="1" t="inlineStr"/>
    </row>
    <row r="3848">
      <c r="A3848" s="2" t="inlineStr">
        <is>
          <t>H12</t>
        </is>
      </c>
      <c r="B3848" s="2" t="n">
        <v>96</v>
      </c>
      <c r="C3848" s="2">
        <f>_xlfn.XLOOKUP(B3848,Results!$B$23:$B$119,Results!$D$23:$D$119)</f>
        <v/>
      </c>
      <c r="D3848" s="2" t="n">
        <v>25</v>
      </c>
      <c r="E3848" s="2" t="inlineStr"/>
      <c r="F3848" s="2" t="inlineStr"/>
      <c r="G3848" s="2" t="inlineStr"/>
    </row>
    <row r="3849">
      <c r="A3849" s="1" t="inlineStr">
        <is>
          <t>H12</t>
        </is>
      </c>
      <c r="B3849" s="1" t="n">
        <v>96</v>
      </c>
      <c r="C3849" s="2">
        <f>_xlfn.XLOOKUP(B3849,Results!$B$23:$B$119,Results!$D$23:$D$119)</f>
        <v/>
      </c>
      <c r="D3849" s="1" t="n">
        <v>26</v>
      </c>
      <c r="E3849" s="1" t="inlineStr"/>
      <c r="F3849" s="1" t="inlineStr"/>
      <c r="G3849" s="1" t="inlineStr"/>
    </row>
    <row r="3850">
      <c r="A3850" s="2" t="inlineStr">
        <is>
          <t>H12</t>
        </is>
      </c>
      <c r="B3850" s="2" t="n">
        <v>96</v>
      </c>
      <c r="C3850" s="2">
        <f>_xlfn.XLOOKUP(B3850,Results!$B$23:$B$119,Results!$D$23:$D$119)</f>
        <v/>
      </c>
      <c r="D3850" s="2" t="n">
        <v>27</v>
      </c>
      <c r="E3850" s="2" t="inlineStr"/>
      <c r="F3850" s="2" t="inlineStr"/>
      <c r="G3850" s="2" t="inlineStr"/>
    </row>
    <row r="3851">
      <c r="A3851" s="1" t="inlineStr">
        <is>
          <t>H12</t>
        </is>
      </c>
      <c r="B3851" s="1" t="n">
        <v>96</v>
      </c>
      <c r="C3851" s="2">
        <f>_xlfn.XLOOKUP(B3851,Results!$B$23:$B$119,Results!$D$23:$D$119)</f>
        <v/>
      </c>
      <c r="D3851" s="1" t="n">
        <v>28</v>
      </c>
      <c r="E3851" s="1" t="inlineStr"/>
      <c r="F3851" s="1" t="inlineStr"/>
      <c r="G3851" s="1" t="inlineStr"/>
    </row>
    <row r="3852">
      <c r="A3852" s="2" t="inlineStr">
        <is>
          <t>H12</t>
        </is>
      </c>
      <c r="B3852" s="2" t="n">
        <v>96</v>
      </c>
      <c r="C3852" s="2">
        <f>_xlfn.XLOOKUP(B3852,Results!$B$23:$B$119,Results!$D$23:$D$119)</f>
        <v/>
      </c>
      <c r="D3852" s="2" t="n">
        <v>29</v>
      </c>
      <c r="E3852" s="2" t="inlineStr"/>
      <c r="F3852" s="2" t="inlineStr"/>
      <c r="G3852" s="2" t="inlineStr"/>
    </row>
    <row r="3853">
      <c r="A3853" s="1" t="inlineStr">
        <is>
          <t>H12</t>
        </is>
      </c>
      <c r="B3853" s="1" t="n">
        <v>96</v>
      </c>
      <c r="C3853" s="2">
        <f>_xlfn.XLOOKUP(B3853,Results!$B$23:$B$119,Results!$D$23:$D$119)</f>
        <v/>
      </c>
      <c r="D3853" s="1" t="n">
        <v>30</v>
      </c>
      <c r="E3853" s="1" t="inlineStr"/>
      <c r="F3853" s="1" t="inlineStr"/>
      <c r="G3853" s="1" t="inlineStr"/>
    </row>
    <row r="3854">
      <c r="A3854" s="2" t="inlineStr">
        <is>
          <t>H12</t>
        </is>
      </c>
      <c r="B3854" s="2" t="n">
        <v>96</v>
      </c>
      <c r="C3854" s="2">
        <f>_xlfn.XLOOKUP(B3854,Results!$B$23:$B$119,Results!$D$23:$D$119)</f>
        <v/>
      </c>
      <c r="D3854" s="2" t="n">
        <v>31</v>
      </c>
      <c r="E3854" s="2" t="inlineStr"/>
      <c r="F3854" s="2" t="inlineStr"/>
      <c r="G3854" s="2" t="inlineStr"/>
    </row>
    <row r="3855">
      <c r="A3855" s="1" t="inlineStr">
        <is>
          <t>H12</t>
        </is>
      </c>
      <c r="B3855" s="1" t="n">
        <v>96</v>
      </c>
      <c r="C3855" s="2">
        <f>_xlfn.XLOOKUP(B3855,Results!$B$23:$B$119,Results!$D$23:$D$119)</f>
        <v/>
      </c>
      <c r="D3855" s="1" t="n">
        <v>32</v>
      </c>
      <c r="E3855" s="1" t="inlineStr"/>
      <c r="F3855" s="1" t="inlineStr"/>
      <c r="G3855" s="1" t="inlineStr"/>
    </row>
    <row r="3856">
      <c r="A3856" s="2" t="inlineStr">
        <is>
          <t>H12</t>
        </is>
      </c>
      <c r="B3856" s="2" t="n">
        <v>96</v>
      </c>
      <c r="C3856" s="2">
        <f>_xlfn.XLOOKUP(B3856,Results!$B$23:$B$119,Results!$D$23:$D$119)</f>
        <v/>
      </c>
      <c r="D3856" s="2" t="n">
        <v>33</v>
      </c>
      <c r="E3856" s="2" t="inlineStr"/>
      <c r="F3856" s="2" t="inlineStr"/>
      <c r="G3856" s="2" t="inlineStr"/>
    </row>
    <row r="3857">
      <c r="A3857" s="1" t="inlineStr">
        <is>
          <t>H12</t>
        </is>
      </c>
      <c r="B3857" s="1" t="n">
        <v>96</v>
      </c>
      <c r="C3857" s="2">
        <f>_xlfn.XLOOKUP(B3857,Results!$B$23:$B$119,Results!$D$23:$D$119)</f>
        <v/>
      </c>
      <c r="D3857" s="1" t="n">
        <v>34</v>
      </c>
      <c r="E3857" s="1" t="inlineStr"/>
      <c r="F3857" s="1" t="inlineStr"/>
      <c r="G3857" s="1" t="inlineStr"/>
    </row>
    <row r="3858">
      <c r="A3858" s="2" t="inlineStr">
        <is>
          <t>H12</t>
        </is>
      </c>
      <c r="B3858" s="2" t="n">
        <v>96</v>
      </c>
      <c r="C3858" s="2">
        <f>_xlfn.XLOOKUP(B3858,Results!$B$23:$B$119,Results!$D$23:$D$119)</f>
        <v/>
      </c>
      <c r="D3858" s="2" t="n">
        <v>35</v>
      </c>
      <c r="E3858" s="2" t="inlineStr"/>
      <c r="F3858" s="2" t="inlineStr"/>
      <c r="G3858" s="2" t="inlineStr"/>
    </row>
    <row r="3859">
      <c r="A3859" s="1" t="inlineStr">
        <is>
          <t>H12</t>
        </is>
      </c>
      <c r="B3859" s="1" t="n">
        <v>96</v>
      </c>
      <c r="C3859" s="2">
        <f>_xlfn.XLOOKUP(B3859,Results!$B$23:$B$119,Results!$D$23:$D$119)</f>
        <v/>
      </c>
      <c r="D3859" s="1" t="n">
        <v>36</v>
      </c>
      <c r="E3859" s="1" t="inlineStr"/>
      <c r="F3859" s="1" t="inlineStr"/>
      <c r="G3859" s="1" t="inlineStr"/>
    </row>
    <row r="3860">
      <c r="A3860" s="2" t="inlineStr">
        <is>
          <t>H12</t>
        </is>
      </c>
      <c r="B3860" s="2" t="n">
        <v>96</v>
      </c>
      <c r="C3860" s="2">
        <f>_xlfn.XLOOKUP(B3860,Results!$B$23:$B$119,Results!$D$23:$D$119)</f>
        <v/>
      </c>
      <c r="D3860" s="2" t="n">
        <v>37</v>
      </c>
      <c r="E3860" s="2" t="inlineStr"/>
      <c r="F3860" s="2" t="inlineStr"/>
      <c r="G3860" s="2" t="inlineStr"/>
    </row>
    <row r="3861">
      <c r="A3861" s="1" t="inlineStr">
        <is>
          <t>H12</t>
        </is>
      </c>
      <c r="B3861" s="1" t="n">
        <v>96</v>
      </c>
      <c r="C3861" s="2">
        <f>_xlfn.XLOOKUP(B3861,Results!$B$23:$B$119,Results!$D$23:$D$119)</f>
        <v/>
      </c>
      <c r="D3861" s="1" t="n">
        <v>38</v>
      </c>
      <c r="E3861" s="1" t="inlineStr"/>
      <c r="F3861" s="1" t="inlineStr"/>
      <c r="G3861" s="1" t="inlineStr"/>
    </row>
    <row r="3862">
      <c r="A3862" s="2" t="inlineStr">
        <is>
          <t>H12</t>
        </is>
      </c>
      <c r="B3862" s="2" t="n">
        <v>96</v>
      </c>
      <c r="C3862" s="2">
        <f>_xlfn.XLOOKUP(B3862,Results!$B$23:$B$119,Results!$D$23:$D$119)</f>
        <v/>
      </c>
      <c r="D3862" s="2" t="n">
        <v>39</v>
      </c>
      <c r="E3862" s="2" t="inlineStr"/>
      <c r="F3862" s="2" t="inlineStr"/>
      <c r="G3862" s="2" t="inlineStr"/>
    </row>
    <row r="3863">
      <c r="A3863" s="1" t="inlineStr">
        <is>
          <t>H12</t>
        </is>
      </c>
      <c r="B3863" s="1" t="n">
        <v>96</v>
      </c>
      <c r="C3863" s="2">
        <f>_xlfn.XLOOKUP(B3863,Results!$B$23:$B$119,Results!$D$23:$D$119)</f>
        <v/>
      </c>
      <c r="D3863" s="1" t="n">
        <v>40</v>
      </c>
      <c r="E3863" s="1" t="inlineStr"/>
      <c r="F3863" s="1" t="inlineStr"/>
      <c r="G3863" s="1" t="inlineStr"/>
    </row>
  </sheetData>
  <pageMargins left="0.75" right="0.75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3"/>
  <sheetViews>
    <sheetView topLeftCell="N12" workbookViewId="0">
      <selection activeCell="AJ45" sqref="AJ45"/>
    </sheetView>
  </sheetViews>
  <sheetFormatPr baseColWidth="8" defaultRowHeight="12.75"/>
  <cols>
    <col width="11.5703125" customWidth="1" min="4" max="4"/>
    <col width="13.42578125" customWidth="1" min="8" max="8"/>
    <col width="12.42578125" customWidth="1" min="9" max="9"/>
    <col width="12" bestFit="1" customWidth="1" min="12" max="12"/>
    <col width="13.7109375" customWidth="1" min="13" max="13"/>
    <col width="12" bestFit="1" customWidth="1" min="14" max="14"/>
    <col width="10.5703125" customWidth="1" min="15" max="15"/>
    <col width="11.140625" customWidth="1" min="16" max="16"/>
  </cols>
  <sheetData>
    <row r="1" ht="25.5" customHeight="1">
      <c r="B1" s="4" t="inlineStr">
        <is>
          <t>Quantity</t>
        </is>
      </c>
      <c r="C1" s="4" t="inlineStr">
        <is>
          <t>Log(Conc)</t>
        </is>
      </c>
      <c r="D1" s="4" t="inlineStr">
        <is>
          <t>Ct</t>
        </is>
      </c>
    </row>
    <row r="2">
      <c r="B2" s="1" t="n">
        <v>300</v>
      </c>
      <c r="C2" s="1">
        <f>LOG(B2)</f>
        <v/>
      </c>
      <c r="D2" s="1" t="n">
        <v>13.2588</v>
      </c>
    </row>
    <row r="3">
      <c r="B3" s="2" t="n">
        <v>300</v>
      </c>
      <c r="C3" s="1">
        <f>LOG(B3)</f>
        <v/>
      </c>
      <c r="D3" s="2" t="n">
        <v>13.1947</v>
      </c>
    </row>
    <row r="4">
      <c r="B4" s="1" t="n">
        <v>300</v>
      </c>
      <c r="C4" s="1">
        <f>LOG(B4)</f>
        <v/>
      </c>
      <c r="D4" s="1" t="n">
        <v>13.138</v>
      </c>
    </row>
    <row r="5">
      <c r="B5" s="1" t="n">
        <v>30</v>
      </c>
      <c r="C5" s="1">
        <f>LOG(B5)</f>
        <v/>
      </c>
      <c r="D5" s="1" t="n">
        <v>16.3923</v>
      </c>
    </row>
    <row r="6">
      <c r="B6" s="2" t="n">
        <v>30</v>
      </c>
      <c r="C6" s="1">
        <f>LOG(B6)</f>
        <v/>
      </c>
      <c r="D6" s="2" t="n">
        <v>16.42</v>
      </c>
    </row>
    <row r="7">
      <c r="B7" s="1" t="n">
        <v>30</v>
      </c>
      <c r="C7" s="1">
        <f>LOG(B7)</f>
        <v/>
      </c>
      <c r="D7" s="1" t="n">
        <v>16.4538</v>
      </c>
    </row>
    <row r="8">
      <c r="B8" s="1" t="n">
        <v>3</v>
      </c>
      <c r="C8" s="1">
        <f>LOG(B8)</f>
        <v/>
      </c>
      <c r="D8" s="1" t="n">
        <v>19.6245</v>
      </c>
    </row>
    <row r="9">
      <c r="B9" s="2" t="n">
        <v>3</v>
      </c>
      <c r="C9" s="1">
        <f>LOG(B9)</f>
        <v/>
      </c>
      <c r="D9" s="2" t="n">
        <v>19.7364</v>
      </c>
    </row>
    <row r="10">
      <c r="B10" s="1" t="n">
        <v>3</v>
      </c>
      <c r="C10" s="1">
        <f>LOG(B10)</f>
        <v/>
      </c>
      <c r="D10" s="1" t="n">
        <v>19.7427</v>
      </c>
    </row>
    <row r="11">
      <c r="B11" s="1" t="n">
        <v>0.3</v>
      </c>
      <c r="C11" s="1">
        <f>LOG(B11)</f>
        <v/>
      </c>
      <c r="D11" s="1" t="n">
        <v>22.9505</v>
      </c>
    </row>
    <row r="12">
      <c r="B12" s="2" t="n">
        <v>0.3</v>
      </c>
      <c r="C12" s="1">
        <f>LOG(B12)</f>
        <v/>
      </c>
      <c r="D12" s="2" t="n">
        <v>23.0167</v>
      </c>
    </row>
    <row r="13">
      <c r="B13" s="1" t="n">
        <v>0.3</v>
      </c>
      <c r="C13" s="1">
        <f>LOG(B13)</f>
        <v/>
      </c>
      <c r="D13" s="1" t="n">
        <v>23.0848</v>
      </c>
    </row>
    <row r="14">
      <c r="B14" s="1" t="n">
        <v>0.03</v>
      </c>
      <c r="C14" s="1">
        <f>LOG(B14)</f>
        <v/>
      </c>
      <c r="D14" s="1" t="n">
        <v>26.2974</v>
      </c>
    </row>
    <row r="15">
      <c r="B15" s="2" t="n">
        <v>0.03</v>
      </c>
      <c r="C15" s="1">
        <f>LOG(B15)</f>
        <v/>
      </c>
      <c r="D15" s="2" t="n">
        <v>26.3061</v>
      </c>
    </row>
    <row r="16">
      <c r="B16" s="1" t="n">
        <v>0.03</v>
      </c>
      <c r="C16" s="1">
        <f>LOG(B16)</f>
        <v/>
      </c>
      <c r="D16" s="1" t="n">
        <v>26.2529</v>
      </c>
    </row>
    <row r="17">
      <c r="B17" s="1" t="n">
        <v>0.003</v>
      </c>
      <c r="C17" s="1">
        <f>LOG(B17)</f>
        <v/>
      </c>
      <c r="D17" s="1" t="n">
        <v>29.5618</v>
      </c>
    </row>
    <row r="18">
      <c r="B18" s="2" t="n">
        <v>0.003</v>
      </c>
      <c r="C18" s="1">
        <f>LOG(B18)</f>
        <v/>
      </c>
      <c r="D18" s="2" t="n">
        <v>29.8118</v>
      </c>
    </row>
    <row r="19">
      <c r="B19" s="1" t="n">
        <v>0.003</v>
      </c>
      <c r="C19" s="1">
        <f>LOG(B19)</f>
        <v/>
      </c>
      <c r="D19" s="1" t="n">
        <v>29.7917</v>
      </c>
    </row>
    <row r="21">
      <c r="F21" s="6" t="inlineStr">
        <is>
          <t>R2</t>
        </is>
      </c>
      <c r="G21" s="6" t="inlineStr">
        <is>
          <t>Slope</t>
        </is>
      </c>
      <c r="H21" s="6" t="inlineStr">
        <is>
          <t>Y-Intercept</t>
        </is>
      </c>
      <c r="I21" s="6" t="inlineStr">
        <is>
          <t>Efficiency</t>
        </is>
      </c>
      <c r="J21" s="6" t="inlineStr">
        <is>
          <t>Ct Mean</t>
        </is>
      </c>
      <c r="K21" s="6" t="inlineStr">
        <is>
          <t>Ct SD</t>
        </is>
      </c>
      <c r="L21" s="6" t="inlineStr">
        <is>
          <t>LOD</t>
        </is>
      </c>
      <c r="M21" s="6" t="inlineStr">
        <is>
          <t>LOD Conc</t>
        </is>
      </c>
      <c r="N21" s="6" t="inlineStr">
        <is>
          <t>LOQ</t>
        </is>
      </c>
      <c r="O21" s="6" t="inlineStr">
        <is>
          <t>LOQ Conc</t>
        </is>
      </c>
      <c r="P21" s="9" t="inlineStr">
        <is>
          <t>Ct at LOQ</t>
        </is>
      </c>
    </row>
    <row r="22">
      <c r="F22" s="5">
        <f>L26</f>
        <v/>
      </c>
      <c r="G22" s="5">
        <f>M26</f>
        <v/>
      </c>
      <c r="H22" s="5">
        <f>N26</f>
        <v/>
      </c>
      <c r="I22" s="5">
        <f>AE26</f>
        <v/>
      </c>
      <c r="J22" s="5">
        <f>G41</f>
        <v/>
      </c>
      <c r="K22" s="5">
        <f>I41</f>
        <v/>
      </c>
      <c r="L22" s="8">
        <f>3.3*K22/ABS(G22)</f>
        <v/>
      </c>
      <c r="M22" s="8">
        <f>10^L22</f>
        <v/>
      </c>
      <c r="N22" s="8">
        <f>10*K22/ABS(G22)</f>
        <v/>
      </c>
      <c r="O22" s="8">
        <f>10^N22</f>
        <v/>
      </c>
      <c r="P22" s="5">
        <f>G22*LOG10(O22)+H22</f>
        <v/>
      </c>
    </row>
    <row r="25" ht="63.75" customHeight="1">
      <c r="A25" s="35" t="inlineStr">
        <is>
          <t>Well</t>
        </is>
      </c>
      <c r="B25" s="35" t="inlineStr">
        <is>
          <t>Well Position</t>
        </is>
      </c>
      <c r="C25" s="35" t="inlineStr">
        <is>
          <t>Task</t>
        </is>
      </c>
      <c r="D25" s="35" t="inlineStr">
        <is>
          <t>Sample Name</t>
        </is>
      </c>
      <c r="E25" s="35" t="inlineStr">
        <is>
          <t>Target Name</t>
        </is>
      </c>
      <c r="F25" s="4" t="inlineStr">
        <is>
          <t>Ct</t>
        </is>
      </c>
      <c r="G25" s="4" t="inlineStr">
        <is>
          <t>Ct Mean</t>
        </is>
      </c>
      <c r="H25" s="4" t="inlineStr">
        <is>
          <t>Ct CV%</t>
        </is>
      </c>
      <c r="I25" s="4" t="inlineStr">
        <is>
          <t>Ct SD</t>
        </is>
      </c>
      <c r="J25" s="4" t="inlineStr">
        <is>
          <t>Quantity</t>
        </is>
      </c>
      <c r="K25" s="4" t="inlineStr">
        <is>
          <t>Dilution Factor</t>
        </is>
      </c>
      <c r="L25" s="4" t="inlineStr">
        <is>
          <t>R2</t>
        </is>
      </c>
      <c r="M25" s="4" t="inlineStr">
        <is>
          <t>Slope</t>
        </is>
      </c>
      <c r="N25" s="4" t="inlineStr">
        <is>
          <t>Y-Intercept</t>
        </is>
      </c>
      <c r="O25" s="4" t="inlineStr">
        <is>
          <t>Total DNA per mL</t>
        </is>
      </c>
      <c r="P25" s="35" t="inlineStr">
        <is>
          <t>Flag</t>
        </is>
      </c>
      <c r="Q25" s="35" t="inlineStr">
        <is>
          <t>Ct Threshold</t>
        </is>
      </c>
      <c r="R25" s="35" t="inlineStr">
        <is>
          <t>Automatic Ct Threshold</t>
        </is>
      </c>
      <c r="S25" s="35" t="inlineStr">
        <is>
          <t>CQ Confidence</t>
        </is>
      </c>
      <c r="T25" s="35" t="inlineStr">
        <is>
          <t>Automatic Baseline</t>
        </is>
      </c>
      <c r="U25" s="35" t="inlineStr">
        <is>
          <t>Baseline Start</t>
        </is>
      </c>
      <c r="V25" s="35" t="inlineStr">
        <is>
          <t>Baseline End</t>
        </is>
      </c>
      <c r="W25" s="4" t="inlineStr">
        <is>
          <t>Spike Input</t>
        </is>
      </c>
      <c r="X25" s="4" t="inlineStr">
        <is>
          <t>Back calculated value</t>
        </is>
      </c>
      <c r="Y25" s="4" t="inlineStr">
        <is>
          <t>Back Calculation Mean</t>
        </is>
      </c>
      <c r="Z25" s="4" t="inlineStr">
        <is>
          <t>Back Calculation %CV</t>
        </is>
      </c>
      <c r="AA25" s="4" t="inlineStr">
        <is>
          <t>Back Calculation SD</t>
        </is>
      </c>
      <c r="AB25" s="4" t="inlineStr">
        <is>
          <t>Back Calculation % difference</t>
        </is>
      </c>
      <c r="AC25" s="4" t="inlineStr">
        <is>
          <t>Back Calculation % difference Mean</t>
        </is>
      </c>
      <c r="AD25" s="35" t="inlineStr">
        <is>
          <t>Fit</t>
        </is>
      </c>
      <c r="AE25" s="4" t="inlineStr">
        <is>
          <t>Amplification Efficiency</t>
        </is>
      </c>
      <c r="AF25" s="35" t="inlineStr">
        <is>
          <t>Amplification Status</t>
        </is>
      </c>
      <c r="AG25" s="35" t="inlineStr">
        <is>
          <t>AMPNC</t>
        </is>
      </c>
      <c r="AH25" s="35" t="inlineStr">
        <is>
          <t>NOAMP</t>
        </is>
      </c>
      <c r="AI25" s="35" t="inlineStr">
        <is>
          <t>EXPFAIL</t>
        </is>
      </c>
      <c r="AJ25" s="35" t="inlineStr">
        <is>
          <t>CQCONF</t>
        </is>
      </c>
      <c r="AL25" s="10" t="inlineStr">
        <is>
          <t>STD Replicate Ct %CV |&lt;=5%|</t>
        </is>
      </c>
      <c r="AM25" s="10" t="inlineStr">
        <is>
          <t>R2 |&gt;=99%|</t>
        </is>
      </c>
      <c r="AN25" s="11" t="inlineStr">
        <is>
          <t>Efficiency within 90-110%</t>
        </is>
      </c>
      <c r="AO25" s="12" t="inlineStr">
        <is>
          <t>Back Calculation %Diff |&lt;=25%|</t>
        </is>
      </c>
    </row>
    <row r="26">
      <c r="A26" s="1" t="inlineStr">
        <is>
          <t>A10</t>
        </is>
      </c>
      <c r="B26" s="1" t="n">
        <v>10</v>
      </c>
      <c r="C26" s="1" t="inlineStr">
        <is>
          <t>STANDARD</t>
        </is>
      </c>
      <c r="D26" s="1" t="inlineStr">
        <is>
          <t>STD 300</t>
        </is>
      </c>
      <c r="E26" s="1" t="inlineStr">
        <is>
          <t>CHO</t>
        </is>
      </c>
      <c r="F26" s="1" t="n">
        <v>13.2588</v>
      </c>
      <c r="G26" s="1" t="n">
        <v>13.1972</v>
      </c>
      <c r="H26" s="1" t="n">
        <v>0.46</v>
      </c>
      <c r="I26" s="1" t="n">
        <v>0.0605</v>
      </c>
      <c r="J26" s="1" t="n">
        <v>300</v>
      </c>
      <c r="K26" s="1" t="n">
        <v>1</v>
      </c>
      <c r="L26" s="1" t="n">
        <v>0.9998</v>
      </c>
      <c r="M26" s="1" t="n">
        <v>-3.3008</v>
      </c>
      <c r="N26" s="1" t="n">
        <v>21.3153</v>
      </c>
      <c r="O26" s="1" t="n">
        <v>0</v>
      </c>
      <c r="P26" s="1" t="n">
        <v>0</v>
      </c>
      <c r="Q26" s="1" t="n">
        <v>0.207</v>
      </c>
      <c r="R26" s="1" t="inlineStr">
        <is>
          <t>true</t>
        </is>
      </c>
      <c r="S26" s="1" t="n">
        <v>1</v>
      </c>
      <c r="T26" s="1" t="inlineStr">
        <is>
          <t>Yes</t>
        </is>
      </c>
      <c r="U26" s="1" t="n">
        <v>3</v>
      </c>
      <c r="V26" s="1" t="n">
        <v>9</v>
      </c>
      <c r="W26" s="1" t="n">
        <v>0</v>
      </c>
      <c r="X26" s="1" t="n">
        <v>275.9091</v>
      </c>
      <c r="Y26" s="1" t="n">
        <v>288.2029</v>
      </c>
      <c r="Z26" s="1" t="n">
        <v>4.21</v>
      </c>
      <c r="AA26" s="1" t="n">
        <v>12.1357</v>
      </c>
      <c r="AB26" s="1" t="n">
        <v>8.029999999999999</v>
      </c>
      <c r="AC26" s="1" t="n">
        <v>3.9324</v>
      </c>
      <c r="AD26" s="1" t="inlineStr">
        <is>
          <t>Linear</t>
        </is>
      </c>
      <c r="AE26" s="1" t="n">
        <v>100.89</v>
      </c>
      <c r="AF26" s="1" t="inlineStr">
        <is>
          <t>Amplification</t>
        </is>
      </c>
      <c r="AG26" s="1" t="inlineStr">
        <is>
          <t>N</t>
        </is>
      </c>
      <c r="AH26" s="1" t="inlineStr">
        <is>
          <t>N</t>
        </is>
      </c>
      <c r="AI26" s="1" t="inlineStr">
        <is>
          <t>N</t>
        </is>
      </c>
      <c r="AJ26" s="1" t="inlineStr">
        <is>
          <t>N</t>
        </is>
      </c>
      <c r="AL26" s="13">
        <f>IF(H26&lt;5,"PASS","FAIL")</f>
        <v/>
      </c>
      <c r="AM26" s="13">
        <f>IF(L26&gt;=0.99,"PASS","FAIL")</f>
        <v/>
      </c>
      <c r="AN26" s="14">
        <f>IF(AND(AE26&gt;=90,AE26&lt;=110),"PASS","FAIL")</f>
        <v/>
      </c>
      <c r="AO26" s="16">
        <f>IF(ABS(AB26)&lt;=25,"PASS","FAIL")</f>
        <v/>
      </c>
    </row>
    <row r="27">
      <c r="A27" s="2" t="inlineStr">
        <is>
          <t>A11</t>
        </is>
      </c>
      <c r="B27" s="2" t="n">
        <v>11</v>
      </c>
      <c r="C27" s="2" t="inlineStr">
        <is>
          <t>STANDARD</t>
        </is>
      </c>
      <c r="D27" s="2" t="inlineStr">
        <is>
          <t>STD 300</t>
        </is>
      </c>
      <c r="E27" s="2" t="inlineStr">
        <is>
          <t>CHO</t>
        </is>
      </c>
      <c r="F27" s="2" t="n">
        <v>13.1947</v>
      </c>
      <c r="G27" s="2" t="n">
        <v>13.1972</v>
      </c>
      <c r="H27" s="2" t="n">
        <v>0.46</v>
      </c>
      <c r="I27" s="2" t="n">
        <v>0.0605</v>
      </c>
      <c r="J27" s="2" t="n">
        <v>300</v>
      </c>
      <c r="K27" s="2" t="n">
        <v>1</v>
      </c>
      <c r="L27" s="2" t="n">
        <v>0.9998</v>
      </c>
      <c r="M27" s="2" t="n">
        <v>-3.3008</v>
      </c>
      <c r="N27" s="2" t="n">
        <v>21.3153</v>
      </c>
      <c r="O27" s="2" t="n">
        <v>0</v>
      </c>
      <c r="P27" s="2" t="n">
        <v>0</v>
      </c>
      <c r="Q27" s="2" t="n">
        <v>0.207</v>
      </c>
      <c r="R27" s="2" t="inlineStr">
        <is>
          <t>true</t>
        </is>
      </c>
      <c r="S27" s="2" t="n">
        <v>1</v>
      </c>
      <c r="T27" s="2" t="inlineStr">
        <is>
          <t>Yes</t>
        </is>
      </c>
      <c r="U27" s="2" t="n">
        <v>3</v>
      </c>
      <c r="V27" s="2" t="n">
        <v>9</v>
      </c>
      <c r="W27" s="2" t="n">
        <v>0</v>
      </c>
      <c r="X27" s="2" t="n">
        <v>288.5257</v>
      </c>
      <c r="Y27" s="2" t="n">
        <v>288.2029</v>
      </c>
      <c r="Z27" s="2" t="n">
        <v>4.21</v>
      </c>
      <c r="AA27" s="2" t="n">
        <v>12.1357</v>
      </c>
      <c r="AB27" s="2" t="n">
        <v>3.82</v>
      </c>
      <c r="AC27" s="2" t="n">
        <v>3.9324</v>
      </c>
      <c r="AD27" s="2" t="inlineStr">
        <is>
          <t>Linear</t>
        </is>
      </c>
      <c r="AE27" s="2" t="n">
        <v>100.89</v>
      </c>
      <c r="AF27" s="2" t="inlineStr">
        <is>
          <t>Amplification</t>
        </is>
      </c>
      <c r="AG27" s="2" t="inlineStr">
        <is>
          <t>N</t>
        </is>
      </c>
      <c r="AH27" s="2" t="inlineStr">
        <is>
          <t>N</t>
        </is>
      </c>
      <c r="AI27" s="2" t="inlineStr">
        <is>
          <t>N</t>
        </is>
      </c>
      <c r="AJ27" s="2" t="inlineStr">
        <is>
          <t>N</t>
        </is>
      </c>
      <c r="AL27" s="13">
        <f>IF(H27&lt;5,"PASS","FAIL")</f>
        <v/>
      </c>
      <c r="AM27" s="13">
        <f>IF(L27&gt;=0.99,"PASS","FAIL")</f>
        <v/>
      </c>
      <c r="AN27" s="14">
        <f>IF(AND(AE27&gt;=90,AE27&lt;=110),"PASS","FAIL")</f>
        <v/>
      </c>
      <c r="AO27" s="16">
        <f>IF(ABS(AB27)&lt;=25,"PASS","FAIL")</f>
        <v/>
      </c>
    </row>
    <row r="28">
      <c r="A28" s="1" t="inlineStr">
        <is>
          <t>A12</t>
        </is>
      </c>
      <c r="B28" s="1" t="n">
        <v>12</v>
      </c>
      <c r="C28" s="1" t="inlineStr">
        <is>
          <t>STANDARD</t>
        </is>
      </c>
      <c r="D28" s="1" t="inlineStr">
        <is>
          <t>STD 300</t>
        </is>
      </c>
      <c r="E28" s="1" t="inlineStr">
        <is>
          <t>CHO</t>
        </is>
      </c>
      <c r="F28" s="1" t="n">
        <v>13.138</v>
      </c>
      <c r="G28" s="1" t="n">
        <v>13.1972</v>
      </c>
      <c r="H28" s="1" t="n">
        <v>0.46</v>
      </c>
      <c r="I28" s="1" t="n">
        <v>0.0605</v>
      </c>
      <c r="J28" s="1" t="n">
        <v>300</v>
      </c>
      <c r="K28" s="1" t="n">
        <v>1</v>
      </c>
      <c r="L28" s="1" t="n">
        <v>0.9998</v>
      </c>
      <c r="M28" s="1" t="n">
        <v>-3.3008</v>
      </c>
      <c r="N28" s="1" t="n">
        <v>21.3153</v>
      </c>
      <c r="O28" s="1" t="n">
        <v>0</v>
      </c>
      <c r="P28" s="1" t="n">
        <v>0</v>
      </c>
      <c r="Q28" s="1" t="n">
        <v>0.207</v>
      </c>
      <c r="R28" s="1" t="inlineStr">
        <is>
          <t>true</t>
        </is>
      </c>
      <c r="S28" s="1" t="n">
        <v>1</v>
      </c>
      <c r="T28" s="1" t="inlineStr">
        <is>
          <t>Yes</t>
        </is>
      </c>
      <c r="U28" s="1" t="n">
        <v>3</v>
      </c>
      <c r="V28" s="1" t="n">
        <v>8</v>
      </c>
      <c r="W28" s="1" t="n">
        <v>0</v>
      </c>
      <c r="X28" s="1" t="n">
        <v>300.174</v>
      </c>
      <c r="Y28" s="1" t="n">
        <v>288.2029</v>
      </c>
      <c r="Z28" s="1" t="n">
        <v>4.21</v>
      </c>
      <c r="AA28" s="1" t="n">
        <v>12.1357</v>
      </c>
      <c r="AB28" s="1" t="n">
        <v>-0.06</v>
      </c>
      <c r="AC28" s="1" t="n">
        <v>3.9324</v>
      </c>
      <c r="AD28" s="1" t="inlineStr">
        <is>
          <t>Linear</t>
        </is>
      </c>
      <c r="AE28" s="1" t="n">
        <v>100.89</v>
      </c>
      <c r="AF28" s="1" t="inlineStr">
        <is>
          <t>Amplification</t>
        </is>
      </c>
      <c r="AG28" s="1" t="inlineStr">
        <is>
          <t>N</t>
        </is>
      </c>
      <c r="AH28" s="1" t="inlineStr">
        <is>
          <t>N</t>
        </is>
      </c>
      <c r="AI28" s="1" t="inlineStr">
        <is>
          <t>N</t>
        </is>
      </c>
      <c r="AJ28" s="1" t="inlineStr">
        <is>
          <t>N</t>
        </is>
      </c>
      <c r="AL28" s="13">
        <f>IF(H28&lt;5,"PASS","FAIL")</f>
        <v/>
      </c>
      <c r="AM28" s="13">
        <f>IF(L28&gt;=0.99,"PASS","FAIL")</f>
        <v/>
      </c>
      <c r="AN28" s="14">
        <f>IF(AND(AE28&gt;=90,AE28&lt;=110),"PASS","FAIL")</f>
        <v/>
      </c>
      <c r="AO28" s="16">
        <f>IF(ABS(AB28)&lt;=25,"PASS","FAIL")</f>
        <v/>
      </c>
    </row>
    <row r="29">
      <c r="A29" s="1" t="inlineStr">
        <is>
          <t>B10</t>
        </is>
      </c>
      <c r="B29" s="1" t="n">
        <v>22</v>
      </c>
      <c r="C29" s="1" t="inlineStr">
        <is>
          <t>STANDARD</t>
        </is>
      </c>
      <c r="D29" s="1" t="inlineStr">
        <is>
          <t>STD 30</t>
        </is>
      </c>
      <c r="E29" s="1" t="inlineStr">
        <is>
          <t>CHO</t>
        </is>
      </c>
      <c r="F29" s="1" t="n">
        <v>16.3923</v>
      </c>
      <c r="G29" s="1" t="n">
        <v>16.422</v>
      </c>
      <c r="H29" s="1" t="n">
        <v>0.19</v>
      </c>
      <c r="I29" s="1" t="n">
        <v>0.0308</v>
      </c>
      <c r="J29" s="1" t="n">
        <v>30</v>
      </c>
      <c r="K29" s="1" t="n">
        <v>1</v>
      </c>
      <c r="L29" s="1" t="n">
        <v>0.9998</v>
      </c>
      <c r="M29" s="1" t="n">
        <v>-3.3008</v>
      </c>
      <c r="N29" s="1" t="n">
        <v>21.3153</v>
      </c>
      <c r="O29" s="1" t="n">
        <v>0</v>
      </c>
      <c r="P29" s="1" t="n">
        <v>0</v>
      </c>
      <c r="Q29" s="1" t="n">
        <v>0.207</v>
      </c>
      <c r="R29" s="1" t="inlineStr">
        <is>
          <t>true</t>
        </is>
      </c>
      <c r="S29" s="1" t="n">
        <v>1</v>
      </c>
      <c r="T29" s="1" t="inlineStr">
        <is>
          <t>Yes</t>
        </is>
      </c>
      <c r="U29" s="1" t="n">
        <v>3</v>
      </c>
      <c r="V29" s="1" t="n">
        <v>11</v>
      </c>
      <c r="W29" s="1" t="n">
        <v>0</v>
      </c>
      <c r="X29" s="1" t="n">
        <v>31.0077</v>
      </c>
      <c r="Y29" s="1" t="n">
        <v>30.3755</v>
      </c>
      <c r="Z29" s="1" t="n">
        <v>2.15</v>
      </c>
      <c r="AA29" s="1" t="n">
        <v>0.6525</v>
      </c>
      <c r="AB29" s="1" t="n">
        <v>-3.36</v>
      </c>
      <c r="AC29" s="1" t="n">
        <v>-1.2517</v>
      </c>
      <c r="AD29" s="1" t="inlineStr">
        <is>
          <t>Linear</t>
        </is>
      </c>
      <c r="AE29" s="1" t="n">
        <v>100.89</v>
      </c>
      <c r="AF29" s="1" t="inlineStr">
        <is>
          <t>Amplification</t>
        </is>
      </c>
      <c r="AG29" s="1" t="inlineStr">
        <is>
          <t>N</t>
        </is>
      </c>
      <c r="AH29" s="1" t="inlineStr">
        <is>
          <t>N</t>
        </is>
      </c>
      <c r="AI29" s="1" t="inlineStr">
        <is>
          <t>N</t>
        </is>
      </c>
      <c r="AJ29" s="1" t="inlineStr">
        <is>
          <t>N</t>
        </is>
      </c>
      <c r="AL29" s="13">
        <f>IF(H29&lt;5,"PASS","FAIL")</f>
        <v/>
      </c>
      <c r="AM29" s="13">
        <f>IF(L29&gt;=0.99,"PASS","FAIL")</f>
        <v/>
      </c>
      <c r="AN29" s="14">
        <f>IF(AND(AE29&gt;=90,AE29&lt;=110),"PASS","FAIL")</f>
        <v/>
      </c>
      <c r="AO29" s="16">
        <f>IF(ABS(AB29)&lt;=25,"PASS","FAIL")</f>
        <v/>
      </c>
    </row>
    <row r="30">
      <c r="A30" s="2" t="inlineStr">
        <is>
          <t>B11</t>
        </is>
      </c>
      <c r="B30" s="2" t="n">
        <v>23</v>
      </c>
      <c r="C30" s="2" t="inlineStr">
        <is>
          <t>STANDARD</t>
        </is>
      </c>
      <c r="D30" s="2" t="inlineStr">
        <is>
          <t>STD 30</t>
        </is>
      </c>
      <c r="E30" s="2" t="inlineStr">
        <is>
          <t>CHO</t>
        </is>
      </c>
      <c r="F30" s="2" t="n">
        <v>16.42</v>
      </c>
      <c r="G30" s="2" t="n">
        <v>16.422</v>
      </c>
      <c r="H30" s="2" t="n">
        <v>0.19</v>
      </c>
      <c r="I30" s="2" t="n">
        <v>0.0308</v>
      </c>
      <c r="J30" s="2" t="n">
        <v>30</v>
      </c>
      <c r="K30" s="2" t="n">
        <v>1</v>
      </c>
      <c r="L30" s="2" t="n">
        <v>0.9998</v>
      </c>
      <c r="M30" s="2" t="n">
        <v>-3.3008</v>
      </c>
      <c r="N30" s="2" t="n">
        <v>21.3153</v>
      </c>
      <c r="O30" s="2" t="n">
        <v>0</v>
      </c>
      <c r="P30" s="2" t="n">
        <v>0</v>
      </c>
      <c r="Q30" s="2" t="n">
        <v>0.207</v>
      </c>
      <c r="R30" s="2" t="inlineStr">
        <is>
          <t>true</t>
        </is>
      </c>
      <c r="S30" s="2" t="n">
        <v>1</v>
      </c>
      <c r="T30" s="2" t="inlineStr">
        <is>
          <t>Yes</t>
        </is>
      </c>
      <c r="U30" s="2" t="n">
        <v>3</v>
      </c>
      <c r="V30" s="2" t="n">
        <v>11</v>
      </c>
      <c r="W30" s="2" t="n">
        <v>0</v>
      </c>
      <c r="X30" s="2" t="n">
        <v>30.4144</v>
      </c>
      <c r="Y30" s="2" t="n">
        <v>30.3755</v>
      </c>
      <c r="Z30" s="2" t="n">
        <v>2.15</v>
      </c>
      <c r="AA30" s="2" t="n">
        <v>0.6525</v>
      </c>
      <c r="AB30" s="2" t="n">
        <v>-1.38</v>
      </c>
      <c r="AC30" s="2" t="n">
        <v>-1.2517</v>
      </c>
      <c r="AD30" s="2" t="inlineStr">
        <is>
          <t>Linear</t>
        </is>
      </c>
      <c r="AE30" s="2" t="n">
        <v>100.89</v>
      </c>
      <c r="AF30" s="2" t="inlineStr">
        <is>
          <t>Amplification</t>
        </is>
      </c>
      <c r="AG30" s="2" t="inlineStr">
        <is>
          <t>N</t>
        </is>
      </c>
      <c r="AH30" s="2" t="inlineStr">
        <is>
          <t>N</t>
        </is>
      </c>
      <c r="AI30" s="2" t="inlineStr">
        <is>
          <t>N</t>
        </is>
      </c>
      <c r="AJ30" s="2" t="inlineStr">
        <is>
          <t>N</t>
        </is>
      </c>
      <c r="AL30" s="13">
        <f>IF(H30&lt;5,"PASS","FAIL")</f>
        <v/>
      </c>
      <c r="AM30" s="13">
        <f>IF(L30&gt;=0.99,"PASS","FAIL")</f>
        <v/>
      </c>
      <c r="AN30" s="14">
        <f>IF(AND(AE30&gt;=90,AE30&lt;=110),"PASS","FAIL")</f>
        <v/>
      </c>
      <c r="AO30" s="16">
        <f>IF(ABS(AB30)&lt;=25,"PASS","FAIL")</f>
        <v/>
      </c>
    </row>
    <row r="31">
      <c r="A31" s="1" t="inlineStr">
        <is>
          <t>B12</t>
        </is>
      </c>
      <c r="B31" s="1" t="n">
        <v>24</v>
      </c>
      <c r="C31" s="1" t="inlineStr">
        <is>
          <t>STANDARD</t>
        </is>
      </c>
      <c r="D31" s="1" t="inlineStr">
        <is>
          <t>STD 30</t>
        </is>
      </c>
      <c r="E31" s="1" t="inlineStr">
        <is>
          <t>CHO</t>
        </is>
      </c>
      <c r="F31" s="1" t="n">
        <v>16.4538</v>
      </c>
      <c r="G31" s="1" t="n">
        <v>16.422</v>
      </c>
      <c r="H31" s="1" t="n">
        <v>0.19</v>
      </c>
      <c r="I31" s="1" t="n">
        <v>0.0308</v>
      </c>
      <c r="J31" s="1" t="n">
        <v>30</v>
      </c>
      <c r="K31" s="1" t="n">
        <v>1</v>
      </c>
      <c r="L31" s="1" t="n">
        <v>0.9998</v>
      </c>
      <c r="M31" s="1" t="n">
        <v>-3.3008</v>
      </c>
      <c r="N31" s="1" t="n">
        <v>21.3153</v>
      </c>
      <c r="O31" s="1" t="n">
        <v>0</v>
      </c>
      <c r="P31" s="1" t="n">
        <v>0</v>
      </c>
      <c r="Q31" s="1" t="n">
        <v>0.207</v>
      </c>
      <c r="R31" s="1" t="inlineStr">
        <is>
          <t>true</t>
        </is>
      </c>
      <c r="S31" s="1" t="n">
        <v>1</v>
      </c>
      <c r="T31" s="1" t="inlineStr">
        <is>
          <t>Yes</t>
        </is>
      </c>
      <c r="U31" s="1" t="n">
        <v>3</v>
      </c>
      <c r="V31" s="1" t="n">
        <v>11</v>
      </c>
      <c r="W31" s="1" t="n">
        <v>0</v>
      </c>
      <c r="X31" s="1" t="n">
        <v>29.7044</v>
      </c>
      <c r="Y31" s="1" t="n">
        <v>30.3755</v>
      </c>
      <c r="Z31" s="1" t="n">
        <v>2.15</v>
      </c>
      <c r="AA31" s="1" t="n">
        <v>0.6525</v>
      </c>
      <c r="AB31" s="1" t="n">
        <v>0.99</v>
      </c>
      <c r="AC31" s="1" t="n">
        <v>-1.2517</v>
      </c>
      <c r="AD31" s="1" t="inlineStr">
        <is>
          <t>Linear</t>
        </is>
      </c>
      <c r="AE31" s="1" t="n">
        <v>100.89</v>
      </c>
      <c r="AF31" s="1" t="inlineStr">
        <is>
          <t>Amplification</t>
        </is>
      </c>
      <c r="AG31" s="1" t="inlineStr">
        <is>
          <t>N</t>
        </is>
      </c>
      <c r="AH31" s="1" t="inlineStr">
        <is>
          <t>N</t>
        </is>
      </c>
      <c r="AI31" s="1" t="inlineStr">
        <is>
          <t>N</t>
        </is>
      </c>
      <c r="AJ31" s="1" t="inlineStr">
        <is>
          <t>N</t>
        </is>
      </c>
      <c r="AL31" s="13">
        <f>IF(H31&lt;5,"PASS","FAIL")</f>
        <v/>
      </c>
      <c r="AM31" s="13">
        <f>IF(L31&gt;=0.99,"PASS","FAIL")</f>
        <v/>
      </c>
      <c r="AN31" s="14">
        <f>IF(AND(AE31&gt;=90,AE31&lt;=110),"PASS","FAIL")</f>
        <v/>
      </c>
      <c r="AO31" s="16">
        <f>IF(ABS(AB31)&lt;=25,"PASS","FAIL")</f>
        <v/>
      </c>
    </row>
    <row r="32">
      <c r="A32" s="1" t="inlineStr">
        <is>
          <t>C10</t>
        </is>
      </c>
      <c r="B32" s="1" t="n">
        <v>34</v>
      </c>
      <c r="C32" s="1" t="inlineStr">
        <is>
          <t>STANDARD</t>
        </is>
      </c>
      <c r="D32" s="1" t="inlineStr">
        <is>
          <t>STD 3</t>
        </is>
      </c>
      <c r="E32" s="1" t="inlineStr">
        <is>
          <t>CHO</t>
        </is>
      </c>
      <c r="F32" s="1" t="n">
        <v>19.6245</v>
      </c>
      <c r="G32" s="1" t="n">
        <v>19.7012</v>
      </c>
      <c r="H32" s="1" t="n">
        <v>0.34</v>
      </c>
      <c r="I32" s="1" t="n">
        <v>0.0665</v>
      </c>
      <c r="J32" s="1" t="n">
        <v>3</v>
      </c>
      <c r="K32" s="1" t="n">
        <v>1</v>
      </c>
      <c r="L32" s="1" t="n">
        <v>0.9998</v>
      </c>
      <c r="M32" s="1" t="n">
        <v>-3.3008</v>
      </c>
      <c r="N32" s="1" t="n">
        <v>21.3153</v>
      </c>
      <c r="O32" s="1" t="n">
        <v>0</v>
      </c>
      <c r="P32" s="1" t="n">
        <v>0</v>
      </c>
      <c r="Q32" s="1" t="n">
        <v>0.207</v>
      </c>
      <c r="R32" s="1" t="inlineStr">
        <is>
          <t>true</t>
        </is>
      </c>
      <c r="S32" s="1" t="n">
        <v>1</v>
      </c>
      <c r="T32" s="1" t="inlineStr">
        <is>
          <t>Yes</t>
        </is>
      </c>
      <c r="U32" s="1" t="n">
        <v>3</v>
      </c>
      <c r="V32" s="1" t="n">
        <v>13</v>
      </c>
      <c r="W32" s="1" t="n">
        <v>0</v>
      </c>
      <c r="X32" s="1" t="n">
        <v>3.2526</v>
      </c>
      <c r="Y32" s="1" t="n">
        <v>3.0854</v>
      </c>
      <c r="Z32" s="1" t="n">
        <v>4.7</v>
      </c>
      <c r="AA32" s="1" t="n">
        <v>0.1449</v>
      </c>
      <c r="AB32" s="1" t="n">
        <v>-8.42</v>
      </c>
      <c r="AC32" s="1" t="n">
        <v>-2.8479</v>
      </c>
      <c r="AD32" s="1" t="inlineStr">
        <is>
          <t>Linear</t>
        </is>
      </c>
      <c r="AE32" s="1" t="n">
        <v>100.89</v>
      </c>
      <c r="AF32" s="1" t="inlineStr">
        <is>
          <t>Amplification</t>
        </is>
      </c>
      <c r="AG32" s="1" t="inlineStr">
        <is>
          <t>N</t>
        </is>
      </c>
      <c r="AH32" s="1" t="inlineStr">
        <is>
          <t>N</t>
        </is>
      </c>
      <c r="AI32" s="1" t="inlineStr">
        <is>
          <t>N</t>
        </is>
      </c>
      <c r="AJ32" s="1" t="inlineStr">
        <is>
          <t>N</t>
        </is>
      </c>
      <c r="AL32" s="13">
        <f>IF(H32&lt;5,"PASS","FAIL")</f>
        <v/>
      </c>
      <c r="AM32" s="13">
        <f>IF(L32&gt;=0.99,"PASS","FAIL")</f>
        <v/>
      </c>
      <c r="AN32" s="14">
        <f>IF(AND(AE32&gt;=90,AE32&lt;=110),"PASS","FAIL")</f>
        <v/>
      </c>
      <c r="AO32" s="16">
        <f>IF(ABS(AB32)&lt;=25,"PASS","FAIL")</f>
        <v/>
      </c>
    </row>
    <row r="33">
      <c r="A33" s="2" t="inlineStr">
        <is>
          <t>C11</t>
        </is>
      </c>
      <c r="B33" s="2" t="n">
        <v>35</v>
      </c>
      <c r="C33" s="2" t="inlineStr">
        <is>
          <t>STANDARD</t>
        </is>
      </c>
      <c r="D33" s="2" t="inlineStr">
        <is>
          <t>STD 3</t>
        </is>
      </c>
      <c r="E33" s="2" t="inlineStr">
        <is>
          <t>CHO</t>
        </is>
      </c>
      <c r="F33" s="2" t="n">
        <v>19.7364</v>
      </c>
      <c r="G33" s="2" t="n">
        <v>19.7012</v>
      </c>
      <c r="H33" s="2" t="n">
        <v>0.34</v>
      </c>
      <c r="I33" s="2" t="n">
        <v>0.0665</v>
      </c>
      <c r="J33" s="2" t="n">
        <v>3</v>
      </c>
      <c r="K33" s="2" t="n">
        <v>1</v>
      </c>
      <c r="L33" s="2" t="n">
        <v>0.9998</v>
      </c>
      <c r="M33" s="2" t="n">
        <v>-3.3008</v>
      </c>
      <c r="N33" s="2" t="n">
        <v>21.3153</v>
      </c>
      <c r="O33" s="2" t="n">
        <v>0</v>
      </c>
      <c r="P33" s="2" t="n">
        <v>0</v>
      </c>
      <c r="Q33" s="2" t="n">
        <v>0.207</v>
      </c>
      <c r="R33" s="2" t="inlineStr">
        <is>
          <t>true</t>
        </is>
      </c>
      <c r="S33" s="2" t="n">
        <v>1</v>
      </c>
      <c r="T33" s="2" t="inlineStr">
        <is>
          <t>Yes</t>
        </is>
      </c>
      <c r="U33" s="2" t="n">
        <v>3</v>
      </c>
      <c r="V33" s="2" t="n">
        <v>15</v>
      </c>
      <c r="W33" s="2" t="n">
        <v>0</v>
      </c>
      <c r="X33" s="2" t="n">
        <v>3.0085</v>
      </c>
      <c r="Y33" s="2" t="n">
        <v>3.0854</v>
      </c>
      <c r="Z33" s="2" t="n">
        <v>4.7</v>
      </c>
      <c r="AA33" s="2" t="n">
        <v>0.1449</v>
      </c>
      <c r="AB33" s="2" t="n">
        <v>-0.28</v>
      </c>
      <c r="AC33" s="2" t="n">
        <v>-2.8479</v>
      </c>
      <c r="AD33" s="2" t="inlineStr">
        <is>
          <t>Linear</t>
        </is>
      </c>
      <c r="AE33" s="2" t="n">
        <v>100.89</v>
      </c>
      <c r="AF33" s="2" t="inlineStr">
        <is>
          <t>Amplification</t>
        </is>
      </c>
      <c r="AG33" s="2" t="inlineStr">
        <is>
          <t>N</t>
        </is>
      </c>
      <c r="AH33" s="2" t="inlineStr">
        <is>
          <t>N</t>
        </is>
      </c>
      <c r="AI33" s="2" t="inlineStr">
        <is>
          <t>N</t>
        </is>
      </c>
      <c r="AJ33" s="2" t="inlineStr">
        <is>
          <t>N</t>
        </is>
      </c>
      <c r="AL33" s="13">
        <f>IF(H33&lt;5,"PASS","FAIL")</f>
        <v/>
      </c>
      <c r="AM33" s="13">
        <f>IF(L33&gt;=0.99,"PASS","FAIL")</f>
        <v/>
      </c>
      <c r="AN33" s="14">
        <f>IF(AND(AE33&gt;=90,AE33&lt;=110),"PASS","FAIL")</f>
        <v/>
      </c>
      <c r="AO33" s="16">
        <f>IF(ABS(AB33)&lt;=25,"PASS","FAIL")</f>
        <v/>
      </c>
    </row>
    <row r="34">
      <c r="A34" s="1" t="inlineStr">
        <is>
          <t>C12</t>
        </is>
      </c>
      <c r="B34" s="1" t="n">
        <v>36</v>
      </c>
      <c r="C34" s="1" t="inlineStr">
        <is>
          <t>STANDARD</t>
        </is>
      </c>
      <c r="D34" s="1" t="inlineStr">
        <is>
          <t>STD 3</t>
        </is>
      </c>
      <c r="E34" s="1" t="inlineStr">
        <is>
          <t>CHO</t>
        </is>
      </c>
      <c r="F34" s="1" t="n">
        <v>19.7427</v>
      </c>
      <c r="G34" s="1" t="n">
        <v>19.7012</v>
      </c>
      <c r="H34" s="1" t="n">
        <v>0.34</v>
      </c>
      <c r="I34" s="1" t="n">
        <v>0.0665</v>
      </c>
      <c r="J34" s="1" t="n">
        <v>3</v>
      </c>
      <c r="K34" s="1" t="n">
        <v>1</v>
      </c>
      <c r="L34" s="1" t="n">
        <v>0.9998</v>
      </c>
      <c r="M34" s="1" t="n">
        <v>-3.3008</v>
      </c>
      <c r="N34" s="1" t="n">
        <v>21.3153</v>
      </c>
      <c r="O34" s="1" t="n">
        <v>0</v>
      </c>
      <c r="P34" s="1" t="n">
        <v>0</v>
      </c>
      <c r="Q34" s="1" t="n">
        <v>0.207</v>
      </c>
      <c r="R34" s="1" t="inlineStr">
        <is>
          <t>true</t>
        </is>
      </c>
      <c r="S34" s="1" t="n">
        <v>1</v>
      </c>
      <c r="T34" s="1" t="inlineStr">
        <is>
          <t>Yes</t>
        </is>
      </c>
      <c r="U34" s="1" t="n">
        <v>3</v>
      </c>
      <c r="V34" s="1" t="n">
        <v>14</v>
      </c>
      <c r="W34" s="1" t="n">
        <v>0</v>
      </c>
      <c r="X34" s="1" t="n">
        <v>2.9952</v>
      </c>
      <c r="Y34" s="1" t="n">
        <v>3.0854</v>
      </c>
      <c r="Z34" s="1" t="n">
        <v>4.7</v>
      </c>
      <c r="AA34" s="1" t="n">
        <v>0.1449</v>
      </c>
      <c r="AB34" s="1" t="n">
        <v>0.16</v>
      </c>
      <c r="AC34" s="1" t="n">
        <v>-2.8479</v>
      </c>
      <c r="AD34" s="1" t="inlineStr">
        <is>
          <t>Linear</t>
        </is>
      </c>
      <c r="AE34" s="1" t="n">
        <v>100.89</v>
      </c>
      <c r="AF34" s="1" t="inlineStr">
        <is>
          <t>Amplification</t>
        </is>
      </c>
      <c r="AG34" s="1" t="inlineStr">
        <is>
          <t>N</t>
        </is>
      </c>
      <c r="AH34" s="1" t="inlineStr">
        <is>
          <t>N</t>
        </is>
      </c>
      <c r="AI34" s="1" t="inlineStr">
        <is>
          <t>N</t>
        </is>
      </c>
      <c r="AJ34" s="1" t="inlineStr">
        <is>
          <t>N</t>
        </is>
      </c>
      <c r="AL34" s="13">
        <f>IF(H34&lt;5,"PASS","FAIL")</f>
        <v/>
      </c>
      <c r="AM34" s="13">
        <f>IF(L34&gt;=0.99,"PASS","FAIL")</f>
        <v/>
      </c>
      <c r="AN34" s="14">
        <f>IF(AND(AE34&gt;=90,AE34&lt;=110),"PASS","FAIL")</f>
        <v/>
      </c>
      <c r="AO34" s="16">
        <f>IF(ABS(AB34)&lt;=25,"PASS","FAIL")</f>
        <v/>
      </c>
    </row>
    <row r="35">
      <c r="A35" s="1" t="inlineStr">
        <is>
          <t>D10</t>
        </is>
      </c>
      <c r="B35" s="1" t="n">
        <v>46</v>
      </c>
      <c r="C35" s="1" t="inlineStr">
        <is>
          <t>STANDARD</t>
        </is>
      </c>
      <c r="D35" s="1" t="inlineStr">
        <is>
          <t>STD 0.3</t>
        </is>
      </c>
      <c r="E35" s="1" t="inlineStr">
        <is>
          <t>CHO</t>
        </is>
      </c>
      <c r="F35" s="1" t="n">
        <v>22.9505</v>
      </c>
      <c r="G35" s="1" t="n">
        <v>23.0173</v>
      </c>
      <c r="H35" s="1" t="n">
        <v>0.29</v>
      </c>
      <c r="I35" s="1" t="n">
        <v>0.0672</v>
      </c>
      <c r="J35" s="1" t="n">
        <v>0.3</v>
      </c>
      <c r="K35" s="1" t="n">
        <v>1</v>
      </c>
      <c r="L35" s="1" t="n">
        <v>0.9998</v>
      </c>
      <c r="M35" s="1" t="n">
        <v>-3.3008</v>
      </c>
      <c r="N35" s="1" t="n">
        <v>21.3153</v>
      </c>
      <c r="O35" s="1" t="n">
        <v>0</v>
      </c>
      <c r="P35" s="1" t="n">
        <v>0</v>
      </c>
      <c r="Q35" s="1" t="n">
        <v>0.207</v>
      </c>
      <c r="R35" s="1" t="inlineStr">
        <is>
          <t>true</t>
        </is>
      </c>
      <c r="S35" s="1" t="n">
        <v>1</v>
      </c>
      <c r="T35" s="1" t="inlineStr">
        <is>
          <t>Yes</t>
        </is>
      </c>
      <c r="U35" s="1" t="n">
        <v>3</v>
      </c>
      <c r="V35" s="1" t="n">
        <v>17</v>
      </c>
      <c r="W35" s="1" t="n">
        <v>0</v>
      </c>
      <c r="X35" s="1" t="n">
        <v>0.3196</v>
      </c>
      <c r="Y35" s="1" t="n">
        <v>0.3053</v>
      </c>
      <c r="Z35" s="1" t="n">
        <v>4.68</v>
      </c>
      <c r="AA35" s="1" t="n">
        <v>0.0143</v>
      </c>
      <c r="AB35" s="1" t="n">
        <v>-6.53</v>
      </c>
      <c r="AC35" s="1" t="n">
        <v>-1.7549</v>
      </c>
      <c r="AD35" s="1" t="inlineStr">
        <is>
          <t>Linear</t>
        </is>
      </c>
      <c r="AE35" s="1" t="n">
        <v>100.89</v>
      </c>
      <c r="AF35" s="1" t="inlineStr">
        <is>
          <t>Amplification</t>
        </is>
      </c>
      <c r="AG35" s="1" t="inlineStr">
        <is>
          <t>N</t>
        </is>
      </c>
      <c r="AH35" s="1" t="inlineStr">
        <is>
          <t>N</t>
        </is>
      </c>
      <c r="AI35" s="1" t="inlineStr">
        <is>
          <t>N</t>
        </is>
      </c>
      <c r="AJ35" s="1" t="inlineStr">
        <is>
          <t>N</t>
        </is>
      </c>
      <c r="AL35" s="13">
        <f>IF(H35&lt;5,"PASS","FAIL")</f>
        <v/>
      </c>
      <c r="AM35" s="13">
        <f>IF(L35&gt;=0.99,"PASS","FAIL")</f>
        <v/>
      </c>
      <c r="AN35" s="14">
        <f>IF(AND(AE35&gt;=90,AE35&lt;=110),"PASS","FAIL")</f>
        <v/>
      </c>
      <c r="AO35" s="16">
        <f>IF(ABS(AB35)&lt;=25,"PASS","FAIL")</f>
        <v/>
      </c>
    </row>
    <row r="36">
      <c r="A36" s="2" t="inlineStr">
        <is>
          <t>D11</t>
        </is>
      </c>
      <c r="B36" s="2" t="n">
        <v>47</v>
      </c>
      <c r="C36" s="2" t="inlineStr">
        <is>
          <t>STANDARD</t>
        </is>
      </c>
      <c r="D36" s="2" t="inlineStr">
        <is>
          <t>STD 0.3</t>
        </is>
      </c>
      <c r="E36" s="2" t="inlineStr">
        <is>
          <t>CHO</t>
        </is>
      </c>
      <c r="F36" s="2" t="n">
        <v>23.0167</v>
      </c>
      <c r="G36" s="2" t="n">
        <v>23.0173</v>
      </c>
      <c r="H36" s="2" t="n">
        <v>0.29</v>
      </c>
      <c r="I36" s="2" t="n">
        <v>0.0672</v>
      </c>
      <c r="J36" s="2" t="n">
        <v>0.3</v>
      </c>
      <c r="K36" s="2" t="n">
        <v>1</v>
      </c>
      <c r="L36" s="2" t="n">
        <v>0.9998</v>
      </c>
      <c r="M36" s="2" t="n">
        <v>-3.3008</v>
      </c>
      <c r="N36" s="2" t="n">
        <v>21.3153</v>
      </c>
      <c r="O36" s="2" t="n">
        <v>0</v>
      </c>
      <c r="P36" s="2" t="n">
        <v>0</v>
      </c>
      <c r="Q36" s="2" t="n">
        <v>0.207</v>
      </c>
      <c r="R36" s="2" t="inlineStr">
        <is>
          <t>true</t>
        </is>
      </c>
      <c r="S36" s="2" t="n">
        <v>1</v>
      </c>
      <c r="T36" s="2" t="inlineStr">
        <is>
          <t>Yes</t>
        </is>
      </c>
      <c r="U36" s="2" t="n">
        <v>3</v>
      </c>
      <c r="V36" s="2" t="n">
        <v>17</v>
      </c>
      <c r="W36" s="2" t="n">
        <v>0</v>
      </c>
      <c r="X36" s="2" t="n">
        <v>0.3052</v>
      </c>
      <c r="Y36" s="2" t="n">
        <v>0.3053</v>
      </c>
      <c r="Z36" s="2" t="n">
        <v>4.68</v>
      </c>
      <c r="AA36" s="2" t="n">
        <v>0.0143</v>
      </c>
      <c r="AB36" s="2" t="n">
        <v>-1.73</v>
      </c>
      <c r="AC36" s="2" t="n">
        <v>-1.7549</v>
      </c>
      <c r="AD36" s="2" t="inlineStr">
        <is>
          <t>Linear</t>
        </is>
      </c>
      <c r="AE36" s="2" t="n">
        <v>100.89</v>
      </c>
      <c r="AF36" s="2" t="inlineStr">
        <is>
          <t>Amplification</t>
        </is>
      </c>
      <c r="AG36" s="2" t="inlineStr">
        <is>
          <t>N</t>
        </is>
      </c>
      <c r="AH36" s="2" t="inlineStr">
        <is>
          <t>N</t>
        </is>
      </c>
      <c r="AI36" s="2" t="inlineStr">
        <is>
          <t>N</t>
        </is>
      </c>
      <c r="AJ36" s="2" t="inlineStr">
        <is>
          <t>N</t>
        </is>
      </c>
      <c r="AL36" s="13">
        <f>IF(H36&lt;5,"PASS","FAIL")</f>
        <v/>
      </c>
      <c r="AM36" s="13">
        <f>IF(L36&gt;=0.99,"PASS","FAIL")</f>
        <v/>
      </c>
      <c r="AN36" s="14">
        <f>IF(AND(AE36&gt;=90,AE36&lt;=110),"PASS","FAIL")</f>
        <v/>
      </c>
      <c r="AO36" s="16">
        <f>IF(ABS(AB36)&lt;=25,"PASS","FAIL")</f>
        <v/>
      </c>
    </row>
    <row r="37">
      <c r="A37" s="1" t="inlineStr">
        <is>
          <t>D12</t>
        </is>
      </c>
      <c r="B37" s="1" t="n">
        <v>48</v>
      </c>
      <c r="C37" s="1" t="inlineStr">
        <is>
          <t>STANDARD</t>
        </is>
      </c>
      <c r="D37" s="1" t="inlineStr">
        <is>
          <t>STD 0.3</t>
        </is>
      </c>
      <c r="E37" s="1" t="inlineStr">
        <is>
          <t>CHO</t>
        </is>
      </c>
      <c r="F37" s="1" t="n">
        <v>23.0848</v>
      </c>
      <c r="G37" s="1" t="n">
        <v>23.0173</v>
      </c>
      <c r="H37" s="1" t="n">
        <v>0.29</v>
      </c>
      <c r="I37" s="1" t="n">
        <v>0.0672</v>
      </c>
      <c r="J37" s="1" t="n">
        <v>0.3</v>
      </c>
      <c r="K37" s="1" t="n">
        <v>1</v>
      </c>
      <c r="L37" s="1" t="n">
        <v>0.9998</v>
      </c>
      <c r="M37" s="1" t="n">
        <v>-3.3008</v>
      </c>
      <c r="N37" s="1" t="n">
        <v>21.3153</v>
      </c>
      <c r="O37" s="1" t="n">
        <v>0</v>
      </c>
      <c r="P37" s="1" t="n">
        <v>0</v>
      </c>
      <c r="Q37" s="1" t="n">
        <v>0.207</v>
      </c>
      <c r="R37" s="1" t="inlineStr">
        <is>
          <t>true</t>
        </is>
      </c>
      <c r="S37" s="1" t="n">
        <v>1</v>
      </c>
      <c r="T37" s="1" t="inlineStr">
        <is>
          <t>Yes</t>
        </is>
      </c>
      <c r="U37" s="1" t="n">
        <v>3</v>
      </c>
      <c r="V37" s="1" t="n">
        <v>18</v>
      </c>
      <c r="W37" s="1" t="n">
        <v>0</v>
      </c>
      <c r="X37" s="1" t="n">
        <v>0.291</v>
      </c>
      <c r="Y37" s="1" t="n">
        <v>0.3053</v>
      </c>
      <c r="Z37" s="1" t="n">
        <v>4.68</v>
      </c>
      <c r="AA37" s="1" t="n">
        <v>0.0143</v>
      </c>
      <c r="AB37" s="1" t="n">
        <v>2.99</v>
      </c>
      <c r="AC37" s="1" t="n">
        <v>-1.7549</v>
      </c>
      <c r="AD37" s="1" t="inlineStr">
        <is>
          <t>Linear</t>
        </is>
      </c>
      <c r="AE37" s="1" t="n">
        <v>100.89</v>
      </c>
      <c r="AF37" s="1" t="inlineStr">
        <is>
          <t>Amplification</t>
        </is>
      </c>
      <c r="AG37" s="1" t="inlineStr">
        <is>
          <t>N</t>
        </is>
      </c>
      <c r="AH37" s="1" t="inlineStr">
        <is>
          <t>N</t>
        </is>
      </c>
      <c r="AI37" s="1" t="inlineStr">
        <is>
          <t>N</t>
        </is>
      </c>
      <c r="AJ37" s="1" t="inlineStr">
        <is>
          <t>N</t>
        </is>
      </c>
      <c r="AL37" s="13">
        <f>IF(H37&lt;5,"PASS","FAIL")</f>
        <v/>
      </c>
      <c r="AM37" s="13">
        <f>IF(L37&gt;=0.99,"PASS","FAIL")</f>
        <v/>
      </c>
      <c r="AN37" s="14">
        <f>IF(AND(AE37&gt;=90,AE37&lt;=110),"PASS","FAIL")</f>
        <v/>
      </c>
      <c r="AO37" s="16">
        <f>IF(ABS(AB37)&lt;=25,"PASS","FAIL")</f>
        <v/>
      </c>
    </row>
    <row r="38">
      <c r="A38" s="1" t="inlineStr">
        <is>
          <t>E10</t>
        </is>
      </c>
      <c r="B38" s="1" t="n">
        <v>58</v>
      </c>
      <c r="C38" s="1" t="inlineStr">
        <is>
          <t>STANDARD</t>
        </is>
      </c>
      <c r="D38" s="1" t="inlineStr">
        <is>
          <t>STD 0.03</t>
        </is>
      </c>
      <c r="E38" s="1" t="inlineStr">
        <is>
          <t>CHO</t>
        </is>
      </c>
      <c r="F38" s="1" t="n">
        <v>26.2974</v>
      </c>
      <c r="G38" s="1" t="n">
        <v>26.2855</v>
      </c>
      <c r="H38" s="1" t="n">
        <v>0.11</v>
      </c>
      <c r="I38" s="1" t="n">
        <v>0.0285</v>
      </c>
      <c r="J38" s="1" t="n">
        <v>0.03</v>
      </c>
      <c r="K38" s="1" t="n">
        <v>1</v>
      </c>
      <c r="L38" s="1" t="n">
        <v>0.9998</v>
      </c>
      <c r="M38" s="1" t="n">
        <v>-3.3008</v>
      </c>
      <c r="N38" s="1" t="n">
        <v>21.3153</v>
      </c>
      <c r="O38" s="1" t="n">
        <v>0</v>
      </c>
      <c r="P38" s="1" t="n">
        <v>0</v>
      </c>
      <c r="Q38" s="1" t="n">
        <v>0.207</v>
      </c>
      <c r="R38" s="1" t="inlineStr">
        <is>
          <t>true</t>
        </is>
      </c>
      <c r="S38" s="1" t="n">
        <v>1</v>
      </c>
      <c r="T38" s="1" t="inlineStr">
        <is>
          <t>Yes</t>
        </is>
      </c>
      <c r="U38" s="1" t="n">
        <v>3</v>
      </c>
      <c r="V38" s="1" t="n">
        <v>20</v>
      </c>
      <c r="W38" s="1" t="n">
        <v>0</v>
      </c>
      <c r="X38" s="1" t="n">
        <v>0.0309</v>
      </c>
      <c r="Y38" s="1" t="n">
        <v>0.0312</v>
      </c>
      <c r="Z38" s="1" t="n">
        <v>2</v>
      </c>
      <c r="AA38" s="1" t="n">
        <v>0.0005999999999999999</v>
      </c>
      <c r="AB38" s="1" t="n">
        <v>-3.16</v>
      </c>
      <c r="AC38" s="1" t="n">
        <v>-4.0363</v>
      </c>
      <c r="AD38" s="1" t="inlineStr">
        <is>
          <t>Linear</t>
        </is>
      </c>
      <c r="AE38" s="1" t="n">
        <v>100.89</v>
      </c>
      <c r="AF38" s="1" t="inlineStr">
        <is>
          <t>Amplification</t>
        </is>
      </c>
      <c r="AG38" s="1" t="inlineStr">
        <is>
          <t>N</t>
        </is>
      </c>
      <c r="AH38" s="1" t="inlineStr">
        <is>
          <t>N</t>
        </is>
      </c>
      <c r="AI38" s="1" t="inlineStr">
        <is>
          <t>N</t>
        </is>
      </c>
      <c r="AJ38" s="1" t="inlineStr">
        <is>
          <t>N</t>
        </is>
      </c>
      <c r="AL38" s="13">
        <f>IF(H38&lt;5,"PASS","FAIL")</f>
        <v/>
      </c>
      <c r="AM38" s="13">
        <f>IF(L38&gt;=0.99,"PASS","FAIL")</f>
        <v/>
      </c>
      <c r="AN38" s="14">
        <f>IF(AND(AE38&gt;=90,AE38&lt;=110),"PASS","FAIL")</f>
        <v/>
      </c>
      <c r="AO38" s="16">
        <f>IF(ABS(AB38)&lt;=25,"PASS","FAIL")</f>
        <v/>
      </c>
    </row>
    <row r="39">
      <c r="A39" s="2" t="inlineStr">
        <is>
          <t>E11</t>
        </is>
      </c>
      <c r="B39" s="2" t="n">
        <v>59</v>
      </c>
      <c r="C39" s="2" t="inlineStr">
        <is>
          <t>STANDARD</t>
        </is>
      </c>
      <c r="D39" s="2" t="inlineStr">
        <is>
          <t>STD 0.03</t>
        </is>
      </c>
      <c r="E39" s="2" t="inlineStr">
        <is>
          <t>CHO</t>
        </is>
      </c>
      <c r="F39" s="2" t="n">
        <v>26.3061</v>
      </c>
      <c r="G39" s="2" t="n">
        <v>26.2855</v>
      </c>
      <c r="H39" s="2" t="n">
        <v>0.11</v>
      </c>
      <c r="I39" s="2" t="n">
        <v>0.0285</v>
      </c>
      <c r="J39" s="2" t="n">
        <v>0.03</v>
      </c>
      <c r="K39" s="2" t="n">
        <v>1</v>
      </c>
      <c r="L39" s="2" t="n">
        <v>0.9998</v>
      </c>
      <c r="M39" s="2" t="n">
        <v>-3.3008</v>
      </c>
      <c r="N39" s="2" t="n">
        <v>21.3153</v>
      </c>
      <c r="O39" s="2" t="n">
        <v>0</v>
      </c>
      <c r="P39" s="2" t="n">
        <v>0</v>
      </c>
      <c r="Q39" s="2" t="n">
        <v>0.207</v>
      </c>
      <c r="R39" s="2" t="inlineStr">
        <is>
          <t>true</t>
        </is>
      </c>
      <c r="S39" s="2" t="n">
        <v>1</v>
      </c>
      <c r="T39" s="2" t="inlineStr">
        <is>
          <t>Yes</t>
        </is>
      </c>
      <c r="U39" s="2" t="n">
        <v>3</v>
      </c>
      <c r="V39" s="2" t="n">
        <v>20</v>
      </c>
      <c r="W39" s="2" t="n">
        <v>0</v>
      </c>
      <c r="X39" s="2" t="n">
        <v>0.0308</v>
      </c>
      <c r="Y39" s="2" t="n">
        <v>0.0312</v>
      </c>
      <c r="Z39" s="2" t="n">
        <v>2</v>
      </c>
      <c r="AA39" s="2" t="n">
        <v>0.0005999999999999999</v>
      </c>
      <c r="AB39" s="2" t="n">
        <v>-2.54</v>
      </c>
      <c r="AC39" s="2" t="n">
        <v>-4.0363</v>
      </c>
      <c r="AD39" s="2" t="inlineStr">
        <is>
          <t>Linear</t>
        </is>
      </c>
      <c r="AE39" s="2" t="n">
        <v>100.89</v>
      </c>
      <c r="AF39" s="2" t="inlineStr">
        <is>
          <t>Amplification</t>
        </is>
      </c>
      <c r="AG39" s="2" t="inlineStr">
        <is>
          <t>N</t>
        </is>
      </c>
      <c r="AH39" s="2" t="inlineStr">
        <is>
          <t>N</t>
        </is>
      </c>
      <c r="AI39" s="2" t="inlineStr">
        <is>
          <t>N</t>
        </is>
      </c>
      <c r="AJ39" s="2" t="inlineStr">
        <is>
          <t>N</t>
        </is>
      </c>
      <c r="AL39" s="13">
        <f>IF(H39&lt;5,"PASS","FAIL")</f>
        <v/>
      </c>
      <c r="AM39" s="13">
        <f>IF(L39&gt;=0.99,"PASS","FAIL")</f>
        <v/>
      </c>
      <c r="AN39" s="14">
        <f>IF(AND(AE39&gt;=90,AE39&lt;=110),"PASS","FAIL")</f>
        <v/>
      </c>
      <c r="AO39" s="16">
        <f>IF(ABS(AB39)&lt;=25,"PASS","FAIL")</f>
        <v/>
      </c>
    </row>
    <row r="40">
      <c r="A40" s="1" t="inlineStr">
        <is>
          <t>E12</t>
        </is>
      </c>
      <c r="B40" s="1" t="n">
        <v>60</v>
      </c>
      <c r="C40" s="1" t="inlineStr">
        <is>
          <t>STANDARD</t>
        </is>
      </c>
      <c r="D40" s="1" t="inlineStr">
        <is>
          <t>STD 0.03</t>
        </is>
      </c>
      <c r="E40" s="1" t="inlineStr">
        <is>
          <t>CHO</t>
        </is>
      </c>
      <c r="F40" s="1" t="n">
        <v>26.2529</v>
      </c>
      <c r="G40" s="1" t="n">
        <v>26.2855</v>
      </c>
      <c r="H40" s="1" t="n">
        <v>0.11</v>
      </c>
      <c r="I40" s="1" t="n">
        <v>0.0285</v>
      </c>
      <c r="J40" s="1" t="n">
        <v>0.03</v>
      </c>
      <c r="K40" s="1" t="n">
        <v>1</v>
      </c>
      <c r="L40" s="1" t="n">
        <v>0.9998</v>
      </c>
      <c r="M40" s="1" t="n">
        <v>-3.3008</v>
      </c>
      <c r="N40" s="1" t="n">
        <v>21.3153</v>
      </c>
      <c r="O40" s="1" t="n">
        <v>0</v>
      </c>
      <c r="P40" s="1" t="n">
        <v>0</v>
      </c>
      <c r="Q40" s="1" t="n">
        <v>0.207</v>
      </c>
      <c r="R40" s="1" t="inlineStr">
        <is>
          <t>true</t>
        </is>
      </c>
      <c r="S40" s="1" t="n">
        <v>1</v>
      </c>
      <c r="T40" s="1" t="inlineStr">
        <is>
          <t>Yes</t>
        </is>
      </c>
      <c r="U40" s="1" t="n">
        <v>3</v>
      </c>
      <c r="V40" s="1" t="n">
        <v>20</v>
      </c>
      <c r="W40" s="1" t="n">
        <v>0</v>
      </c>
      <c r="X40" s="1" t="n">
        <v>0.0319</v>
      </c>
      <c r="Y40" s="1" t="n">
        <v>0.0312</v>
      </c>
      <c r="Z40" s="1" t="n">
        <v>2</v>
      </c>
      <c r="AA40" s="1" t="n">
        <v>0.0005999999999999999</v>
      </c>
      <c r="AB40" s="1" t="n">
        <v>-6.41</v>
      </c>
      <c r="AC40" s="1" t="n">
        <v>-4.0363</v>
      </c>
      <c r="AD40" s="1" t="inlineStr">
        <is>
          <t>Linear</t>
        </is>
      </c>
      <c r="AE40" s="1" t="n">
        <v>100.89</v>
      </c>
      <c r="AF40" s="1" t="inlineStr">
        <is>
          <t>Amplification</t>
        </is>
      </c>
      <c r="AG40" s="1" t="inlineStr">
        <is>
          <t>N</t>
        </is>
      </c>
      <c r="AH40" s="1" t="inlineStr">
        <is>
          <t>N</t>
        </is>
      </c>
      <c r="AI40" s="1" t="inlineStr">
        <is>
          <t>N</t>
        </is>
      </c>
      <c r="AJ40" s="1" t="inlineStr">
        <is>
          <t>N</t>
        </is>
      </c>
      <c r="AL40" s="13">
        <f>IF(H40&lt;5,"PASS","FAIL")</f>
        <v/>
      </c>
      <c r="AM40" s="13">
        <f>IF(L40&gt;=0.99,"PASS","FAIL")</f>
        <v/>
      </c>
      <c r="AN40" s="14">
        <f>IF(AND(AE40&gt;=90,AE40&lt;=110),"PASS","FAIL")</f>
        <v/>
      </c>
      <c r="AO40" s="16">
        <f>IF(ABS(AB40)&lt;=25,"PASS","FAIL")</f>
        <v/>
      </c>
    </row>
    <row r="41">
      <c r="A41" s="1" t="inlineStr">
        <is>
          <t>F10</t>
        </is>
      </c>
      <c r="B41" s="1" t="n">
        <v>70</v>
      </c>
      <c r="C41" s="1" t="inlineStr">
        <is>
          <t>STANDARD</t>
        </is>
      </c>
      <c r="D41" s="1" t="inlineStr">
        <is>
          <t>STD 0.003</t>
        </is>
      </c>
      <c r="E41" s="1" t="inlineStr">
        <is>
          <t>CHO</t>
        </is>
      </c>
      <c r="F41" s="1" t="n">
        <v>29.5618</v>
      </c>
      <c r="G41" s="7" t="n">
        <v>29.7218</v>
      </c>
      <c r="H41" s="1" t="n">
        <v>0.47</v>
      </c>
      <c r="I41" s="7" t="n">
        <v>0.1389</v>
      </c>
      <c r="J41" s="1" t="n">
        <v>0.003</v>
      </c>
      <c r="K41" s="1" t="n">
        <v>1</v>
      </c>
      <c r="L41" s="1" t="n">
        <v>0.9998</v>
      </c>
      <c r="M41" s="1" t="n">
        <v>-3.3008</v>
      </c>
      <c r="N41" s="1" t="n">
        <v>21.3153</v>
      </c>
      <c r="O41" s="1" t="n">
        <v>0</v>
      </c>
      <c r="P41" s="1" t="n">
        <v>0</v>
      </c>
      <c r="Q41" s="1" t="n">
        <v>0.207</v>
      </c>
      <c r="R41" s="1" t="inlineStr">
        <is>
          <t>true</t>
        </is>
      </c>
      <c r="S41" s="1" t="n">
        <v>1</v>
      </c>
      <c r="T41" s="1" t="inlineStr">
        <is>
          <t>Yes</t>
        </is>
      </c>
      <c r="U41" s="1" t="n">
        <v>3</v>
      </c>
      <c r="V41" s="1" t="n">
        <v>23</v>
      </c>
      <c r="W41" s="1" t="n">
        <v>0</v>
      </c>
      <c r="X41" s="1" t="n">
        <v>0.0032</v>
      </c>
      <c r="Y41" s="1" t="n">
        <v>0.0028</v>
      </c>
      <c r="Z41" s="1" t="n">
        <v>9.94</v>
      </c>
      <c r="AA41" s="1" t="n">
        <v>0.0003</v>
      </c>
      <c r="AB41" s="1" t="n">
        <v>-5.82</v>
      </c>
      <c r="AC41" s="1" t="n">
        <v>5.0557</v>
      </c>
      <c r="AD41" s="1" t="inlineStr">
        <is>
          <t>Linear</t>
        </is>
      </c>
      <c r="AE41" s="1" t="n">
        <v>100.89</v>
      </c>
      <c r="AF41" s="1" t="inlineStr">
        <is>
          <t>Amplification</t>
        </is>
      </c>
      <c r="AG41" s="1" t="inlineStr">
        <is>
          <t>N</t>
        </is>
      </c>
      <c r="AH41" s="1" t="inlineStr">
        <is>
          <t>N</t>
        </is>
      </c>
      <c r="AI41" s="1" t="inlineStr">
        <is>
          <t>N</t>
        </is>
      </c>
      <c r="AJ41" s="1" t="inlineStr">
        <is>
          <t>N</t>
        </is>
      </c>
      <c r="AL41" s="13">
        <f>IF(H41&lt;5,"PASS","FAIL")</f>
        <v/>
      </c>
      <c r="AM41" s="13">
        <f>IF(L41&gt;=0.99,"PASS","FAIL")</f>
        <v/>
      </c>
      <c r="AN41" s="14">
        <f>IF(AND(AE41&gt;=90,AE41&lt;=110),"PASS","FAIL")</f>
        <v/>
      </c>
      <c r="AO41" s="16">
        <f>IF(ABS(AB41)&lt;=25,"PASS","FAIL")</f>
        <v/>
      </c>
    </row>
    <row r="42">
      <c r="A42" s="2" t="inlineStr">
        <is>
          <t>F11</t>
        </is>
      </c>
      <c r="B42" s="2" t="n">
        <v>71</v>
      </c>
      <c r="C42" s="2" t="inlineStr">
        <is>
          <t>STANDARD</t>
        </is>
      </c>
      <c r="D42" s="2" t="inlineStr">
        <is>
          <t>STD 0.003</t>
        </is>
      </c>
      <c r="E42" s="2" t="inlineStr">
        <is>
          <t>CHO</t>
        </is>
      </c>
      <c r="F42" s="2" t="n">
        <v>29.8118</v>
      </c>
      <c r="G42" s="7" t="n">
        <v>29.7218</v>
      </c>
      <c r="H42" s="2" t="n">
        <v>0.47</v>
      </c>
      <c r="I42" s="7" t="n">
        <v>0.1389</v>
      </c>
      <c r="J42" s="2" t="n">
        <v>0.003</v>
      </c>
      <c r="K42" s="2" t="n">
        <v>1</v>
      </c>
      <c r="L42" s="2" t="n">
        <v>0.9998</v>
      </c>
      <c r="M42" s="2" t="n">
        <v>-3.3008</v>
      </c>
      <c r="N42" s="2" t="n">
        <v>21.3153</v>
      </c>
      <c r="O42" s="2" t="n">
        <v>0</v>
      </c>
      <c r="P42" s="2" t="n">
        <v>0</v>
      </c>
      <c r="Q42" s="2" t="n">
        <v>0.207</v>
      </c>
      <c r="R42" s="2" t="inlineStr">
        <is>
          <t>true</t>
        </is>
      </c>
      <c r="S42" s="2" t="n">
        <v>1</v>
      </c>
      <c r="T42" s="2" t="inlineStr">
        <is>
          <t>Yes</t>
        </is>
      </c>
      <c r="U42" s="2" t="n">
        <v>3</v>
      </c>
      <c r="V42" s="2" t="n">
        <v>22</v>
      </c>
      <c r="W42" s="2" t="n">
        <v>0</v>
      </c>
      <c r="X42" s="2" t="n">
        <v>0.0027</v>
      </c>
      <c r="Y42" s="2" t="n">
        <v>0.0028</v>
      </c>
      <c r="Z42" s="2" t="n">
        <v>9.94</v>
      </c>
      <c r="AA42" s="2" t="n">
        <v>0.0003</v>
      </c>
      <c r="AB42" s="2" t="n">
        <v>11.12</v>
      </c>
      <c r="AC42" s="2" t="n">
        <v>5.0557</v>
      </c>
      <c r="AD42" s="2" t="inlineStr">
        <is>
          <t>Linear</t>
        </is>
      </c>
      <c r="AE42" s="2" t="n">
        <v>100.89</v>
      </c>
      <c r="AF42" s="2" t="inlineStr">
        <is>
          <t>Amplification</t>
        </is>
      </c>
      <c r="AG42" s="2" t="inlineStr">
        <is>
          <t>N</t>
        </is>
      </c>
      <c r="AH42" s="2" t="inlineStr">
        <is>
          <t>N</t>
        </is>
      </c>
      <c r="AI42" s="2" t="inlineStr">
        <is>
          <t>N</t>
        </is>
      </c>
      <c r="AJ42" s="2" t="inlineStr">
        <is>
          <t>N</t>
        </is>
      </c>
      <c r="AL42" s="13">
        <f>IF(H42&lt;5,"PASS","FAIL")</f>
        <v/>
      </c>
      <c r="AM42" s="13">
        <f>IF(L42&gt;=0.99,"PASS","FAIL")</f>
        <v/>
      </c>
      <c r="AN42" s="14">
        <f>IF(AND(AE42&gt;=90,AE42&lt;=110),"PASS","FAIL")</f>
        <v/>
      </c>
      <c r="AO42" s="16">
        <f>IF(ABS(AB42)&lt;=25,"PASS","FAIL")</f>
        <v/>
      </c>
    </row>
    <row r="43">
      <c r="A43" s="1" t="inlineStr">
        <is>
          <t>F12</t>
        </is>
      </c>
      <c r="B43" s="1" t="n">
        <v>72</v>
      </c>
      <c r="C43" s="1" t="inlineStr">
        <is>
          <t>STANDARD</t>
        </is>
      </c>
      <c r="D43" s="1" t="inlineStr">
        <is>
          <t>STD 0.003</t>
        </is>
      </c>
      <c r="E43" s="1" t="inlineStr">
        <is>
          <t>CHO</t>
        </is>
      </c>
      <c r="F43" s="1" t="n">
        <v>29.7917</v>
      </c>
      <c r="G43" s="7" t="n">
        <v>29.7218</v>
      </c>
      <c r="H43" s="1" t="n">
        <v>0.47</v>
      </c>
      <c r="I43" s="7" t="n">
        <v>0.1389</v>
      </c>
      <c r="J43" s="1" t="n">
        <v>0.003</v>
      </c>
      <c r="K43" s="1" t="n">
        <v>1</v>
      </c>
      <c r="L43" s="1" t="n">
        <v>0.9998</v>
      </c>
      <c r="M43" s="1" t="n">
        <v>-3.3008</v>
      </c>
      <c r="N43" s="1" t="n">
        <v>21.3153</v>
      </c>
      <c r="O43" s="1" t="n">
        <v>0</v>
      </c>
      <c r="P43" s="1" t="n">
        <v>0</v>
      </c>
      <c r="Q43" s="1" t="n">
        <v>0.207</v>
      </c>
      <c r="R43" s="1" t="inlineStr">
        <is>
          <t>true</t>
        </is>
      </c>
      <c r="S43" s="1" t="n">
        <v>1</v>
      </c>
      <c r="T43" s="1" t="inlineStr">
        <is>
          <t>Yes</t>
        </is>
      </c>
      <c r="U43" s="1" t="n">
        <v>3</v>
      </c>
      <c r="V43" s="1" t="n">
        <v>23</v>
      </c>
      <c r="W43" s="1" t="n">
        <v>0</v>
      </c>
      <c r="X43" s="1" t="n">
        <v>0.0027</v>
      </c>
      <c r="Y43" s="1" t="n">
        <v>0.0028</v>
      </c>
      <c r="Z43" s="1" t="n">
        <v>9.94</v>
      </c>
      <c r="AA43" s="1" t="n">
        <v>0.0003</v>
      </c>
      <c r="AB43" s="1" t="n">
        <v>9.859999999999999</v>
      </c>
      <c r="AC43" s="1" t="n">
        <v>5.0557</v>
      </c>
      <c r="AD43" s="1" t="inlineStr">
        <is>
          <t>Linear</t>
        </is>
      </c>
      <c r="AE43" s="1" t="n">
        <v>100.89</v>
      </c>
      <c r="AF43" s="1" t="inlineStr">
        <is>
          <t>Amplification</t>
        </is>
      </c>
      <c r="AG43" s="1" t="inlineStr">
        <is>
          <t>N</t>
        </is>
      </c>
      <c r="AH43" s="1" t="inlineStr">
        <is>
          <t>N</t>
        </is>
      </c>
      <c r="AI43" s="1" t="inlineStr">
        <is>
          <t>N</t>
        </is>
      </c>
      <c r="AJ43" s="1" t="inlineStr">
        <is>
          <t>N</t>
        </is>
      </c>
      <c r="AL43" s="13">
        <f>IF(H43&lt;5,"PASS","FAIL")</f>
        <v/>
      </c>
      <c r="AM43" s="13">
        <f>IF(L43&gt;=0.99,"PASS","FAIL")</f>
        <v/>
      </c>
      <c r="AN43" s="14">
        <f>IF(AND(AE43&gt;=90,AE43&lt;=110),"PASS","FAIL")</f>
        <v/>
      </c>
      <c r="AO43" s="16">
        <f>IF(ABS(AB43)&lt;=25,"PASS","FAIL")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AB23"/>
  <sheetViews>
    <sheetView topLeftCell="F3" workbookViewId="0">
      <selection activeCell="AA14" sqref="AA14:AB23"/>
    </sheetView>
  </sheetViews>
  <sheetFormatPr baseColWidth="8" defaultRowHeight="12.75"/>
  <cols>
    <col width="16.28515625" customWidth="1" min="6" max="6"/>
    <col width="13.5703125" customWidth="1" min="10" max="10"/>
    <col width="13.140625" customWidth="1" min="12" max="12"/>
    <col width="13.28515625" customWidth="1" min="13" max="13"/>
    <col width="13.5703125" customWidth="1" min="14" max="14"/>
    <col width="13.42578125" customWidth="1" min="15" max="15"/>
    <col width="13.28515625" customWidth="1" min="20" max="20"/>
    <col width="15.7109375" customWidth="1" min="21" max="21"/>
    <col width="13.85546875" customWidth="1" min="27" max="27"/>
    <col width="16.7109375" customWidth="1" min="28" max="28"/>
  </cols>
  <sheetData>
    <row r="6">
      <c r="C6" s="17" t="inlineStr">
        <is>
          <t xml:space="preserve">*Note: Amplification in FB. Solution turned cloudy when LA was added before incubation. Suppect contamination. </t>
        </is>
      </c>
    </row>
    <row r="10">
      <c r="F10" s="6" t="inlineStr">
        <is>
          <t>R2</t>
        </is>
      </c>
      <c r="G10" s="6" t="inlineStr">
        <is>
          <t>Slope</t>
        </is>
      </c>
      <c r="H10" s="6" t="inlineStr">
        <is>
          <t>Y-Intercept</t>
        </is>
      </c>
      <c r="I10" s="6" t="inlineStr">
        <is>
          <t>Efficiency</t>
        </is>
      </c>
      <c r="J10" s="6" t="inlineStr">
        <is>
          <t>Ct Mean</t>
        </is>
      </c>
      <c r="K10" s="6" t="inlineStr">
        <is>
          <t>Ct SD</t>
        </is>
      </c>
      <c r="L10" s="6" t="inlineStr">
        <is>
          <t>LOD</t>
        </is>
      </c>
      <c r="M10" s="6" t="inlineStr">
        <is>
          <t>LOD Conc</t>
        </is>
      </c>
      <c r="N10" s="6" t="inlineStr">
        <is>
          <t>LOQ</t>
        </is>
      </c>
      <c r="O10" s="6" t="inlineStr">
        <is>
          <t>LOQ Conc</t>
        </is>
      </c>
      <c r="P10" s="9" t="inlineStr">
        <is>
          <t>Ct at LOQ</t>
        </is>
      </c>
    </row>
    <row r="11">
      <c r="F11" s="5" t="n">
        <v>0.9998</v>
      </c>
      <c r="G11" s="5" t="n">
        <v>-3.3008</v>
      </c>
      <c r="H11" s="5" t="n">
        <v>21.3153</v>
      </c>
      <c r="I11" s="5" t="n">
        <v>100.89</v>
      </c>
      <c r="J11" s="5" t="n">
        <v>29.7218</v>
      </c>
      <c r="K11" s="5" t="n">
        <v>0.1389</v>
      </c>
      <c r="L11" s="8" t="n">
        <v>0.1388663354338342</v>
      </c>
      <c r="M11" s="8" t="n">
        <v>1.376785664796496</v>
      </c>
      <c r="N11" s="8" t="n">
        <v>0.4208070770722249</v>
      </c>
      <c r="O11" s="8" t="n">
        <v>2.635160530933161</v>
      </c>
      <c r="P11" s="5" t="n">
        <v>19.9263</v>
      </c>
    </row>
    <row r="14" ht="25.5" customHeight="1">
      <c r="A14" s="35" t="inlineStr">
        <is>
          <t>Well</t>
        </is>
      </c>
      <c r="B14" s="35" t="inlineStr">
        <is>
          <t>Well Position</t>
        </is>
      </c>
      <c r="C14" s="35" t="inlineStr">
        <is>
          <t>Task</t>
        </is>
      </c>
      <c r="D14" s="35" t="inlineStr">
        <is>
          <t>Sample Name</t>
        </is>
      </c>
      <c r="E14" s="35" t="inlineStr">
        <is>
          <t>Target Name</t>
        </is>
      </c>
      <c r="F14" s="4" t="inlineStr">
        <is>
          <t>Ct</t>
        </is>
      </c>
      <c r="G14" s="4" t="inlineStr">
        <is>
          <t>Dilution Factor</t>
        </is>
      </c>
      <c r="H14" s="4" t="inlineStr">
        <is>
          <t>R2</t>
        </is>
      </c>
      <c r="I14" s="4" t="inlineStr">
        <is>
          <t>Slope</t>
        </is>
      </c>
      <c r="J14" s="4" t="inlineStr">
        <is>
          <t>Y-Intercept</t>
        </is>
      </c>
      <c r="K14" s="35" t="inlineStr">
        <is>
          <t>Flag</t>
        </is>
      </c>
      <c r="L14" s="35" t="inlineStr">
        <is>
          <t>Ct Threshold</t>
        </is>
      </c>
      <c r="M14" s="35" t="inlineStr">
        <is>
          <t>Automatic Ct Threshold</t>
        </is>
      </c>
      <c r="N14" s="35" t="inlineStr">
        <is>
          <t>CQ Confidence</t>
        </is>
      </c>
      <c r="O14" s="35" t="inlineStr">
        <is>
          <t>Automatic Baseline</t>
        </is>
      </c>
      <c r="P14" s="35" t="inlineStr">
        <is>
          <t>Baseline Start</t>
        </is>
      </c>
      <c r="Q14" s="35" t="inlineStr">
        <is>
          <t>Baseline End</t>
        </is>
      </c>
      <c r="R14" s="4" t="inlineStr">
        <is>
          <t>Spike Input</t>
        </is>
      </c>
      <c r="S14" s="35" t="inlineStr">
        <is>
          <t>Fit</t>
        </is>
      </c>
      <c r="T14" s="4" t="inlineStr">
        <is>
          <t>Amplification Efficiency</t>
        </is>
      </c>
      <c r="U14" s="4" t="inlineStr">
        <is>
          <t>Amplification Status</t>
        </is>
      </c>
      <c r="V14" s="4" t="inlineStr">
        <is>
          <t>AMPNC</t>
        </is>
      </c>
      <c r="W14" s="35" t="inlineStr">
        <is>
          <t>NOAMP</t>
        </is>
      </c>
      <c r="X14" s="35" t="inlineStr">
        <is>
          <t>EXPFAIL</t>
        </is>
      </c>
      <c r="Y14" s="35" t="inlineStr">
        <is>
          <t>CQCONF</t>
        </is>
      </c>
      <c r="AA14" s="12" t="inlineStr">
        <is>
          <t>NEC Ct &gt;= LOQ Ct</t>
        </is>
      </c>
      <c r="AB14" s="12" t="inlineStr">
        <is>
          <t>NTC Ct Undetermined</t>
        </is>
      </c>
    </row>
    <row r="15">
      <c r="A15" s="2" t="inlineStr">
        <is>
          <t>A1</t>
        </is>
      </c>
      <c r="B15" s="2" t="n">
        <v>1</v>
      </c>
      <c r="C15" s="2" t="inlineStr">
        <is>
          <t>NTC</t>
        </is>
      </c>
      <c r="D15" s="2" t="inlineStr">
        <is>
          <t>NTC</t>
        </is>
      </c>
      <c r="E15" s="2" t="inlineStr">
        <is>
          <t>CHO</t>
        </is>
      </c>
      <c r="F15" s="2" t="inlineStr">
        <is>
          <t>Undetermined</t>
        </is>
      </c>
      <c r="G15" s="2" t="n">
        <v>1</v>
      </c>
      <c r="H15" s="2" t="n">
        <v>0.9998</v>
      </c>
      <c r="I15" s="2" t="n">
        <v>-3.3008</v>
      </c>
      <c r="J15" s="2" t="n">
        <v>21.3153</v>
      </c>
      <c r="K15" s="2" t="n">
        <v>0</v>
      </c>
      <c r="L15" s="2" t="n">
        <v>0.207</v>
      </c>
      <c r="M15" s="2" t="inlineStr">
        <is>
          <t>true</t>
        </is>
      </c>
      <c r="N15" s="2" t="n">
        <v>0</v>
      </c>
      <c r="O15" s="2" t="inlineStr">
        <is>
          <t>Yes</t>
        </is>
      </c>
      <c r="P15" s="2" t="n">
        <v>3</v>
      </c>
      <c r="Q15" s="2" t="n">
        <v>39</v>
      </c>
      <c r="R15" s="2" t="n">
        <v>0</v>
      </c>
      <c r="S15" s="2" t="inlineStr">
        <is>
          <t>Linear</t>
        </is>
      </c>
      <c r="T15" s="2" t="n">
        <v>100.89</v>
      </c>
      <c r="U15" s="2" t="inlineStr">
        <is>
          <t>No Amp</t>
        </is>
      </c>
      <c r="V15" s="2" t="inlineStr">
        <is>
          <t>N</t>
        </is>
      </c>
      <c r="W15" s="2" t="inlineStr">
        <is>
          <t>N</t>
        </is>
      </c>
      <c r="X15" s="2" t="inlineStr">
        <is>
          <t>N</t>
        </is>
      </c>
      <c r="Y15" s="2" t="inlineStr">
        <is>
          <t>N</t>
        </is>
      </c>
      <c r="AA15" s="16">
        <f>IF(F15 &gt; $P$11,"PASS","FAIL")</f>
        <v/>
      </c>
      <c r="AB15" s="16">
        <f>IF(F15="Undetermined","PASS","FAIL")</f>
        <v/>
      </c>
    </row>
    <row r="16">
      <c r="A16" s="1" t="inlineStr">
        <is>
          <t>A2</t>
        </is>
      </c>
      <c r="B16" s="1" t="n">
        <v>2</v>
      </c>
      <c r="C16" s="1" t="inlineStr">
        <is>
          <t>NTC</t>
        </is>
      </c>
      <c r="D16" s="1" t="inlineStr">
        <is>
          <t>NTC</t>
        </is>
      </c>
      <c r="E16" s="1" t="inlineStr">
        <is>
          <t>CHO</t>
        </is>
      </c>
      <c r="F16" s="1" t="inlineStr">
        <is>
          <t>Undetermined</t>
        </is>
      </c>
      <c r="G16" s="1" t="n">
        <v>1</v>
      </c>
      <c r="H16" s="1" t="n">
        <v>0.9998</v>
      </c>
      <c r="I16" s="1" t="n">
        <v>-3.3008</v>
      </c>
      <c r="J16" s="1" t="n">
        <v>21.3153</v>
      </c>
      <c r="K16" s="1" t="n">
        <v>0</v>
      </c>
      <c r="L16" s="1" t="n">
        <v>0.207</v>
      </c>
      <c r="M16" s="1" t="inlineStr">
        <is>
          <t>true</t>
        </is>
      </c>
      <c r="N16" s="1" t="n">
        <v>0</v>
      </c>
      <c r="O16" s="1" t="inlineStr">
        <is>
          <t>Yes</t>
        </is>
      </c>
      <c r="P16" s="1" t="n">
        <v>3</v>
      </c>
      <c r="Q16" s="1" t="n">
        <v>39</v>
      </c>
      <c r="R16" s="1" t="n">
        <v>0</v>
      </c>
      <c r="S16" s="1" t="inlineStr">
        <is>
          <t>Linear</t>
        </is>
      </c>
      <c r="T16" s="1" t="n">
        <v>100.89</v>
      </c>
      <c r="U16" s="1" t="inlineStr">
        <is>
          <t>No Amp</t>
        </is>
      </c>
      <c r="V16" s="1" t="inlineStr">
        <is>
          <t>N</t>
        </is>
      </c>
      <c r="W16" s="1" t="inlineStr">
        <is>
          <t>N</t>
        </is>
      </c>
      <c r="X16" s="1" t="inlineStr">
        <is>
          <t>N</t>
        </is>
      </c>
      <c r="Y16" s="1" t="inlineStr">
        <is>
          <t>N</t>
        </is>
      </c>
      <c r="AA16" s="16">
        <f>IF(F16 &gt; $P$11,"PASS","FAIL")</f>
        <v/>
      </c>
      <c r="AB16" s="16">
        <f>IF(F16="Undetermined","PASS","FAIL")</f>
        <v/>
      </c>
    </row>
    <row r="17">
      <c r="A17" s="2" t="inlineStr">
        <is>
          <t>A3</t>
        </is>
      </c>
      <c r="B17" s="2" t="n">
        <v>3</v>
      </c>
      <c r="C17" s="2" t="inlineStr">
        <is>
          <t>NTC</t>
        </is>
      </c>
      <c r="D17" s="2" t="inlineStr">
        <is>
          <t>NTC</t>
        </is>
      </c>
      <c r="E17" s="2" t="inlineStr">
        <is>
          <t>CHO</t>
        </is>
      </c>
      <c r="F17" s="2" t="inlineStr">
        <is>
          <t>Undetermined</t>
        </is>
      </c>
      <c r="G17" s="2" t="n">
        <v>1</v>
      </c>
      <c r="H17" s="2" t="n">
        <v>0.9998</v>
      </c>
      <c r="I17" s="2" t="n">
        <v>-3.3008</v>
      </c>
      <c r="J17" s="2" t="n">
        <v>21.3153</v>
      </c>
      <c r="K17" s="2" t="n">
        <v>0</v>
      </c>
      <c r="L17" s="2" t="n">
        <v>0.207</v>
      </c>
      <c r="M17" s="2" t="inlineStr">
        <is>
          <t>true</t>
        </is>
      </c>
      <c r="N17" s="2" t="n">
        <v>0</v>
      </c>
      <c r="O17" s="2" t="inlineStr">
        <is>
          <t>Yes</t>
        </is>
      </c>
      <c r="P17" s="2" t="n">
        <v>3</v>
      </c>
      <c r="Q17" s="2" t="n">
        <v>39</v>
      </c>
      <c r="R17" s="2" t="n">
        <v>0</v>
      </c>
      <c r="S17" s="2" t="inlineStr">
        <is>
          <t>Linear</t>
        </is>
      </c>
      <c r="T17" s="2" t="n">
        <v>100.89</v>
      </c>
      <c r="U17" s="2" t="inlineStr">
        <is>
          <t>No Amp</t>
        </is>
      </c>
      <c r="V17" s="2" t="inlineStr">
        <is>
          <t>N</t>
        </is>
      </c>
      <c r="W17" s="2" t="inlineStr">
        <is>
          <t>N</t>
        </is>
      </c>
      <c r="X17" s="2" t="inlineStr">
        <is>
          <t>N</t>
        </is>
      </c>
      <c r="Y17" s="2" t="inlineStr">
        <is>
          <t>N</t>
        </is>
      </c>
      <c r="AA17" s="16">
        <f>IF(F17 &gt; $P$11,"PASS","FAIL")</f>
        <v/>
      </c>
      <c r="AB17" s="16">
        <f>IF(F17="Undetermined","PASS","FAIL")</f>
        <v/>
      </c>
    </row>
    <row r="18">
      <c r="A18" s="2" t="inlineStr">
        <is>
          <t>B1</t>
        </is>
      </c>
      <c r="B18" s="2" t="n">
        <v>13</v>
      </c>
      <c r="C18" s="2" t="inlineStr">
        <is>
          <t>NTC</t>
        </is>
      </c>
      <c r="D18" s="2" t="inlineStr">
        <is>
          <t>NEC - FB</t>
        </is>
      </c>
      <c r="E18" s="2" t="inlineStr">
        <is>
          <t>CHO</t>
        </is>
      </c>
      <c r="F18" s="7" t="n">
        <v>28.6104</v>
      </c>
      <c r="G18" s="2" t="n">
        <v>1</v>
      </c>
      <c r="H18" s="2" t="n">
        <v>0.9998</v>
      </c>
      <c r="I18" s="2" t="n">
        <v>-3.3008</v>
      </c>
      <c r="J18" s="2" t="n">
        <v>21.3153</v>
      </c>
      <c r="K18" s="2" t="n">
        <v>1</v>
      </c>
      <c r="L18" s="2" t="n">
        <v>0.207</v>
      </c>
      <c r="M18" s="2" t="inlineStr">
        <is>
          <t>true</t>
        </is>
      </c>
      <c r="N18" s="2" t="n">
        <v>1</v>
      </c>
      <c r="O18" s="2" t="inlineStr">
        <is>
          <t>Yes</t>
        </is>
      </c>
      <c r="P18" s="2" t="n">
        <v>3</v>
      </c>
      <c r="Q18" s="2" t="n">
        <v>23</v>
      </c>
      <c r="R18" s="2" t="n">
        <v>0</v>
      </c>
      <c r="S18" s="2" t="inlineStr">
        <is>
          <t>Linear</t>
        </is>
      </c>
      <c r="T18" s="2" t="n">
        <v>100.89</v>
      </c>
      <c r="U18" s="7" t="inlineStr">
        <is>
          <t>Amplification</t>
        </is>
      </c>
      <c r="V18" s="7" t="inlineStr">
        <is>
          <t>Y</t>
        </is>
      </c>
      <c r="W18" s="2" t="inlineStr">
        <is>
          <t>N</t>
        </is>
      </c>
      <c r="X18" s="2" t="inlineStr">
        <is>
          <t>N</t>
        </is>
      </c>
      <c r="Y18" s="2" t="inlineStr">
        <is>
          <t>N</t>
        </is>
      </c>
      <c r="AA18" s="16">
        <f>IF(F18 &gt; $P$11,"PASS","FAIL")</f>
        <v/>
      </c>
      <c r="AB18" s="15" t="n"/>
    </row>
    <row r="19">
      <c r="A19" s="1" t="inlineStr">
        <is>
          <t>B2</t>
        </is>
      </c>
      <c r="B19" s="1" t="n">
        <v>14</v>
      </c>
      <c r="C19" s="1" t="inlineStr">
        <is>
          <t>NTC</t>
        </is>
      </c>
      <c r="D19" s="1" t="inlineStr">
        <is>
          <t>NEC - FB</t>
        </is>
      </c>
      <c r="E19" s="1" t="inlineStr">
        <is>
          <t>CHO</t>
        </is>
      </c>
      <c r="F19" s="7" t="n">
        <v>28.5299</v>
      </c>
      <c r="G19" s="1" t="n">
        <v>1</v>
      </c>
      <c r="H19" s="1" t="n">
        <v>0.9998</v>
      </c>
      <c r="I19" s="1" t="n">
        <v>-3.3008</v>
      </c>
      <c r="J19" s="1" t="n">
        <v>21.3153</v>
      </c>
      <c r="K19" s="1" t="n">
        <v>1</v>
      </c>
      <c r="L19" s="1" t="n">
        <v>0.207</v>
      </c>
      <c r="M19" s="1" t="inlineStr">
        <is>
          <t>true</t>
        </is>
      </c>
      <c r="N19" s="1" t="n">
        <v>1</v>
      </c>
      <c r="O19" s="1" t="inlineStr">
        <is>
          <t>Yes</t>
        </is>
      </c>
      <c r="P19" s="1" t="n">
        <v>3</v>
      </c>
      <c r="Q19" s="1" t="n">
        <v>22</v>
      </c>
      <c r="R19" s="1" t="n">
        <v>0</v>
      </c>
      <c r="S19" s="1" t="inlineStr">
        <is>
          <t>Linear</t>
        </is>
      </c>
      <c r="T19" s="1" t="n">
        <v>100.89</v>
      </c>
      <c r="U19" s="7" t="inlineStr">
        <is>
          <t>Amplification</t>
        </is>
      </c>
      <c r="V19" s="7" t="inlineStr">
        <is>
          <t>Y</t>
        </is>
      </c>
      <c r="W19" s="1" t="inlineStr">
        <is>
          <t>N</t>
        </is>
      </c>
      <c r="X19" s="1" t="inlineStr">
        <is>
          <t>N</t>
        </is>
      </c>
      <c r="Y19" s="1" t="inlineStr">
        <is>
          <t>N</t>
        </is>
      </c>
      <c r="AA19" s="16">
        <f>IF(F19 &gt; $P$11,"PASS","FAIL")</f>
        <v/>
      </c>
      <c r="AB19" s="15" t="n"/>
    </row>
    <row r="20">
      <c r="A20" s="2" t="inlineStr">
        <is>
          <t>B3</t>
        </is>
      </c>
      <c r="B20" s="2" t="n">
        <v>15</v>
      </c>
      <c r="C20" s="2" t="inlineStr">
        <is>
          <t>NTC</t>
        </is>
      </c>
      <c r="D20" s="2" t="inlineStr">
        <is>
          <t>NEC - FB</t>
        </is>
      </c>
      <c r="E20" s="2" t="inlineStr">
        <is>
          <t>CHO</t>
        </is>
      </c>
      <c r="F20" s="7" t="n">
        <v>28.4455</v>
      </c>
      <c r="G20" s="2" t="n">
        <v>1</v>
      </c>
      <c r="H20" s="2" t="n">
        <v>0.9998</v>
      </c>
      <c r="I20" s="2" t="n">
        <v>-3.3008</v>
      </c>
      <c r="J20" s="2" t="n">
        <v>21.3153</v>
      </c>
      <c r="K20" s="2" t="n">
        <v>1</v>
      </c>
      <c r="L20" s="2" t="n">
        <v>0.207</v>
      </c>
      <c r="M20" s="2" t="inlineStr">
        <is>
          <t>true</t>
        </is>
      </c>
      <c r="N20" s="2" t="n">
        <v>1</v>
      </c>
      <c r="O20" s="2" t="inlineStr">
        <is>
          <t>Yes</t>
        </is>
      </c>
      <c r="P20" s="2" t="n">
        <v>3</v>
      </c>
      <c r="Q20" s="2" t="n">
        <v>22</v>
      </c>
      <c r="R20" s="2" t="n">
        <v>0</v>
      </c>
      <c r="S20" s="2" t="inlineStr">
        <is>
          <t>Linear</t>
        </is>
      </c>
      <c r="T20" s="2" t="n">
        <v>100.89</v>
      </c>
      <c r="U20" s="7" t="inlineStr">
        <is>
          <t>Amplification</t>
        </is>
      </c>
      <c r="V20" s="7" t="inlineStr">
        <is>
          <t>Y</t>
        </is>
      </c>
      <c r="W20" s="2" t="inlineStr">
        <is>
          <t>N</t>
        </is>
      </c>
      <c r="X20" s="2" t="inlineStr">
        <is>
          <t>N</t>
        </is>
      </c>
      <c r="Y20" s="2" t="inlineStr">
        <is>
          <t>N</t>
        </is>
      </c>
      <c r="AA20" s="16">
        <f>IF(F20 &gt; $P$11,"PASS","FAIL")</f>
        <v/>
      </c>
      <c r="AB20" s="15" t="n"/>
    </row>
    <row r="21">
      <c r="A21" s="2" t="inlineStr">
        <is>
          <t>C1</t>
        </is>
      </c>
      <c r="B21" s="2" t="n">
        <v>25</v>
      </c>
      <c r="C21" s="2" t="inlineStr">
        <is>
          <t>NTC</t>
        </is>
      </c>
      <c r="D21" s="2" t="inlineStr">
        <is>
          <t>NEC - PBS</t>
        </is>
      </c>
      <c r="E21" s="2" t="inlineStr">
        <is>
          <t>CHO</t>
        </is>
      </c>
      <c r="F21" s="2" t="inlineStr">
        <is>
          <t>Undetermined</t>
        </is>
      </c>
      <c r="G21" s="2" t="n">
        <v>1</v>
      </c>
      <c r="H21" s="2" t="n">
        <v>0.9998</v>
      </c>
      <c r="I21" s="2" t="n">
        <v>-3.3008</v>
      </c>
      <c r="J21" s="2" t="n">
        <v>21.3153</v>
      </c>
      <c r="K21" s="2" t="n">
        <v>0</v>
      </c>
      <c r="L21" s="2" t="n">
        <v>0.207</v>
      </c>
      <c r="M21" s="2" t="inlineStr">
        <is>
          <t>true</t>
        </is>
      </c>
      <c r="N21" s="2" t="n">
        <v>0</v>
      </c>
      <c r="O21" s="2" t="inlineStr">
        <is>
          <t>Yes</t>
        </is>
      </c>
      <c r="P21" s="2" t="n">
        <v>3</v>
      </c>
      <c r="Q21" s="2" t="n">
        <v>29</v>
      </c>
      <c r="R21" s="2" t="n">
        <v>0</v>
      </c>
      <c r="S21" s="2" t="inlineStr">
        <is>
          <t>Linear</t>
        </is>
      </c>
      <c r="T21" s="2" t="n">
        <v>100.89</v>
      </c>
      <c r="U21" s="2" t="inlineStr">
        <is>
          <t>No Amp</t>
        </is>
      </c>
      <c r="V21" s="2" t="inlineStr">
        <is>
          <t>N</t>
        </is>
      </c>
      <c r="W21" s="2" t="inlineStr">
        <is>
          <t>N</t>
        </is>
      </c>
      <c r="X21" s="2" t="inlineStr">
        <is>
          <t>N</t>
        </is>
      </c>
      <c r="Y21" s="2" t="inlineStr">
        <is>
          <t>N</t>
        </is>
      </c>
      <c r="AA21" s="16">
        <f>IF(F21 &gt; $P$11,"PASS","FAIL")</f>
        <v/>
      </c>
      <c r="AB21" s="15" t="n"/>
    </row>
    <row r="22">
      <c r="A22" s="1" t="inlineStr">
        <is>
          <t>C2</t>
        </is>
      </c>
      <c r="B22" s="1" t="n">
        <v>26</v>
      </c>
      <c r="C22" s="1" t="inlineStr">
        <is>
          <t>NTC</t>
        </is>
      </c>
      <c r="D22" s="1" t="inlineStr">
        <is>
          <t>NEC - PBS</t>
        </is>
      </c>
      <c r="E22" s="1" t="inlineStr">
        <is>
          <t>CHO</t>
        </is>
      </c>
      <c r="F22" s="1" t="n">
        <v>37.2977</v>
      </c>
      <c r="G22" s="1" t="n">
        <v>1</v>
      </c>
      <c r="H22" s="1" t="n">
        <v>0.9998</v>
      </c>
      <c r="I22" s="1" t="n">
        <v>-3.3008</v>
      </c>
      <c r="J22" s="1" t="n">
        <v>21.3153</v>
      </c>
      <c r="K22" s="1" t="n">
        <v>0</v>
      </c>
      <c r="L22" s="1" t="n">
        <v>0.207</v>
      </c>
      <c r="M22" s="1" t="inlineStr">
        <is>
          <t>true</t>
        </is>
      </c>
      <c r="N22" s="1" t="n">
        <v>1</v>
      </c>
      <c r="O22" s="1" t="inlineStr">
        <is>
          <t>Yes</t>
        </is>
      </c>
      <c r="P22" s="1" t="n">
        <v>3</v>
      </c>
      <c r="Q22" s="1" t="n">
        <v>30</v>
      </c>
      <c r="R22" s="1" t="n">
        <v>0</v>
      </c>
      <c r="S22" s="1" t="inlineStr">
        <is>
          <t>Linear</t>
        </is>
      </c>
      <c r="T22" s="1" t="n">
        <v>100.89</v>
      </c>
      <c r="U22" s="1" t="inlineStr"/>
      <c r="V22" s="1" t="inlineStr">
        <is>
          <t>N</t>
        </is>
      </c>
      <c r="W22" s="1" t="inlineStr">
        <is>
          <t>N</t>
        </is>
      </c>
      <c r="X22" s="1" t="inlineStr">
        <is>
          <t>N</t>
        </is>
      </c>
      <c r="Y22" s="1" t="inlineStr">
        <is>
          <t>N</t>
        </is>
      </c>
      <c r="AA22" s="16">
        <f>IF(F22 &gt; $P$11,"PASS","FAIL")</f>
        <v/>
      </c>
      <c r="AB22" s="15" t="n"/>
    </row>
    <row r="23">
      <c r="A23" s="2" t="inlineStr">
        <is>
          <t>C3</t>
        </is>
      </c>
      <c r="B23" s="2" t="n">
        <v>27</v>
      </c>
      <c r="C23" s="2" t="inlineStr">
        <is>
          <t>NTC</t>
        </is>
      </c>
      <c r="D23" s="2" t="inlineStr">
        <is>
          <t>NEC - PBS</t>
        </is>
      </c>
      <c r="E23" s="2" t="inlineStr">
        <is>
          <t>CHO</t>
        </is>
      </c>
      <c r="F23" s="2" t="n">
        <v>38.9558</v>
      </c>
      <c r="G23" s="2" t="n">
        <v>1</v>
      </c>
      <c r="H23" s="2" t="n">
        <v>0.9998</v>
      </c>
      <c r="I23" s="2" t="n">
        <v>-3.3008</v>
      </c>
      <c r="J23" s="2" t="n">
        <v>21.3153</v>
      </c>
      <c r="K23" s="2" t="n">
        <v>0</v>
      </c>
      <c r="L23" s="2" t="n">
        <v>0.207</v>
      </c>
      <c r="M23" s="2" t="inlineStr">
        <is>
          <t>true</t>
        </is>
      </c>
      <c r="N23" s="2" t="n">
        <v>0</v>
      </c>
      <c r="O23" s="2" t="inlineStr">
        <is>
          <t>Yes</t>
        </is>
      </c>
      <c r="P23" s="2" t="n">
        <v>3</v>
      </c>
      <c r="Q23" s="2" t="n">
        <v>32</v>
      </c>
      <c r="R23" s="2" t="n">
        <v>0</v>
      </c>
      <c r="S23" s="2" t="inlineStr">
        <is>
          <t>Linear</t>
        </is>
      </c>
      <c r="T23" s="2" t="n">
        <v>100.89</v>
      </c>
      <c r="U23" s="2" t="inlineStr">
        <is>
          <t>No Amp</t>
        </is>
      </c>
      <c r="V23" s="2" t="inlineStr">
        <is>
          <t>N</t>
        </is>
      </c>
      <c r="W23" s="2" t="inlineStr">
        <is>
          <t>N</t>
        </is>
      </c>
      <c r="X23" s="2" t="inlineStr">
        <is>
          <t>N</t>
        </is>
      </c>
      <c r="Y23" s="2" t="inlineStr">
        <is>
          <t>N</t>
        </is>
      </c>
      <c r="AA23" s="16">
        <f>IF(F23 &gt; $P$11,"PASS","FAIL")</f>
        <v/>
      </c>
      <c r="AB23" s="1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AP32"/>
  <sheetViews>
    <sheetView topLeftCell="AF10" workbookViewId="0">
      <selection activeCell="AN14" sqref="AN14:AP24"/>
    </sheetView>
  </sheetViews>
  <sheetFormatPr baseColWidth="8" defaultRowHeight="12.75"/>
  <cols>
    <col width="13.140625" customWidth="1" min="3" max="3"/>
    <col width="13.5703125" customWidth="1" min="4" max="4"/>
    <col width="11.5703125" customWidth="1" min="8" max="8"/>
    <col width="13.28515625" customWidth="1" min="9" max="9"/>
    <col width="12" customWidth="1" min="13" max="13"/>
    <col width="13" customWidth="1" min="15" max="15"/>
    <col width="12.42578125" customWidth="1" min="16" max="16"/>
    <col width="13" customWidth="1" min="19" max="19"/>
    <col width="12.140625" customWidth="1" min="20" max="20"/>
    <col width="13.5703125" customWidth="1" min="22" max="23"/>
    <col width="13.28515625" customWidth="1" min="24" max="24"/>
    <col width="13.85546875" customWidth="1" min="25" max="25"/>
    <col width="12.28515625" customWidth="1" min="28" max="28"/>
    <col width="12.7109375" customWidth="1" min="29" max="29"/>
    <col width="15.5703125" customWidth="1" min="32" max="32"/>
    <col width="16.140625" customWidth="1" min="33" max="33"/>
    <col width="15.28515625" customWidth="1" min="40" max="40"/>
    <col width="13.5703125" customWidth="1" min="41" max="41"/>
    <col width="13.140625" customWidth="1" min="42" max="42"/>
  </cols>
  <sheetData>
    <row r="4">
      <c r="C4" s="17" t="inlineStr">
        <is>
          <t xml:space="preserve">Conclusion: </t>
        </is>
      </c>
      <c r="D4" s="17" t="inlineStr">
        <is>
          <t>Widen criteria for extraction recovery: 55% - 80%</t>
        </is>
      </c>
    </row>
    <row r="10">
      <c r="F10" s="6" t="inlineStr">
        <is>
          <t>R2</t>
        </is>
      </c>
      <c r="G10" s="6" t="inlineStr">
        <is>
          <t>Slope</t>
        </is>
      </c>
      <c r="H10" s="6" t="inlineStr">
        <is>
          <t>Y-Intercept</t>
        </is>
      </c>
      <c r="I10" s="6" t="inlineStr">
        <is>
          <t>Efficiency</t>
        </is>
      </c>
      <c r="J10" s="6" t="inlineStr">
        <is>
          <t>Ct Mean</t>
        </is>
      </c>
      <c r="K10" s="6" t="inlineStr">
        <is>
          <t>Ct SD</t>
        </is>
      </c>
      <c r="L10" s="6" t="inlineStr">
        <is>
          <t>LOD</t>
        </is>
      </c>
      <c r="M10" s="6" t="inlineStr">
        <is>
          <t>LOD Conc</t>
        </is>
      </c>
      <c r="N10" s="6" t="inlineStr">
        <is>
          <t>LOQ</t>
        </is>
      </c>
      <c r="O10" s="6" t="inlineStr">
        <is>
          <t>LOQ Conc</t>
        </is>
      </c>
      <c r="P10" s="9" t="inlineStr">
        <is>
          <t>Ct at LOQ</t>
        </is>
      </c>
    </row>
    <row r="11">
      <c r="F11" s="5" t="n">
        <v>0.9998</v>
      </c>
      <c r="G11" s="5" t="n">
        <v>-3.3008</v>
      </c>
      <c r="H11" s="5" t="n">
        <v>21.3153</v>
      </c>
      <c r="I11" s="5" t="n">
        <v>100.89</v>
      </c>
      <c r="J11" s="5" t="n">
        <v>29.7218</v>
      </c>
      <c r="K11" s="5" t="n">
        <v>0.1389</v>
      </c>
      <c r="L11" s="8" t="n">
        <v>0.1388663354338342</v>
      </c>
      <c r="M11" s="8" t="n">
        <v>1.376785664796496</v>
      </c>
      <c r="N11" s="8" t="n">
        <v>0.4208070770722249</v>
      </c>
      <c r="O11" s="8" t="n">
        <v>2.635160530933161</v>
      </c>
      <c r="P11" s="5" t="n">
        <v>19.9263</v>
      </c>
    </row>
    <row r="14" ht="38.25" customHeight="1">
      <c r="A14" s="35" t="inlineStr">
        <is>
          <t>Well</t>
        </is>
      </c>
      <c r="B14" s="35" t="inlineStr">
        <is>
          <t>Well Position</t>
        </is>
      </c>
      <c r="C14" s="35" t="inlineStr">
        <is>
          <t>Task</t>
        </is>
      </c>
      <c r="D14" s="35" t="inlineStr">
        <is>
          <t>Sample Name</t>
        </is>
      </c>
      <c r="E14" s="35" t="inlineStr">
        <is>
          <t>Target Name</t>
        </is>
      </c>
      <c r="F14" s="4" t="inlineStr">
        <is>
          <t>Ct</t>
        </is>
      </c>
      <c r="G14" s="4" t="inlineStr">
        <is>
          <t>Ct Mean</t>
        </is>
      </c>
      <c r="H14" s="4" t="inlineStr">
        <is>
          <t>Ct CV%</t>
        </is>
      </c>
      <c r="I14" s="4" t="inlineStr">
        <is>
          <t>Ct SD</t>
        </is>
      </c>
      <c r="J14" s="4" t="inlineStr">
        <is>
          <t>Quantity</t>
        </is>
      </c>
      <c r="K14" s="4" t="inlineStr">
        <is>
          <t>Quantity Mean</t>
        </is>
      </c>
      <c r="L14" s="4" t="inlineStr">
        <is>
          <t>Quantity SD</t>
        </is>
      </c>
      <c r="M14" s="4" t="inlineStr">
        <is>
          <t>Quantity %CV</t>
        </is>
      </c>
      <c r="N14" s="4" t="inlineStr">
        <is>
          <t>Dilution Factor</t>
        </is>
      </c>
      <c r="O14" s="4" t="inlineStr">
        <is>
          <t>Dilution Adjusted</t>
        </is>
      </c>
      <c r="P14" s="4" t="inlineStr">
        <is>
          <t>% Recovery</t>
        </is>
      </c>
      <c r="Q14" s="4" t="inlineStr">
        <is>
          <t>R2</t>
        </is>
      </c>
      <c r="R14" s="4" t="inlineStr">
        <is>
          <t>Slope</t>
        </is>
      </c>
      <c r="S14" s="4" t="inlineStr">
        <is>
          <t>Y-Intercept</t>
        </is>
      </c>
      <c r="T14" s="4" t="inlineStr">
        <is>
          <t>Total DNA per mL</t>
        </is>
      </c>
      <c r="U14" s="35" t="inlineStr">
        <is>
          <t>Flag</t>
        </is>
      </c>
      <c r="V14" s="35" t="inlineStr">
        <is>
          <t>Ct Threshold</t>
        </is>
      </c>
      <c r="W14" s="35" t="inlineStr">
        <is>
          <t>Automatic Ct Threshold</t>
        </is>
      </c>
      <c r="X14" s="35" t="inlineStr">
        <is>
          <t>CQ Confidence</t>
        </is>
      </c>
      <c r="Y14" s="35" t="inlineStr">
        <is>
          <t>Automatic Baseline</t>
        </is>
      </c>
      <c r="Z14" s="35" t="inlineStr">
        <is>
          <t>Baseline Start</t>
        </is>
      </c>
      <c r="AA14" s="35" t="inlineStr">
        <is>
          <t>Baseline End</t>
        </is>
      </c>
      <c r="AB14" s="35" t="inlineStr">
        <is>
          <t>Reference</t>
        </is>
      </c>
      <c r="AC14" s="35" t="inlineStr">
        <is>
          <t>Reference Adjusted</t>
        </is>
      </c>
      <c r="AD14" s="4" t="inlineStr">
        <is>
          <t>Spike Input</t>
        </is>
      </c>
      <c r="AE14" s="35" t="inlineStr">
        <is>
          <t>Fit</t>
        </is>
      </c>
      <c r="AF14" s="4" t="inlineStr">
        <is>
          <t>Amplification Efficiency</t>
        </is>
      </c>
      <c r="AG14" s="35" t="inlineStr">
        <is>
          <t>Amplification Status</t>
        </is>
      </c>
      <c r="AH14" s="35" t="inlineStr">
        <is>
          <t>AMPNC</t>
        </is>
      </c>
      <c r="AI14" s="35" t="inlineStr">
        <is>
          <t>NOAMP</t>
        </is>
      </c>
      <c r="AJ14" s="35" t="inlineStr">
        <is>
          <t>EXPFAIL</t>
        </is>
      </c>
      <c r="AK14" s="35" t="inlineStr">
        <is>
          <t>CQCONF</t>
        </is>
      </c>
      <c r="AN14" s="12" t="inlineStr">
        <is>
          <t>%Recovery within 80 to 120%</t>
        </is>
      </c>
      <c r="AO14" s="19" t="inlineStr">
        <is>
          <t>Ct Replicate %CV |&lt;=5%|</t>
        </is>
      </c>
      <c r="AP14" s="20" t="inlineStr">
        <is>
          <t>Quantity Replicate %CV |&lt;=15%|</t>
        </is>
      </c>
    </row>
    <row r="15">
      <c r="A15" s="2" t="inlineStr">
        <is>
          <t>A7</t>
        </is>
      </c>
      <c r="B15" s="2" t="n">
        <v>7</v>
      </c>
      <c r="C15" s="2" t="inlineStr">
        <is>
          <t>UNKNOWN</t>
        </is>
      </c>
      <c r="D15" s="2" t="inlineStr">
        <is>
          <t>ERC - 60</t>
        </is>
      </c>
      <c r="E15" s="2" t="inlineStr">
        <is>
          <t>CHO</t>
        </is>
      </c>
      <c r="F15" s="2" t="n">
        <v>15.9329</v>
      </c>
      <c r="G15" s="2" t="n">
        <v>15.9407</v>
      </c>
      <c r="H15" s="2" t="n">
        <v>0.28</v>
      </c>
      <c r="I15" s="2" t="n">
        <v>0.044</v>
      </c>
      <c r="J15" s="2" t="n">
        <v>42.7195</v>
      </c>
      <c r="K15" s="2" t="n">
        <v>42.5016</v>
      </c>
      <c r="L15" s="2" t="n">
        <v>1.2996</v>
      </c>
      <c r="M15" s="2" t="n">
        <v>3.06</v>
      </c>
      <c r="N15" s="2" t="n">
        <v>1</v>
      </c>
      <c r="O15" s="2" t="n">
        <v>42.5016</v>
      </c>
      <c r="P15" s="2" t="n">
        <v>70.84</v>
      </c>
      <c r="Q15" s="2" t="n">
        <v>0.9998</v>
      </c>
      <c r="R15" s="2" t="n">
        <v>-3.3008</v>
      </c>
      <c r="S15" s="2" t="n">
        <v>21.3153</v>
      </c>
      <c r="T15" s="2" t="n">
        <v>42.5016</v>
      </c>
      <c r="U15" s="2" t="n">
        <v>0</v>
      </c>
      <c r="V15" s="2" t="n">
        <v>0.207</v>
      </c>
      <c r="W15" s="2" t="inlineStr">
        <is>
          <t>true</t>
        </is>
      </c>
      <c r="X15" s="2" t="n">
        <v>1</v>
      </c>
      <c r="Y15" s="2" t="inlineStr">
        <is>
          <t>Yes</t>
        </is>
      </c>
      <c r="Z15" s="2" t="n">
        <v>3</v>
      </c>
      <c r="AA15" s="2" t="n">
        <v>10</v>
      </c>
      <c r="AB15" s="2" t="n">
        <v>0</v>
      </c>
      <c r="AC15" s="2" t="n">
        <v>42.5016</v>
      </c>
      <c r="AD15" s="2" t="n">
        <v>60</v>
      </c>
      <c r="AE15" s="2" t="inlineStr">
        <is>
          <t>Linear</t>
        </is>
      </c>
      <c r="AF15" s="2" t="n">
        <v>100.89</v>
      </c>
      <c r="AG15" s="2" t="inlineStr">
        <is>
          <t>Amplification</t>
        </is>
      </c>
      <c r="AH15" s="2" t="inlineStr">
        <is>
          <t>N</t>
        </is>
      </c>
      <c r="AI15" s="2" t="inlineStr">
        <is>
          <t>N</t>
        </is>
      </c>
      <c r="AJ15" s="2" t="inlineStr">
        <is>
          <t>N</t>
        </is>
      </c>
      <c r="AK15" s="2" t="inlineStr">
        <is>
          <t>N</t>
        </is>
      </c>
      <c r="AN15" s="34">
        <f>IF(AND(P15&gt;=80, P15&lt;=120),"PASS","FAIL")</f>
        <v/>
      </c>
      <c r="AO15" s="16">
        <f>IF(H15&lt;5,"PASS","FAIL")</f>
        <v/>
      </c>
      <c r="AP15" s="16">
        <f>IF(M15&lt;=15,"PASS","FAIL")</f>
        <v/>
      </c>
    </row>
    <row r="16">
      <c r="A16" s="1" t="inlineStr">
        <is>
          <t>A8</t>
        </is>
      </c>
      <c r="B16" s="1" t="n">
        <v>8</v>
      </c>
      <c r="C16" s="1" t="inlineStr">
        <is>
          <t>UNKNOWN</t>
        </is>
      </c>
      <c r="D16" s="1" t="inlineStr">
        <is>
          <t>ERC - 60</t>
        </is>
      </c>
      <c r="E16" s="1" t="inlineStr">
        <is>
          <t>CHO</t>
        </is>
      </c>
      <c r="F16" s="1" t="n">
        <v>15.9881</v>
      </c>
      <c r="G16" s="1" t="n">
        <v>15.9407</v>
      </c>
      <c r="H16" s="1" t="n">
        <v>0.28</v>
      </c>
      <c r="I16" s="1" t="n">
        <v>0.044</v>
      </c>
      <c r="J16" s="1" t="n">
        <v>41.1069</v>
      </c>
      <c r="K16" s="1" t="n">
        <v>42.5016</v>
      </c>
      <c r="L16" s="1" t="n">
        <v>1.2996</v>
      </c>
      <c r="M16" s="1" t="n">
        <v>3.06</v>
      </c>
      <c r="N16" s="1" t="n">
        <v>1</v>
      </c>
      <c r="O16" s="1" t="n">
        <v>42.5016</v>
      </c>
      <c r="P16" s="1" t="n">
        <v>70.84</v>
      </c>
      <c r="Q16" s="1" t="n">
        <v>0.9998</v>
      </c>
      <c r="R16" s="1" t="n">
        <v>-3.3008</v>
      </c>
      <c r="S16" s="1" t="n">
        <v>21.3153</v>
      </c>
      <c r="T16" s="1" t="n">
        <v>42.5016</v>
      </c>
      <c r="U16" s="1" t="n">
        <v>0</v>
      </c>
      <c r="V16" s="1" t="n">
        <v>0.207</v>
      </c>
      <c r="W16" s="1" t="inlineStr">
        <is>
          <t>true</t>
        </is>
      </c>
      <c r="X16" s="1" t="n">
        <v>1</v>
      </c>
      <c r="Y16" s="1" t="inlineStr">
        <is>
          <t>Yes</t>
        </is>
      </c>
      <c r="Z16" s="1" t="n">
        <v>3</v>
      </c>
      <c r="AA16" s="1" t="n">
        <v>11</v>
      </c>
      <c r="AB16" s="1" t="n">
        <v>0</v>
      </c>
      <c r="AC16" s="1" t="n">
        <v>42.5016</v>
      </c>
      <c r="AD16" s="1" t="n">
        <v>60</v>
      </c>
      <c r="AE16" s="1" t="inlineStr">
        <is>
          <t>Linear</t>
        </is>
      </c>
      <c r="AF16" s="1" t="n">
        <v>100.89</v>
      </c>
      <c r="AG16" s="1" t="inlineStr">
        <is>
          <t>Amplification</t>
        </is>
      </c>
      <c r="AH16" s="1" t="inlineStr">
        <is>
          <t>N</t>
        </is>
      </c>
      <c r="AI16" s="1" t="inlineStr">
        <is>
          <t>N</t>
        </is>
      </c>
      <c r="AJ16" s="1" t="inlineStr">
        <is>
          <t>N</t>
        </is>
      </c>
      <c r="AK16" s="1" t="inlineStr">
        <is>
          <t>N</t>
        </is>
      </c>
      <c r="AN16" s="34">
        <f>IF(AND(P16&gt;=80, P16&lt;=120),"PASS","FAIL")</f>
        <v/>
      </c>
      <c r="AO16" s="16">
        <f>IF(H16&lt;5,"PASS","FAIL")</f>
        <v/>
      </c>
      <c r="AP16" s="16">
        <f>IF(M16&lt;=15,"PASS","FAIL")</f>
        <v/>
      </c>
    </row>
    <row r="17">
      <c r="A17" s="2" t="inlineStr">
        <is>
          <t>A9</t>
        </is>
      </c>
      <c r="B17" s="2" t="n">
        <v>9</v>
      </c>
      <c r="C17" s="2" t="inlineStr">
        <is>
          <t>UNKNOWN</t>
        </is>
      </c>
      <c r="D17" s="2" t="inlineStr">
        <is>
          <t>ERC - 60</t>
        </is>
      </c>
      <c r="E17" s="2" t="inlineStr">
        <is>
          <t>CHO</t>
        </is>
      </c>
      <c r="F17" s="2" t="n">
        <v>15.9011</v>
      </c>
      <c r="G17" s="2" t="n">
        <v>15.9407</v>
      </c>
      <c r="H17" s="2" t="n">
        <v>0.28</v>
      </c>
      <c r="I17" s="2" t="n">
        <v>0.044</v>
      </c>
      <c r="J17" s="2" t="n">
        <v>43.6785</v>
      </c>
      <c r="K17" s="2" t="n">
        <v>42.5016</v>
      </c>
      <c r="L17" s="2" t="n">
        <v>1.2996</v>
      </c>
      <c r="M17" s="2" t="n">
        <v>3.06</v>
      </c>
      <c r="N17" s="2" t="n">
        <v>1</v>
      </c>
      <c r="O17" s="2" t="n">
        <v>42.5016</v>
      </c>
      <c r="P17" s="2" t="n">
        <v>70.84</v>
      </c>
      <c r="Q17" s="2" t="n">
        <v>0.9998</v>
      </c>
      <c r="R17" s="2" t="n">
        <v>-3.3008</v>
      </c>
      <c r="S17" s="2" t="n">
        <v>21.3153</v>
      </c>
      <c r="T17" s="2" t="n">
        <v>42.5016</v>
      </c>
      <c r="U17" s="2" t="n">
        <v>0</v>
      </c>
      <c r="V17" s="2" t="n">
        <v>0.207</v>
      </c>
      <c r="W17" s="2" t="inlineStr">
        <is>
          <t>true</t>
        </is>
      </c>
      <c r="X17" s="2" t="n">
        <v>1</v>
      </c>
      <c r="Y17" s="2" t="inlineStr">
        <is>
          <t>Yes</t>
        </is>
      </c>
      <c r="Z17" s="2" t="n">
        <v>3</v>
      </c>
      <c r="AA17" s="2" t="n">
        <v>9</v>
      </c>
      <c r="AB17" s="2" t="n">
        <v>0</v>
      </c>
      <c r="AC17" s="2" t="n">
        <v>42.5016</v>
      </c>
      <c r="AD17" s="2" t="n">
        <v>60</v>
      </c>
      <c r="AE17" s="2" t="inlineStr">
        <is>
          <t>Linear</t>
        </is>
      </c>
      <c r="AF17" s="2" t="n">
        <v>100.89</v>
      </c>
      <c r="AG17" s="2" t="inlineStr">
        <is>
          <t>Amplification</t>
        </is>
      </c>
      <c r="AH17" s="2" t="inlineStr">
        <is>
          <t>N</t>
        </is>
      </c>
      <c r="AI17" s="2" t="inlineStr">
        <is>
          <t>N</t>
        </is>
      </c>
      <c r="AJ17" s="2" t="inlineStr">
        <is>
          <t>N</t>
        </is>
      </c>
      <c r="AK17" s="2" t="inlineStr">
        <is>
          <t>N</t>
        </is>
      </c>
      <c r="AN17" s="34">
        <f>IF(AND(P17&gt;=80, P17&lt;=120),"PASS","FAIL")</f>
        <v/>
      </c>
      <c r="AO17" s="16">
        <f>IF(H17&lt;5,"PASS","FAIL")</f>
        <v/>
      </c>
      <c r="AP17" s="16">
        <f>IF(M17&lt;=15,"PASS","FAIL")</f>
        <v/>
      </c>
    </row>
    <row r="18">
      <c r="A18" s="2" t="inlineStr">
        <is>
          <t>B7</t>
        </is>
      </c>
      <c r="B18" s="2" t="n">
        <v>19</v>
      </c>
      <c r="C18" s="2" t="inlineStr">
        <is>
          <t>UNKNOWN</t>
        </is>
      </c>
      <c r="D18" s="2" t="inlineStr">
        <is>
          <t>ERC - 30</t>
        </is>
      </c>
      <c r="E18" s="2" t="inlineStr">
        <is>
          <t>CHO</t>
        </is>
      </c>
      <c r="F18" s="2" t="n">
        <v>17.0421</v>
      </c>
      <c r="G18" s="2" t="n">
        <v>17.0158</v>
      </c>
      <c r="H18" s="2" t="n">
        <v>0.16</v>
      </c>
      <c r="I18" s="2" t="n">
        <v>0.0274</v>
      </c>
      <c r="J18" s="2" t="n">
        <v>19.7065</v>
      </c>
      <c r="K18" s="2" t="n">
        <v>20.0732</v>
      </c>
      <c r="L18" s="2" t="n">
        <v>0.3835</v>
      </c>
      <c r="M18" s="2" t="n">
        <v>1.91</v>
      </c>
      <c r="N18" s="2" t="n">
        <v>1</v>
      </c>
      <c r="O18" s="2" t="n">
        <v>20.0732</v>
      </c>
      <c r="P18" s="2" t="n">
        <v>66.91</v>
      </c>
      <c r="Q18" s="2" t="n">
        <v>0.9998</v>
      </c>
      <c r="R18" s="2" t="n">
        <v>-3.3008</v>
      </c>
      <c r="S18" s="2" t="n">
        <v>21.3153</v>
      </c>
      <c r="T18" s="2" t="n">
        <v>20.0732</v>
      </c>
      <c r="U18" s="2" t="n">
        <v>0</v>
      </c>
      <c r="V18" s="2" t="n">
        <v>0.207</v>
      </c>
      <c r="W18" s="2" t="inlineStr">
        <is>
          <t>true</t>
        </is>
      </c>
      <c r="X18" s="2" t="n">
        <v>1</v>
      </c>
      <c r="Y18" s="2" t="inlineStr">
        <is>
          <t>Yes</t>
        </is>
      </c>
      <c r="Z18" s="2" t="n">
        <v>3</v>
      </c>
      <c r="AA18" s="2" t="n">
        <v>12</v>
      </c>
      <c r="AB18" s="2" t="n">
        <v>0</v>
      </c>
      <c r="AC18" s="2" t="n">
        <v>20.0732</v>
      </c>
      <c r="AD18" s="2" t="n">
        <v>30</v>
      </c>
      <c r="AE18" s="2" t="inlineStr">
        <is>
          <t>Linear</t>
        </is>
      </c>
      <c r="AF18" s="2" t="n">
        <v>100.89</v>
      </c>
      <c r="AG18" s="2" t="inlineStr">
        <is>
          <t>Amplification</t>
        </is>
      </c>
      <c r="AH18" s="2" t="inlineStr">
        <is>
          <t>N</t>
        </is>
      </c>
      <c r="AI18" s="2" t="inlineStr">
        <is>
          <t>N</t>
        </is>
      </c>
      <c r="AJ18" s="2" t="inlineStr">
        <is>
          <t>N</t>
        </is>
      </c>
      <c r="AK18" s="2" t="inlineStr">
        <is>
          <t>N</t>
        </is>
      </c>
      <c r="AN18" s="34">
        <f>IF(AND(P18&gt;=80, P18&lt;=120),"PASS","FAIL")</f>
        <v/>
      </c>
      <c r="AO18" s="16">
        <f>IF(H18&lt;5,"PASS","FAIL")</f>
        <v/>
      </c>
      <c r="AP18" s="16">
        <f>IF(M18&lt;=15,"PASS","FAIL")</f>
        <v/>
      </c>
    </row>
    <row r="19">
      <c r="A19" s="1" t="inlineStr">
        <is>
          <t>B8</t>
        </is>
      </c>
      <c r="B19" s="1" t="n">
        <v>20</v>
      </c>
      <c r="C19" s="1" t="inlineStr">
        <is>
          <t>UNKNOWN</t>
        </is>
      </c>
      <c r="D19" s="1" t="inlineStr">
        <is>
          <t>ERC - 30</t>
        </is>
      </c>
      <c r="E19" s="1" t="inlineStr">
        <is>
          <t>CHO</t>
        </is>
      </c>
      <c r="F19" s="1" t="n">
        <v>17.0179</v>
      </c>
      <c r="G19" s="1" t="n">
        <v>17.0158</v>
      </c>
      <c r="H19" s="1" t="n">
        <v>0.16</v>
      </c>
      <c r="I19" s="1" t="n">
        <v>0.0274</v>
      </c>
      <c r="J19" s="1" t="n">
        <v>20.0415</v>
      </c>
      <c r="K19" s="1" t="n">
        <v>20.0732</v>
      </c>
      <c r="L19" s="1" t="n">
        <v>0.3835</v>
      </c>
      <c r="M19" s="1" t="n">
        <v>1.91</v>
      </c>
      <c r="N19" s="1" t="n">
        <v>1</v>
      </c>
      <c r="O19" s="1" t="n">
        <v>20.0732</v>
      </c>
      <c r="P19" s="1" t="n">
        <v>66.91</v>
      </c>
      <c r="Q19" s="1" t="n">
        <v>0.9998</v>
      </c>
      <c r="R19" s="1" t="n">
        <v>-3.3008</v>
      </c>
      <c r="S19" s="1" t="n">
        <v>21.3153</v>
      </c>
      <c r="T19" s="1" t="n">
        <v>20.0732</v>
      </c>
      <c r="U19" s="1" t="n">
        <v>0</v>
      </c>
      <c r="V19" s="1" t="n">
        <v>0.207</v>
      </c>
      <c r="W19" s="1" t="inlineStr">
        <is>
          <t>true</t>
        </is>
      </c>
      <c r="X19" s="1" t="n">
        <v>1</v>
      </c>
      <c r="Y19" s="1" t="inlineStr">
        <is>
          <t>Yes</t>
        </is>
      </c>
      <c r="Z19" s="1" t="n">
        <v>3</v>
      </c>
      <c r="AA19" s="1" t="n">
        <v>12</v>
      </c>
      <c r="AB19" s="1" t="n">
        <v>0</v>
      </c>
      <c r="AC19" s="1" t="n">
        <v>20.0732</v>
      </c>
      <c r="AD19" s="1" t="n">
        <v>30</v>
      </c>
      <c r="AE19" s="1" t="inlineStr">
        <is>
          <t>Linear</t>
        </is>
      </c>
      <c r="AF19" s="1" t="n">
        <v>100.89</v>
      </c>
      <c r="AG19" s="1" t="inlineStr">
        <is>
          <t>Amplification</t>
        </is>
      </c>
      <c r="AH19" s="1" t="inlineStr">
        <is>
          <t>N</t>
        </is>
      </c>
      <c r="AI19" s="1" t="inlineStr">
        <is>
          <t>N</t>
        </is>
      </c>
      <c r="AJ19" s="1" t="inlineStr">
        <is>
          <t>N</t>
        </is>
      </c>
      <c r="AK19" s="1" t="inlineStr">
        <is>
          <t>N</t>
        </is>
      </c>
      <c r="AN19" s="34">
        <f>IF(AND(P19&gt;=80, P19&lt;=120),"PASS","FAIL")</f>
        <v/>
      </c>
      <c r="AO19" s="16">
        <f>IF(H19&lt;5,"PASS","FAIL")</f>
        <v/>
      </c>
      <c r="AP19" s="16">
        <f>IF(M19&lt;=15,"PASS","FAIL")</f>
        <v/>
      </c>
    </row>
    <row r="20">
      <c r="A20" s="2" t="inlineStr">
        <is>
          <t>B9</t>
        </is>
      </c>
      <c r="B20" s="2" t="n">
        <v>21</v>
      </c>
      <c r="C20" s="2" t="inlineStr">
        <is>
          <t>UNKNOWN</t>
        </is>
      </c>
      <c r="D20" s="2" t="inlineStr">
        <is>
          <t>ERC - 30</t>
        </is>
      </c>
      <c r="E20" s="2" t="inlineStr">
        <is>
          <t>CHO</t>
        </is>
      </c>
      <c r="F20" s="2" t="n">
        <v>16.9875</v>
      </c>
      <c r="G20" s="2" t="n">
        <v>17.0158</v>
      </c>
      <c r="H20" s="2" t="n">
        <v>0.16</v>
      </c>
      <c r="I20" s="2" t="n">
        <v>0.0274</v>
      </c>
      <c r="J20" s="2" t="n">
        <v>20.4716</v>
      </c>
      <c r="K20" s="2" t="n">
        <v>20.0732</v>
      </c>
      <c r="L20" s="2" t="n">
        <v>0.3835</v>
      </c>
      <c r="M20" s="2" t="n">
        <v>1.91</v>
      </c>
      <c r="N20" s="2" t="n">
        <v>1</v>
      </c>
      <c r="O20" s="2" t="n">
        <v>20.0732</v>
      </c>
      <c r="P20" s="2" t="n">
        <v>66.91</v>
      </c>
      <c r="Q20" s="2" t="n">
        <v>0.9998</v>
      </c>
      <c r="R20" s="2" t="n">
        <v>-3.3008</v>
      </c>
      <c r="S20" s="2" t="n">
        <v>21.3153</v>
      </c>
      <c r="T20" s="2" t="n">
        <v>20.0732</v>
      </c>
      <c r="U20" s="2" t="n">
        <v>0</v>
      </c>
      <c r="V20" s="2" t="n">
        <v>0.207</v>
      </c>
      <c r="W20" s="2" t="inlineStr">
        <is>
          <t>true</t>
        </is>
      </c>
      <c r="X20" s="2" t="n">
        <v>1</v>
      </c>
      <c r="Y20" s="2" t="inlineStr">
        <is>
          <t>Yes</t>
        </is>
      </c>
      <c r="Z20" s="2" t="n">
        <v>3</v>
      </c>
      <c r="AA20" s="2" t="n">
        <v>12</v>
      </c>
      <c r="AB20" s="2" t="n">
        <v>0</v>
      </c>
      <c r="AC20" s="2" t="n">
        <v>20.0732</v>
      </c>
      <c r="AD20" s="2" t="n">
        <v>30</v>
      </c>
      <c r="AE20" s="2" t="inlineStr">
        <is>
          <t>Linear</t>
        </is>
      </c>
      <c r="AF20" s="2" t="n">
        <v>100.89</v>
      </c>
      <c r="AG20" s="2" t="inlineStr">
        <is>
          <t>Amplification</t>
        </is>
      </c>
      <c r="AH20" s="2" t="inlineStr">
        <is>
          <t>N</t>
        </is>
      </c>
      <c r="AI20" s="2" t="inlineStr">
        <is>
          <t>N</t>
        </is>
      </c>
      <c r="AJ20" s="2" t="inlineStr">
        <is>
          <t>N</t>
        </is>
      </c>
      <c r="AK20" s="2" t="inlineStr">
        <is>
          <t>N</t>
        </is>
      </c>
      <c r="AN20" s="34">
        <f>IF(AND(P20&gt;=80, P20&lt;=120),"PASS","FAIL")</f>
        <v/>
      </c>
      <c r="AO20" s="16">
        <f>IF(H20&lt;5,"PASS","FAIL")</f>
        <v/>
      </c>
      <c r="AP20" s="16">
        <f>IF(M20&lt;=15,"PASS","FAIL")</f>
        <v/>
      </c>
    </row>
    <row r="21">
      <c r="A21" s="2" t="inlineStr">
        <is>
          <t>C7</t>
        </is>
      </c>
      <c r="B21" s="2" t="n">
        <v>31</v>
      </c>
      <c r="C21" s="2" t="inlineStr">
        <is>
          <t>UNKNOWN</t>
        </is>
      </c>
      <c r="D21" s="2" t="inlineStr">
        <is>
          <t>ERC - 10</t>
        </is>
      </c>
      <c r="E21" s="2" t="inlineStr">
        <is>
          <t>CHO</t>
        </is>
      </c>
      <c r="F21" s="2" t="n">
        <v>18.5377</v>
      </c>
      <c r="G21" s="2" t="n">
        <v>18.5552</v>
      </c>
      <c r="H21" s="2" t="n">
        <v>0.09</v>
      </c>
      <c r="I21" s="2" t="n">
        <v>0.016</v>
      </c>
      <c r="J21" s="2" t="n">
        <v>6.9419</v>
      </c>
      <c r="K21" s="2" t="n">
        <v>6.8583</v>
      </c>
      <c r="L21" s="2" t="n">
        <v>0.0769</v>
      </c>
      <c r="M21" s="2" t="n">
        <v>1.12</v>
      </c>
      <c r="N21" s="2" t="n">
        <v>1</v>
      </c>
      <c r="O21" s="2" t="n">
        <v>6.8583</v>
      </c>
      <c r="P21" s="2" t="n">
        <v>68.58</v>
      </c>
      <c r="Q21" s="2" t="n">
        <v>0.9998</v>
      </c>
      <c r="R21" s="2" t="n">
        <v>-3.3008</v>
      </c>
      <c r="S21" s="2" t="n">
        <v>21.3153</v>
      </c>
      <c r="T21" s="2" t="n">
        <v>6.8583</v>
      </c>
      <c r="U21" s="2" t="n">
        <v>0</v>
      </c>
      <c r="V21" s="2" t="n">
        <v>0.207</v>
      </c>
      <c r="W21" s="2" t="inlineStr">
        <is>
          <t>true</t>
        </is>
      </c>
      <c r="X21" s="2" t="n">
        <v>1</v>
      </c>
      <c r="Y21" s="2" t="inlineStr">
        <is>
          <t>Yes</t>
        </is>
      </c>
      <c r="Z21" s="2" t="n">
        <v>3</v>
      </c>
      <c r="AA21" s="2" t="n">
        <v>13</v>
      </c>
      <c r="AB21" s="2" t="n">
        <v>0</v>
      </c>
      <c r="AC21" s="2" t="n">
        <v>6.8583</v>
      </c>
      <c r="AD21" s="2" t="n">
        <v>10</v>
      </c>
      <c r="AE21" s="2" t="inlineStr">
        <is>
          <t>Linear</t>
        </is>
      </c>
      <c r="AF21" s="2" t="n">
        <v>100.89</v>
      </c>
      <c r="AG21" s="2" t="inlineStr">
        <is>
          <t>Amplification</t>
        </is>
      </c>
      <c r="AH21" s="2" t="inlineStr">
        <is>
          <t>N</t>
        </is>
      </c>
      <c r="AI21" s="2" t="inlineStr">
        <is>
          <t>N</t>
        </is>
      </c>
      <c r="AJ21" s="2" t="inlineStr">
        <is>
          <t>N</t>
        </is>
      </c>
      <c r="AK21" s="2" t="inlineStr">
        <is>
          <t>N</t>
        </is>
      </c>
      <c r="AN21" s="34">
        <f>IF(AND(P21&gt;=80, P21&lt;=120),"PASS","FAIL")</f>
        <v/>
      </c>
      <c r="AO21" s="16">
        <f>IF(H21&lt;5,"PASS","FAIL")</f>
        <v/>
      </c>
      <c r="AP21" s="16">
        <f>IF(M21&lt;=15,"PASS","FAIL")</f>
        <v/>
      </c>
    </row>
    <row r="22">
      <c r="A22" s="1" t="inlineStr">
        <is>
          <t>C8</t>
        </is>
      </c>
      <c r="B22" s="1" t="n">
        <v>32</v>
      </c>
      <c r="C22" s="1" t="inlineStr">
        <is>
          <t>UNKNOWN</t>
        </is>
      </c>
      <c r="D22" s="1" t="inlineStr">
        <is>
          <t>ERC - 10</t>
        </is>
      </c>
      <c r="E22" s="1" t="inlineStr">
        <is>
          <t>CHO</t>
        </is>
      </c>
      <c r="F22" s="1" t="n">
        <v>18.5584</v>
      </c>
      <c r="G22" s="1" t="n">
        <v>18.5552</v>
      </c>
      <c r="H22" s="1" t="n">
        <v>0.09</v>
      </c>
      <c r="I22" s="1" t="n">
        <v>0.016</v>
      </c>
      <c r="J22" s="1" t="n">
        <v>6.8424</v>
      </c>
      <c r="K22" s="1" t="n">
        <v>6.8583</v>
      </c>
      <c r="L22" s="1" t="n">
        <v>0.0769</v>
      </c>
      <c r="M22" s="1" t="n">
        <v>1.12</v>
      </c>
      <c r="N22" s="1" t="n">
        <v>1</v>
      </c>
      <c r="O22" s="1" t="n">
        <v>6.8583</v>
      </c>
      <c r="P22" s="1" t="n">
        <v>68.58</v>
      </c>
      <c r="Q22" s="1" t="n">
        <v>0.9998</v>
      </c>
      <c r="R22" s="1" t="n">
        <v>-3.3008</v>
      </c>
      <c r="S22" s="1" t="n">
        <v>21.3153</v>
      </c>
      <c r="T22" s="1" t="n">
        <v>6.8583</v>
      </c>
      <c r="U22" s="1" t="n">
        <v>0</v>
      </c>
      <c r="V22" s="1" t="n">
        <v>0.207</v>
      </c>
      <c r="W22" s="1" t="inlineStr">
        <is>
          <t>true</t>
        </is>
      </c>
      <c r="X22" s="1" t="n">
        <v>1</v>
      </c>
      <c r="Y22" s="1" t="inlineStr">
        <is>
          <t>Yes</t>
        </is>
      </c>
      <c r="Z22" s="1" t="n">
        <v>3</v>
      </c>
      <c r="AA22" s="1" t="n">
        <v>13</v>
      </c>
      <c r="AB22" s="1" t="n">
        <v>0</v>
      </c>
      <c r="AC22" s="1" t="n">
        <v>6.8583</v>
      </c>
      <c r="AD22" s="1" t="n">
        <v>10</v>
      </c>
      <c r="AE22" s="1" t="inlineStr">
        <is>
          <t>Linear</t>
        </is>
      </c>
      <c r="AF22" s="1" t="n">
        <v>100.89</v>
      </c>
      <c r="AG22" s="1" t="inlineStr">
        <is>
          <t>Amplification</t>
        </is>
      </c>
      <c r="AH22" s="1" t="inlineStr">
        <is>
          <t>N</t>
        </is>
      </c>
      <c r="AI22" s="1" t="inlineStr">
        <is>
          <t>N</t>
        </is>
      </c>
      <c r="AJ22" s="1" t="inlineStr">
        <is>
          <t>N</t>
        </is>
      </c>
      <c r="AK22" s="1" t="inlineStr">
        <is>
          <t>N</t>
        </is>
      </c>
      <c r="AN22" s="34">
        <f>IF(AND(P22&gt;=80, P22&lt;=120),"PASS","FAIL")</f>
        <v/>
      </c>
      <c r="AO22" s="16">
        <f>IF(H22&lt;5,"PASS","FAIL")</f>
        <v/>
      </c>
      <c r="AP22" s="16">
        <f>IF(M22&lt;=15,"PASS","FAIL")</f>
        <v/>
      </c>
    </row>
    <row r="23">
      <c r="A23" s="2" t="inlineStr">
        <is>
          <t>C9</t>
        </is>
      </c>
      <c r="B23" s="2" t="n">
        <v>33</v>
      </c>
      <c r="C23" s="2" t="inlineStr">
        <is>
          <t>UNKNOWN</t>
        </is>
      </c>
      <c r="D23" s="2" t="inlineStr">
        <is>
          <t>ERC - 10</t>
        </is>
      </c>
      <c r="E23" s="2" t="inlineStr">
        <is>
          <t>CHO</t>
        </is>
      </c>
      <c r="F23" s="2" t="n">
        <v>18.5693</v>
      </c>
      <c r="G23" s="2" t="n">
        <v>18.5552</v>
      </c>
      <c r="H23" s="2" t="n">
        <v>0.09</v>
      </c>
      <c r="I23" s="2" t="n">
        <v>0.016</v>
      </c>
      <c r="J23" s="2" t="n">
        <v>6.7907</v>
      </c>
      <c r="K23" s="2" t="n">
        <v>6.8583</v>
      </c>
      <c r="L23" s="2" t="n">
        <v>0.0769</v>
      </c>
      <c r="M23" s="2" t="n">
        <v>1.12</v>
      </c>
      <c r="N23" s="2" t="n">
        <v>1</v>
      </c>
      <c r="O23" s="2" t="n">
        <v>6.8583</v>
      </c>
      <c r="P23" s="2" t="n">
        <v>68.58</v>
      </c>
      <c r="Q23" s="2" t="n">
        <v>0.9998</v>
      </c>
      <c r="R23" s="2" t="n">
        <v>-3.3008</v>
      </c>
      <c r="S23" s="2" t="n">
        <v>21.3153</v>
      </c>
      <c r="T23" s="2" t="n">
        <v>6.8583</v>
      </c>
      <c r="U23" s="2" t="n">
        <v>0</v>
      </c>
      <c r="V23" s="2" t="n">
        <v>0.207</v>
      </c>
      <c r="W23" s="2" t="inlineStr">
        <is>
          <t>true</t>
        </is>
      </c>
      <c r="X23" s="2" t="n">
        <v>1</v>
      </c>
      <c r="Y23" s="2" t="inlineStr">
        <is>
          <t>Yes</t>
        </is>
      </c>
      <c r="Z23" s="2" t="n">
        <v>3</v>
      </c>
      <c r="AA23" s="2" t="n">
        <v>13</v>
      </c>
      <c r="AB23" s="2" t="n">
        <v>0</v>
      </c>
      <c r="AC23" s="2" t="n">
        <v>6.8583</v>
      </c>
      <c r="AD23" s="2" t="n">
        <v>10</v>
      </c>
      <c r="AE23" s="2" t="inlineStr">
        <is>
          <t>Linear</t>
        </is>
      </c>
      <c r="AF23" s="2" t="n">
        <v>100.89</v>
      </c>
      <c r="AG23" s="2" t="inlineStr">
        <is>
          <t>Amplification</t>
        </is>
      </c>
      <c r="AH23" s="2" t="inlineStr">
        <is>
          <t>N</t>
        </is>
      </c>
      <c r="AI23" s="2" t="inlineStr">
        <is>
          <t>N</t>
        </is>
      </c>
      <c r="AJ23" s="2" t="inlineStr">
        <is>
          <t>N</t>
        </is>
      </c>
      <c r="AK23" s="2" t="inlineStr">
        <is>
          <t>N</t>
        </is>
      </c>
      <c r="AN23" s="34">
        <f>IF(AND(P23&gt;=80, P23&lt;=120),"PASS","FAIL")</f>
        <v/>
      </c>
      <c r="AO23" s="16">
        <f>IF(H23&lt;5,"PASS","FAIL")</f>
        <v/>
      </c>
      <c r="AP23" s="16">
        <f>IF(M23&lt;=15,"PASS","FAIL")</f>
        <v/>
      </c>
    </row>
    <row r="24">
      <c r="A24" s="2" t="inlineStr">
        <is>
          <t>E1</t>
        </is>
      </c>
      <c r="B24" s="2" t="n">
        <v>49</v>
      </c>
      <c r="C24" s="2" t="inlineStr">
        <is>
          <t>UNKNOWN</t>
        </is>
      </c>
      <c r="D24" s="2" t="inlineStr">
        <is>
          <t>HPC - 190</t>
        </is>
      </c>
      <c r="E24" s="2" t="inlineStr">
        <is>
          <t>CHO</t>
        </is>
      </c>
      <c r="F24" s="2" t="n">
        <v>13.7174</v>
      </c>
      <c r="G24" s="2" t="n">
        <v>13.6248</v>
      </c>
      <c r="H24" s="2" t="n">
        <v>1.05</v>
      </c>
      <c r="I24" s="2" t="n">
        <v>0.1432</v>
      </c>
      <c r="J24" s="2" t="n">
        <v>200.3741</v>
      </c>
      <c r="K24" s="2" t="n">
        <v>214.4659</v>
      </c>
      <c r="L24" s="2" t="n">
        <v>21.9958</v>
      </c>
      <c r="M24" s="2" t="n">
        <v>10.26</v>
      </c>
      <c r="N24" s="2" t="n">
        <v>1</v>
      </c>
      <c r="O24" s="2" t="n">
        <v>214.4659</v>
      </c>
      <c r="P24" s="2" t="n">
        <v>112.88</v>
      </c>
      <c r="Q24" s="2" t="n">
        <v>0.9998</v>
      </c>
      <c r="R24" s="2" t="n">
        <v>-3.3008</v>
      </c>
      <c r="S24" s="2" t="n">
        <v>21.3153</v>
      </c>
      <c r="T24" s="2" t="n">
        <v>214.4659</v>
      </c>
      <c r="U24" s="2" t="n">
        <v>0</v>
      </c>
      <c r="V24" s="2" t="n">
        <v>0.207</v>
      </c>
      <c r="W24" s="2" t="inlineStr">
        <is>
          <t>true</t>
        </is>
      </c>
      <c r="X24" s="2" t="n">
        <v>1</v>
      </c>
      <c r="Y24" s="2" t="inlineStr">
        <is>
          <t>Yes</t>
        </is>
      </c>
      <c r="Z24" s="2" t="n">
        <v>3</v>
      </c>
      <c r="AA24" s="2" t="n">
        <v>9</v>
      </c>
      <c r="AB24" s="2" t="n">
        <v>0</v>
      </c>
      <c r="AC24" s="2" t="n">
        <v>214.4659</v>
      </c>
      <c r="AD24" s="2" t="n">
        <v>189.9937</v>
      </c>
      <c r="AE24" s="2" t="inlineStr">
        <is>
          <t>Linear</t>
        </is>
      </c>
      <c r="AF24" s="2" t="n">
        <v>100.89</v>
      </c>
      <c r="AG24" s="2" t="inlineStr">
        <is>
          <t>Amplification</t>
        </is>
      </c>
      <c r="AH24" s="2" t="inlineStr">
        <is>
          <t>N</t>
        </is>
      </c>
      <c r="AI24" s="2" t="inlineStr">
        <is>
          <t>N</t>
        </is>
      </c>
      <c r="AJ24" s="2" t="inlineStr">
        <is>
          <t>N</t>
        </is>
      </c>
      <c r="AK24" s="2" t="inlineStr">
        <is>
          <t>N</t>
        </is>
      </c>
      <c r="AN24" s="18">
        <f>IF(AND(P24&gt;=80, P24&lt;=120),"PASS","FAIL")</f>
        <v/>
      </c>
      <c r="AO24" s="16">
        <f>IF(H24&lt;5,"PASS","FAIL")</f>
        <v/>
      </c>
      <c r="AP24" s="16">
        <f>IF(M24&lt;=15,"PASS","FAIL")</f>
        <v/>
      </c>
    </row>
    <row r="25">
      <c r="A25" s="1" t="inlineStr">
        <is>
          <t>E2</t>
        </is>
      </c>
      <c r="B25" s="1" t="n">
        <v>50</v>
      </c>
      <c r="C25" s="1" t="inlineStr">
        <is>
          <t>UNKNOWN</t>
        </is>
      </c>
      <c r="D25" s="1" t="inlineStr">
        <is>
          <t>HPC - 190</t>
        </is>
      </c>
      <c r="E25" s="1" t="inlineStr">
        <is>
          <t>CHO</t>
        </is>
      </c>
      <c r="F25" s="1" t="n">
        <v>13.6972</v>
      </c>
      <c r="G25" s="1" t="n">
        <v>13.6248</v>
      </c>
      <c r="H25" s="1" t="n">
        <v>1.05</v>
      </c>
      <c r="I25" s="1" t="n">
        <v>0.1432</v>
      </c>
      <c r="J25" s="1" t="n">
        <v>203.212</v>
      </c>
      <c r="K25" s="1" t="n">
        <v>214.4659</v>
      </c>
      <c r="L25" s="1" t="n">
        <v>21.9958</v>
      </c>
      <c r="M25" s="1" t="n">
        <v>10.26</v>
      </c>
      <c r="N25" s="1" t="n">
        <v>1</v>
      </c>
      <c r="O25" s="1" t="n">
        <v>214.4659</v>
      </c>
      <c r="P25" s="1" t="n">
        <v>112.88</v>
      </c>
      <c r="Q25" s="1" t="n">
        <v>0.9998</v>
      </c>
      <c r="R25" s="1" t="n">
        <v>-3.3008</v>
      </c>
      <c r="S25" s="1" t="n">
        <v>21.3153</v>
      </c>
      <c r="T25" s="1" t="n">
        <v>214.4659</v>
      </c>
      <c r="U25" s="1" t="n">
        <v>0</v>
      </c>
      <c r="V25" s="1" t="n">
        <v>0.207</v>
      </c>
      <c r="W25" s="1" t="inlineStr">
        <is>
          <t>true</t>
        </is>
      </c>
      <c r="X25" s="1" t="n">
        <v>1</v>
      </c>
      <c r="Y25" s="1" t="inlineStr">
        <is>
          <t>Yes</t>
        </is>
      </c>
      <c r="Z25" s="1" t="n">
        <v>3</v>
      </c>
      <c r="AA25" s="1" t="n">
        <v>9</v>
      </c>
      <c r="AB25" s="1" t="n">
        <v>0</v>
      </c>
      <c r="AC25" s="1" t="n">
        <v>214.4659</v>
      </c>
      <c r="AD25" s="1" t="n">
        <v>189.9937</v>
      </c>
      <c r="AE25" s="1" t="inlineStr">
        <is>
          <t>Linear</t>
        </is>
      </c>
      <c r="AF25" s="1" t="n">
        <v>100.89</v>
      </c>
      <c r="AG25" s="1" t="inlineStr">
        <is>
          <t>Amplification</t>
        </is>
      </c>
      <c r="AH25" s="1" t="inlineStr">
        <is>
          <t>N</t>
        </is>
      </c>
      <c r="AI25" s="1" t="inlineStr">
        <is>
          <t>N</t>
        </is>
      </c>
      <c r="AJ25" s="1" t="inlineStr">
        <is>
          <t>N</t>
        </is>
      </c>
      <c r="AK25" s="1" t="inlineStr">
        <is>
          <t>N</t>
        </is>
      </c>
      <c r="AN25" s="18">
        <f>IF(AND(P25&gt;=80, P25&lt;=120),"PASS","FAIL")</f>
        <v/>
      </c>
      <c r="AO25" s="16">
        <f>IF(H25&lt;5,"PASS","FAIL")</f>
        <v/>
      </c>
      <c r="AP25" s="16">
        <f>IF(M25&lt;=15,"PASS","FAIL")</f>
        <v/>
      </c>
    </row>
    <row r="26">
      <c r="A26" s="2" t="inlineStr">
        <is>
          <t>E3</t>
        </is>
      </c>
      <c r="B26" s="2" t="n">
        <v>51</v>
      </c>
      <c r="C26" s="2" t="inlineStr">
        <is>
          <t>UNKNOWN</t>
        </is>
      </c>
      <c r="D26" s="2" t="inlineStr">
        <is>
          <t>HPC - 190</t>
        </is>
      </c>
      <c r="E26" s="2" t="inlineStr">
        <is>
          <t>CHO</t>
        </is>
      </c>
      <c r="F26" s="2" t="n">
        <v>13.4598</v>
      </c>
      <c r="G26" s="2" t="n">
        <v>13.6248</v>
      </c>
      <c r="H26" s="2" t="n">
        <v>1.05</v>
      </c>
      <c r="I26" s="2" t="n">
        <v>0.1432</v>
      </c>
      <c r="J26" s="2" t="n">
        <v>239.8116</v>
      </c>
      <c r="K26" s="2" t="n">
        <v>214.4659</v>
      </c>
      <c r="L26" s="2" t="n">
        <v>21.9958</v>
      </c>
      <c r="M26" s="2" t="n">
        <v>10.26</v>
      </c>
      <c r="N26" s="2" t="n">
        <v>1</v>
      </c>
      <c r="O26" s="2" t="n">
        <v>214.4659</v>
      </c>
      <c r="P26" s="2" t="n">
        <v>112.88</v>
      </c>
      <c r="Q26" s="2" t="n">
        <v>0.9998</v>
      </c>
      <c r="R26" s="2" t="n">
        <v>-3.3008</v>
      </c>
      <c r="S26" s="2" t="n">
        <v>21.3153</v>
      </c>
      <c r="T26" s="2" t="n">
        <v>214.4659</v>
      </c>
      <c r="U26" s="2" t="n">
        <v>0</v>
      </c>
      <c r="V26" s="2" t="n">
        <v>0.207</v>
      </c>
      <c r="W26" s="2" t="inlineStr">
        <is>
          <t>true</t>
        </is>
      </c>
      <c r="X26" s="2" t="n">
        <v>1</v>
      </c>
      <c r="Y26" s="2" t="inlineStr">
        <is>
          <t>Yes</t>
        </is>
      </c>
      <c r="Z26" s="2" t="n">
        <v>3</v>
      </c>
      <c r="AA26" s="2" t="n">
        <v>7</v>
      </c>
      <c r="AB26" s="2" t="n">
        <v>0</v>
      </c>
      <c r="AC26" s="2" t="n">
        <v>214.4659</v>
      </c>
      <c r="AD26" s="2" t="n">
        <v>189.9937</v>
      </c>
      <c r="AE26" s="2" t="inlineStr">
        <is>
          <t>Linear</t>
        </is>
      </c>
      <c r="AF26" s="2" t="n">
        <v>100.89</v>
      </c>
      <c r="AG26" s="2" t="inlineStr">
        <is>
          <t>Amplification</t>
        </is>
      </c>
      <c r="AH26" s="2" t="inlineStr">
        <is>
          <t>N</t>
        </is>
      </c>
      <c r="AI26" s="2" t="inlineStr">
        <is>
          <t>N</t>
        </is>
      </c>
      <c r="AJ26" s="2" t="inlineStr">
        <is>
          <t>N</t>
        </is>
      </c>
      <c r="AK26" s="2" t="inlineStr">
        <is>
          <t>N</t>
        </is>
      </c>
      <c r="AN26" s="18">
        <f>IF(AND(P26&gt;=80, P26&lt;=120),"PASS","FAIL")</f>
        <v/>
      </c>
      <c r="AO26" s="16">
        <f>IF(H26&lt;5,"PASS","FAIL")</f>
        <v/>
      </c>
      <c r="AP26" s="16">
        <f>IF(M26&lt;=15,"PASS","FAIL")</f>
        <v/>
      </c>
    </row>
    <row r="27">
      <c r="A27" s="2" t="inlineStr">
        <is>
          <t>F1</t>
        </is>
      </c>
      <c r="B27" s="2" t="n">
        <v>61</v>
      </c>
      <c r="C27" s="2" t="inlineStr">
        <is>
          <t>UNKNOWN</t>
        </is>
      </c>
      <c r="D27" s="2" t="inlineStr">
        <is>
          <t>MPC - 10</t>
        </is>
      </c>
      <c r="E27" s="2" t="inlineStr">
        <is>
          <t>CHO</t>
        </is>
      </c>
      <c r="F27" s="2" t="n">
        <v>17.9251</v>
      </c>
      <c r="G27" s="2" t="n">
        <v>17.8808</v>
      </c>
      <c r="H27" s="2" t="n">
        <v>0.41</v>
      </c>
      <c r="I27" s="2" t="n">
        <v>0.0731</v>
      </c>
      <c r="J27" s="2" t="n">
        <v>10.6433</v>
      </c>
      <c r="K27" s="2" t="n">
        <v>10.9875</v>
      </c>
      <c r="L27" s="2" t="n">
        <v>0.5681</v>
      </c>
      <c r="M27" s="2" t="n">
        <v>5.17</v>
      </c>
      <c r="N27" s="2" t="n">
        <v>1</v>
      </c>
      <c r="O27" s="2" t="n">
        <v>10.9875</v>
      </c>
      <c r="P27" s="2" t="n">
        <v>109.87</v>
      </c>
      <c r="Q27" s="2" t="n">
        <v>0.9998</v>
      </c>
      <c r="R27" s="2" t="n">
        <v>-3.3008</v>
      </c>
      <c r="S27" s="2" t="n">
        <v>21.3153</v>
      </c>
      <c r="T27" s="2" t="n">
        <v>10.9875</v>
      </c>
      <c r="U27" s="2" t="n">
        <v>0</v>
      </c>
      <c r="V27" s="2" t="n">
        <v>0.207</v>
      </c>
      <c r="W27" s="2" t="inlineStr">
        <is>
          <t>true</t>
        </is>
      </c>
      <c r="X27" s="2" t="n">
        <v>1</v>
      </c>
      <c r="Y27" s="2" t="inlineStr">
        <is>
          <t>Yes</t>
        </is>
      </c>
      <c r="Z27" s="2" t="n">
        <v>3</v>
      </c>
      <c r="AA27" s="2" t="n">
        <v>12</v>
      </c>
      <c r="AB27" s="2" t="n">
        <v>0</v>
      </c>
      <c r="AC27" s="2" t="n">
        <v>10.9875</v>
      </c>
      <c r="AD27" s="2" t="n">
        <v>10</v>
      </c>
      <c r="AE27" s="2" t="inlineStr">
        <is>
          <t>Linear</t>
        </is>
      </c>
      <c r="AF27" s="2" t="n">
        <v>100.89</v>
      </c>
      <c r="AG27" s="2" t="inlineStr">
        <is>
          <t>Amplification</t>
        </is>
      </c>
      <c r="AH27" s="2" t="inlineStr">
        <is>
          <t>N</t>
        </is>
      </c>
      <c r="AI27" s="2" t="inlineStr">
        <is>
          <t>N</t>
        </is>
      </c>
      <c r="AJ27" s="2" t="inlineStr">
        <is>
          <t>N</t>
        </is>
      </c>
      <c r="AK27" s="2" t="inlineStr">
        <is>
          <t>N</t>
        </is>
      </c>
      <c r="AN27" s="18">
        <f>IF(AND(P27&gt;=80, P27&lt;=120),"PASS","FAIL")</f>
        <v/>
      </c>
      <c r="AO27" s="16">
        <f>IF(H27&lt;5,"PASS","FAIL")</f>
        <v/>
      </c>
      <c r="AP27" s="16">
        <f>IF(M27&lt;=15,"PASS","FAIL")</f>
        <v/>
      </c>
    </row>
    <row r="28">
      <c r="A28" s="1" t="inlineStr">
        <is>
          <t>F2</t>
        </is>
      </c>
      <c r="B28" s="1" t="n">
        <v>62</v>
      </c>
      <c r="C28" s="1" t="inlineStr">
        <is>
          <t>UNKNOWN</t>
        </is>
      </c>
      <c r="D28" s="1" t="inlineStr">
        <is>
          <t>MPC - 10</t>
        </is>
      </c>
      <c r="E28" s="1" t="inlineStr">
        <is>
          <t>CHO</t>
        </is>
      </c>
      <c r="F28" s="1" t="n">
        <v>17.9207</v>
      </c>
      <c r="G28" s="1" t="n">
        <v>17.8808</v>
      </c>
      <c r="H28" s="1" t="n">
        <v>0.41</v>
      </c>
      <c r="I28" s="1" t="n">
        <v>0.0731</v>
      </c>
      <c r="J28" s="1" t="n">
        <v>10.676</v>
      </c>
      <c r="K28" s="1" t="n">
        <v>10.9875</v>
      </c>
      <c r="L28" s="1" t="n">
        <v>0.5681</v>
      </c>
      <c r="M28" s="1" t="n">
        <v>5.17</v>
      </c>
      <c r="N28" s="1" t="n">
        <v>1</v>
      </c>
      <c r="O28" s="1" t="n">
        <v>10.9875</v>
      </c>
      <c r="P28" s="1" t="n">
        <v>109.87</v>
      </c>
      <c r="Q28" s="1" t="n">
        <v>0.9998</v>
      </c>
      <c r="R28" s="1" t="n">
        <v>-3.3008</v>
      </c>
      <c r="S28" s="1" t="n">
        <v>21.3153</v>
      </c>
      <c r="T28" s="1" t="n">
        <v>10.9875</v>
      </c>
      <c r="U28" s="1" t="n">
        <v>0</v>
      </c>
      <c r="V28" s="1" t="n">
        <v>0.207</v>
      </c>
      <c r="W28" s="1" t="inlineStr">
        <is>
          <t>true</t>
        </is>
      </c>
      <c r="X28" s="1" t="n">
        <v>1</v>
      </c>
      <c r="Y28" s="1" t="inlineStr">
        <is>
          <t>Yes</t>
        </is>
      </c>
      <c r="Z28" s="1" t="n">
        <v>3</v>
      </c>
      <c r="AA28" s="1" t="n">
        <v>13</v>
      </c>
      <c r="AB28" s="1" t="n">
        <v>0</v>
      </c>
      <c r="AC28" s="1" t="n">
        <v>10.9875</v>
      </c>
      <c r="AD28" s="1" t="n">
        <v>10</v>
      </c>
      <c r="AE28" s="1" t="inlineStr">
        <is>
          <t>Linear</t>
        </is>
      </c>
      <c r="AF28" s="1" t="n">
        <v>100.89</v>
      </c>
      <c r="AG28" s="1" t="inlineStr">
        <is>
          <t>Amplification</t>
        </is>
      </c>
      <c r="AH28" s="1" t="inlineStr">
        <is>
          <t>N</t>
        </is>
      </c>
      <c r="AI28" s="1" t="inlineStr">
        <is>
          <t>N</t>
        </is>
      </c>
      <c r="AJ28" s="1" t="inlineStr">
        <is>
          <t>N</t>
        </is>
      </c>
      <c r="AK28" s="1" t="inlineStr">
        <is>
          <t>N</t>
        </is>
      </c>
      <c r="AN28" s="18">
        <f>IF(AND(P28&gt;=80, P28&lt;=120),"PASS","FAIL")</f>
        <v/>
      </c>
      <c r="AO28" s="16">
        <f>IF(H28&lt;5,"PASS","FAIL")</f>
        <v/>
      </c>
      <c r="AP28" s="16">
        <f>IF(M28&lt;=15,"PASS","FAIL")</f>
        <v/>
      </c>
    </row>
    <row r="29">
      <c r="A29" s="2" t="inlineStr">
        <is>
          <t>F3</t>
        </is>
      </c>
      <c r="B29" s="2" t="n">
        <v>63</v>
      </c>
      <c r="C29" s="2" t="inlineStr">
        <is>
          <t>UNKNOWN</t>
        </is>
      </c>
      <c r="D29" s="2" t="inlineStr">
        <is>
          <t>MPC - 10</t>
        </is>
      </c>
      <c r="E29" s="2" t="inlineStr">
        <is>
          <t>CHO</t>
        </is>
      </c>
      <c r="F29" s="2" t="n">
        <v>17.7964</v>
      </c>
      <c r="G29" s="2" t="n">
        <v>17.8808</v>
      </c>
      <c r="H29" s="2" t="n">
        <v>0.41</v>
      </c>
      <c r="I29" s="2" t="n">
        <v>0.0731</v>
      </c>
      <c r="J29" s="2" t="n">
        <v>11.6431</v>
      </c>
      <c r="K29" s="2" t="n">
        <v>10.9875</v>
      </c>
      <c r="L29" s="2" t="n">
        <v>0.5681</v>
      </c>
      <c r="M29" s="2" t="n">
        <v>5.17</v>
      </c>
      <c r="N29" s="2" t="n">
        <v>1</v>
      </c>
      <c r="O29" s="2" t="n">
        <v>10.9875</v>
      </c>
      <c r="P29" s="2" t="n">
        <v>109.87</v>
      </c>
      <c r="Q29" s="2" t="n">
        <v>0.9998</v>
      </c>
      <c r="R29" s="2" t="n">
        <v>-3.3008</v>
      </c>
      <c r="S29" s="2" t="n">
        <v>21.3153</v>
      </c>
      <c r="T29" s="2" t="n">
        <v>10.9875</v>
      </c>
      <c r="U29" s="2" t="n">
        <v>0</v>
      </c>
      <c r="V29" s="2" t="n">
        <v>0.207</v>
      </c>
      <c r="W29" s="2" t="inlineStr">
        <is>
          <t>true</t>
        </is>
      </c>
      <c r="X29" s="2" t="n">
        <v>1</v>
      </c>
      <c r="Y29" s="2" t="inlineStr">
        <is>
          <t>Yes</t>
        </is>
      </c>
      <c r="Z29" s="2" t="n">
        <v>3</v>
      </c>
      <c r="AA29" s="2" t="n">
        <v>11</v>
      </c>
      <c r="AB29" s="2" t="n">
        <v>0</v>
      </c>
      <c r="AC29" s="2" t="n">
        <v>10.9875</v>
      </c>
      <c r="AD29" s="2" t="n">
        <v>10</v>
      </c>
      <c r="AE29" s="2" t="inlineStr">
        <is>
          <t>Linear</t>
        </is>
      </c>
      <c r="AF29" s="2" t="n">
        <v>100.89</v>
      </c>
      <c r="AG29" s="2" t="inlineStr">
        <is>
          <t>Amplification</t>
        </is>
      </c>
      <c r="AH29" s="2" t="inlineStr">
        <is>
          <t>N</t>
        </is>
      </c>
      <c r="AI29" s="2" t="inlineStr">
        <is>
          <t>N</t>
        </is>
      </c>
      <c r="AJ29" s="2" t="inlineStr">
        <is>
          <t>N</t>
        </is>
      </c>
      <c r="AK29" s="2" t="inlineStr">
        <is>
          <t>N</t>
        </is>
      </c>
      <c r="AN29" s="18">
        <f>IF(AND(P29&gt;=80, P29&lt;=120),"PASS","FAIL")</f>
        <v/>
      </c>
      <c r="AO29" s="16">
        <f>IF(H29&lt;5,"PASS","FAIL")</f>
        <v/>
      </c>
      <c r="AP29" s="16">
        <f>IF(M29&lt;=15,"PASS","FAIL")</f>
        <v/>
      </c>
    </row>
    <row r="30">
      <c r="A30" s="2" t="inlineStr">
        <is>
          <t>G1</t>
        </is>
      </c>
      <c r="B30" s="2" t="n">
        <v>73</v>
      </c>
      <c r="C30" s="2" t="inlineStr">
        <is>
          <t>UNKNOWN</t>
        </is>
      </c>
      <c r="D30" s="2" t="inlineStr">
        <is>
          <t>LPC - 5</t>
        </is>
      </c>
      <c r="E30" s="2" t="inlineStr">
        <is>
          <t>CHO</t>
        </is>
      </c>
      <c r="F30" s="2" t="n">
        <v>18.8866</v>
      </c>
      <c r="G30" s="2" t="n">
        <v>18.8759</v>
      </c>
      <c r="H30" s="2" t="n">
        <v>0.05</v>
      </c>
      <c r="I30" s="2" t="n">
        <v>0.0101</v>
      </c>
      <c r="J30" s="2" t="n">
        <v>5.4424</v>
      </c>
      <c r="K30" s="2" t="n">
        <v>5.4834</v>
      </c>
      <c r="L30" s="2" t="n">
        <v>0.0384</v>
      </c>
      <c r="M30" s="2" t="n">
        <v>0.7</v>
      </c>
      <c r="N30" s="2" t="n">
        <v>1</v>
      </c>
      <c r="O30" s="2" t="n">
        <v>5.4834</v>
      </c>
      <c r="P30" s="2" t="n">
        <v>109.67</v>
      </c>
      <c r="Q30" s="2" t="n">
        <v>0.9998</v>
      </c>
      <c r="R30" s="2" t="n">
        <v>-3.3008</v>
      </c>
      <c r="S30" s="2" t="n">
        <v>21.3153</v>
      </c>
      <c r="T30" s="2" t="n">
        <v>5.4834</v>
      </c>
      <c r="U30" s="2" t="n">
        <v>0</v>
      </c>
      <c r="V30" s="2" t="n">
        <v>0.207</v>
      </c>
      <c r="W30" s="2" t="inlineStr">
        <is>
          <t>true</t>
        </is>
      </c>
      <c r="X30" s="2" t="n">
        <v>1</v>
      </c>
      <c r="Y30" s="2" t="inlineStr">
        <is>
          <t>Yes</t>
        </is>
      </c>
      <c r="Z30" s="2" t="n">
        <v>3</v>
      </c>
      <c r="AA30" s="2" t="n">
        <v>13</v>
      </c>
      <c r="AB30" s="2" t="n">
        <v>0</v>
      </c>
      <c r="AC30" s="2" t="n">
        <v>5.4834</v>
      </c>
      <c r="AD30" s="2" t="n">
        <v>5</v>
      </c>
      <c r="AE30" s="2" t="inlineStr">
        <is>
          <t>Linear</t>
        </is>
      </c>
      <c r="AF30" s="2" t="n">
        <v>100.89</v>
      </c>
      <c r="AG30" s="2" t="inlineStr">
        <is>
          <t>Amplification</t>
        </is>
      </c>
      <c r="AH30" s="2" t="inlineStr">
        <is>
          <t>N</t>
        </is>
      </c>
      <c r="AI30" s="2" t="inlineStr">
        <is>
          <t>N</t>
        </is>
      </c>
      <c r="AJ30" s="2" t="inlineStr">
        <is>
          <t>N</t>
        </is>
      </c>
      <c r="AK30" s="2" t="inlineStr">
        <is>
          <t>N</t>
        </is>
      </c>
      <c r="AN30" s="18">
        <f>IF(AND(P30&gt;=80, P30&lt;=120),"PASS","FAIL")</f>
        <v/>
      </c>
      <c r="AO30" s="16">
        <f>IF(H30&lt;5,"PASS","FAIL")</f>
        <v/>
      </c>
      <c r="AP30" s="16">
        <f>IF(M30&lt;=15,"PASS","FAIL")</f>
        <v/>
      </c>
    </row>
    <row r="31">
      <c r="A31" s="1" t="inlineStr">
        <is>
          <t>G2</t>
        </is>
      </c>
      <c r="B31" s="1" t="n">
        <v>74</v>
      </c>
      <c r="C31" s="1" t="inlineStr">
        <is>
          <t>UNKNOWN</t>
        </is>
      </c>
      <c r="D31" s="1" t="inlineStr">
        <is>
          <t>LPC - 5</t>
        </is>
      </c>
      <c r="E31" s="1" t="inlineStr">
        <is>
          <t>CHO</t>
        </is>
      </c>
      <c r="F31" s="1" t="n">
        <v>18.8667</v>
      </c>
      <c r="G31" s="1" t="n">
        <v>18.8759</v>
      </c>
      <c r="H31" s="1" t="n">
        <v>0.05</v>
      </c>
      <c r="I31" s="1" t="n">
        <v>0.0101</v>
      </c>
      <c r="J31" s="1" t="n">
        <v>5.5186</v>
      </c>
      <c r="K31" s="1" t="n">
        <v>5.4834</v>
      </c>
      <c r="L31" s="1" t="n">
        <v>0.0384</v>
      </c>
      <c r="M31" s="1" t="n">
        <v>0.7</v>
      </c>
      <c r="N31" s="1" t="n">
        <v>1</v>
      </c>
      <c r="O31" s="1" t="n">
        <v>5.4834</v>
      </c>
      <c r="P31" s="1" t="n">
        <v>109.67</v>
      </c>
      <c r="Q31" s="1" t="n">
        <v>0.9998</v>
      </c>
      <c r="R31" s="1" t="n">
        <v>-3.3008</v>
      </c>
      <c r="S31" s="1" t="n">
        <v>21.3153</v>
      </c>
      <c r="T31" s="1" t="n">
        <v>5.4834</v>
      </c>
      <c r="U31" s="1" t="n">
        <v>0</v>
      </c>
      <c r="V31" s="1" t="n">
        <v>0.207</v>
      </c>
      <c r="W31" s="1" t="inlineStr">
        <is>
          <t>true</t>
        </is>
      </c>
      <c r="X31" s="1" t="n">
        <v>1</v>
      </c>
      <c r="Y31" s="1" t="inlineStr">
        <is>
          <t>Yes</t>
        </is>
      </c>
      <c r="Z31" s="1" t="n">
        <v>3</v>
      </c>
      <c r="AA31" s="1" t="n">
        <v>12</v>
      </c>
      <c r="AB31" s="1" t="n">
        <v>0</v>
      </c>
      <c r="AC31" s="1" t="n">
        <v>5.4834</v>
      </c>
      <c r="AD31" s="1" t="n">
        <v>5</v>
      </c>
      <c r="AE31" s="1" t="inlineStr">
        <is>
          <t>Linear</t>
        </is>
      </c>
      <c r="AF31" s="1" t="n">
        <v>100.89</v>
      </c>
      <c r="AG31" s="1" t="inlineStr">
        <is>
          <t>Amplification</t>
        </is>
      </c>
      <c r="AH31" s="1" t="inlineStr">
        <is>
          <t>N</t>
        </is>
      </c>
      <c r="AI31" s="1" t="inlineStr">
        <is>
          <t>N</t>
        </is>
      </c>
      <c r="AJ31" s="1" t="inlineStr">
        <is>
          <t>N</t>
        </is>
      </c>
      <c r="AK31" s="1" t="inlineStr">
        <is>
          <t>N</t>
        </is>
      </c>
      <c r="AN31" s="18">
        <f>IF(AND(P31&gt;=80, P31&lt;=120),"PASS","FAIL")</f>
        <v/>
      </c>
      <c r="AO31" s="16">
        <f>IF(H31&lt;5,"PASS","FAIL")</f>
        <v/>
      </c>
      <c r="AP31" s="16">
        <f>IF(M31&lt;=15,"PASS","FAIL")</f>
        <v/>
      </c>
    </row>
    <row r="32">
      <c r="A32" s="2" t="inlineStr">
        <is>
          <t>G3</t>
        </is>
      </c>
      <c r="B32" s="2" t="n">
        <v>75</v>
      </c>
      <c r="C32" s="2" t="inlineStr">
        <is>
          <t>UNKNOWN</t>
        </is>
      </c>
      <c r="D32" s="2" t="inlineStr">
        <is>
          <t>LPC - 5</t>
        </is>
      </c>
      <c r="E32" s="2" t="inlineStr">
        <is>
          <t>CHO</t>
        </is>
      </c>
      <c r="F32" s="2" t="n">
        <v>18.8743</v>
      </c>
      <c r="G32" s="2" t="n">
        <v>18.8759</v>
      </c>
      <c r="H32" s="2" t="n">
        <v>0.05</v>
      </c>
      <c r="I32" s="2" t="n">
        <v>0.0101</v>
      </c>
      <c r="J32" s="2" t="n">
        <v>5.4892</v>
      </c>
      <c r="K32" s="2" t="n">
        <v>5.4834</v>
      </c>
      <c r="L32" s="2" t="n">
        <v>0.0384</v>
      </c>
      <c r="M32" s="2" t="n">
        <v>0.7</v>
      </c>
      <c r="N32" s="2" t="n">
        <v>1</v>
      </c>
      <c r="O32" s="2" t="n">
        <v>5.4834</v>
      </c>
      <c r="P32" s="2" t="n">
        <v>109.67</v>
      </c>
      <c r="Q32" s="2" t="n">
        <v>0.9998</v>
      </c>
      <c r="R32" s="2" t="n">
        <v>-3.3008</v>
      </c>
      <c r="S32" s="2" t="n">
        <v>21.3153</v>
      </c>
      <c r="T32" s="2" t="n">
        <v>5.4834</v>
      </c>
      <c r="U32" s="2" t="n">
        <v>0</v>
      </c>
      <c r="V32" s="2" t="n">
        <v>0.207</v>
      </c>
      <c r="W32" s="2" t="inlineStr">
        <is>
          <t>true</t>
        </is>
      </c>
      <c r="X32" s="2" t="n">
        <v>1</v>
      </c>
      <c r="Y32" s="2" t="inlineStr">
        <is>
          <t>Yes</t>
        </is>
      </c>
      <c r="Z32" s="2" t="n">
        <v>3</v>
      </c>
      <c r="AA32" s="2" t="n">
        <v>14</v>
      </c>
      <c r="AB32" s="2" t="n">
        <v>0</v>
      </c>
      <c r="AC32" s="2" t="n">
        <v>5.4834</v>
      </c>
      <c r="AD32" s="2" t="n">
        <v>5</v>
      </c>
      <c r="AE32" s="2" t="inlineStr">
        <is>
          <t>Linear</t>
        </is>
      </c>
      <c r="AF32" s="2" t="n">
        <v>100.89</v>
      </c>
      <c r="AG32" s="2" t="inlineStr">
        <is>
          <t>Amplification</t>
        </is>
      </c>
      <c r="AH32" s="2" t="inlineStr">
        <is>
          <t>N</t>
        </is>
      </c>
      <c r="AI32" s="2" t="inlineStr">
        <is>
          <t>N</t>
        </is>
      </c>
      <c r="AJ32" s="2" t="inlineStr">
        <is>
          <t>N</t>
        </is>
      </c>
      <c r="AK32" s="2" t="inlineStr">
        <is>
          <t>N</t>
        </is>
      </c>
      <c r="AN32" s="18">
        <f>IF(AND(P32&gt;=80, P32&lt;=120),"PASS","FAIL")</f>
        <v/>
      </c>
      <c r="AO32" s="16">
        <f>IF(H32&lt;5,"PASS","FAIL")</f>
        <v/>
      </c>
      <c r="AP32" s="16">
        <f>IF(M32&lt;=15,"PASS","FAIL")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S49"/>
  <sheetViews>
    <sheetView tabSelected="1" topLeftCell="T13" workbookViewId="0">
      <selection activeCell="AP39" sqref="AP39"/>
    </sheetView>
  </sheetViews>
  <sheetFormatPr baseColWidth="8" defaultRowHeight="12.75"/>
  <cols>
    <col width="13.85546875" customWidth="1" min="3" max="3"/>
    <col width="13.42578125" customWidth="1" min="6" max="6"/>
    <col width="12.5703125" customWidth="1" min="19" max="19"/>
    <col width="13.85546875" customWidth="1" min="20" max="20"/>
    <col width="13.42578125" customWidth="1" min="21" max="21"/>
    <col width="12.42578125" customWidth="1" min="23" max="23"/>
    <col width="14.42578125" customWidth="1" min="24" max="25"/>
    <col width="14" customWidth="1" min="26" max="26"/>
    <col width="11.85546875" customWidth="1" min="29" max="29"/>
    <col width="14" customWidth="1" min="30" max="30"/>
    <col width="14" customWidth="1" min="33" max="33"/>
    <col width="14.7109375" customWidth="1" min="34" max="34"/>
    <col width="15.28515625" customWidth="1" min="38" max="38"/>
    <col width="12" bestFit="1" customWidth="1" min="42" max="42"/>
  </cols>
  <sheetData>
    <row r="2">
      <c r="B2" s="21" t="inlineStr">
        <is>
          <t>Criteria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</row>
    <row r="3">
      <c r="B3" s="17" t="inlineStr">
        <is>
          <t>DNA/Protein = 15 ng/mg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</row>
    <row r="4"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</row>
    <row r="5"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</row>
    <row r="6">
      <c r="B6" s="17" t="n"/>
      <c r="C6" s="17" t="n"/>
      <c r="D6" s="17" t="n"/>
      <c r="E6" s="17" t="n"/>
      <c r="F6" s="17" t="n"/>
      <c r="G6" s="17" t="n"/>
      <c r="H6" s="17" t="n"/>
      <c r="I6" s="21" t="inlineStr">
        <is>
          <t>Sample Below LOQ</t>
        </is>
      </c>
      <c r="J6" s="17" t="n"/>
      <c r="K6" s="17" t="n"/>
      <c r="L6" s="17" t="n"/>
      <c r="M6" s="17" t="n"/>
    </row>
    <row r="7">
      <c r="B7" s="21" t="inlineStr">
        <is>
          <t xml:space="preserve">Result Summary: 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</row>
    <row r="8">
      <c r="B8" s="17" t="n"/>
      <c r="C8" s="17" t="inlineStr">
        <is>
          <t xml:space="preserve">Dilutional Linearity acceptable from Neat - 10x </t>
        </is>
      </c>
      <c r="D8" s="17" t="n"/>
      <c r="E8" s="17" t="n"/>
      <c r="F8" s="17" t="n"/>
      <c r="G8" s="17" t="n"/>
      <c r="H8" s="17" t="n"/>
      <c r="I8" s="17" t="inlineStr">
        <is>
          <t xml:space="preserve">S1 = ~0.0004 ng/mL total DNA in unspiked sample </t>
        </is>
      </c>
      <c r="J8" s="17" t="n"/>
      <c r="K8" s="17" t="n"/>
      <c r="L8" s="17" t="n"/>
      <c r="M8" s="17" t="n"/>
    </row>
    <row r="9">
      <c r="B9" s="17" t="n"/>
      <c r="C9" s="17" t="inlineStr">
        <is>
          <t xml:space="preserve">Spike Recovery acceptable from Neat - 10x </t>
        </is>
      </c>
      <c r="D9" s="17" t="n"/>
      <c r="E9" s="17" t="n"/>
      <c r="F9" s="17" t="n"/>
      <c r="G9" s="17" t="n"/>
      <c r="H9" s="17" t="n"/>
      <c r="I9" s="17" t="inlineStr">
        <is>
          <t>S1 = ~0.0002 ng/mg DNA/Protein</t>
        </is>
      </c>
      <c r="J9" s="17" t="n"/>
      <c r="K9" s="17" t="n"/>
      <c r="L9" s="17" t="n"/>
      <c r="M9" s="17" t="n"/>
    </row>
    <row r="10">
      <c r="B10" s="17" t="n"/>
      <c r="C10" s="17" t="inlineStr">
        <is>
          <t>Undetermined Ct from 100x to 1000x dilution</t>
        </is>
      </c>
      <c r="D10" s="17" t="n"/>
      <c r="E10" s="17" t="n"/>
      <c r="F10" s="17" t="n"/>
      <c r="G10" s="17" t="n"/>
      <c r="H10" s="17" t="n"/>
      <c r="I10" s="17" t="inlineStr">
        <is>
          <t>S1 S = 3.2 ng/mL total DNA in spiked sample</t>
        </is>
      </c>
      <c r="J10" s="17" t="n"/>
      <c r="K10" s="17" t="n"/>
      <c r="L10" s="17" t="n"/>
      <c r="M10" s="17" t="n"/>
    </row>
    <row r="11"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>
      <c r="B13" s="21" t="inlineStr">
        <is>
          <t>Validation</t>
        </is>
      </c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>
      <c r="B14" s="17" t="n"/>
      <c r="C14" s="17" t="inlineStr">
        <is>
          <t>Dilutions starting from Neat, 10x</t>
        </is>
      </c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</row>
    <row r="16">
      <c r="B16" s="17" t="n"/>
      <c r="C16" s="17" t="inlineStr">
        <is>
          <t>Spiked at 3 pg/uL</t>
        </is>
      </c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</row>
    <row r="18"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</row>
    <row r="20">
      <c r="F20" s="22" t="inlineStr">
        <is>
          <t>Reference Dilution</t>
        </is>
      </c>
      <c r="G20" s="23" t="n"/>
      <c r="H20" s="24">
        <f>N23</f>
        <v/>
      </c>
      <c r="T20" s="21" t="inlineStr">
        <is>
          <t>*ng/mL</t>
        </is>
      </c>
    </row>
    <row r="22" ht="51" customHeight="1">
      <c r="A22" s="35" t="inlineStr">
        <is>
          <t>Well</t>
        </is>
      </c>
      <c r="B22" s="35" t="inlineStr">
        <is>
          <t>Well Position</t>
        </is>
      </c>
      <c r="C22" s="35" t="inlineStr">
        <is>
          <t>Task</t>
        </is>
      </c>
      <c r="D22" s="35" t="inlineStr">
        <is>
          <t>Sample Name</t>
        </is>
      </c>
      <c r="E22" s="35" t="inlineStr">
        <is>
          <t>Target Name</t>
        </is>
      </c>
      <c r="F22" s="4" t="inlineStr">
        <is>
          <t>Ct</t>
        </is>
      </c>
      <c r="G22" s="4" t="inlineStr">
        <is>
          <t>Ct Mean</t>
        </is>
      </c>
      <c r="H22" s="4" t="inlineStr">
        <is>
          <t>Ct CV%</t>
        </is>
      </c>
      <c r="I22" s="4" t="inlineStr">
        <is>
          <t>Ct SD</t>
        </is>
      </c>
      <c r="J22" s="4" t="inlineStr">
        <is>
          <t>Quantity</t>
        </is>
      </c>
      <c r="K22" s="4" t="inlineStr">
        <is>
          <t>Quantity Mean</t>
        </is>
      </c>
      <c r="L22" s="4" t="inlineStr">
        <is>
          <t>Quantity SD</t>
        </is>
      </c>
      <c r="M22" s="4" t="inlineStr">
        <is>
          <t>Quantity %CV</t>
        </is>
      </c>
      <c r="N22" s="4" t="inlineStr">
        <is>
          <t>Dilution Factor</t>
        </is>
      </c>
      <c r="O22" s="4" t="inlineStr">
        <is>
          <t>Dilution Adjusted</t>
        </is>
      </c>
      <c r="P22" s="4" t="inlineStr">
        <is>
          <t>% Recovery</t>
        </is>
      </c>
      <c r="Q22" s="4" t="inlineStr">
        <is>
          <t>R2</t>
        </is>
      </c>
      <c r="R22" s="4" t="inlineStr">
        <is>
          <t>Slope</t>
        </is>
      </c>
      <c r="S22" s="4" t="inlineStr">
        <is>
          <t>Y-Intercept</t>
        </is>
      </c>
      <c r="T22" s="4" t="inlineStr">
        <is>
          <t>Total DNA per mL</t>
        </is>
      </c>
      <c r="U22" s="4" t="inlineStr">
        <is>
          <t>Total DNA per Protein Concentration</t>
        </is>
      </c>
      <c r="V22" s="35" t="inlineStr">
        <is>
          <t>Flag</t>
        </is>
      </c>
      <c r="W22" s="35" t="inlineStr">
        <is>
          <t>Ct Threshold</t>
        </is>
      </c>
      <c r="X22" s="35" t="inlineStr">
        <is>
          <t>Automatic Ct Threshold</t>
        </is>
      </c>
      <c r="Y22" s="35" t="inlineStr">
        <is>
          <t>CQ Confidence</t>
        </is>
      </c>
      <c r="Z22" s="35" t="inlineStr">
        <is>
          <t>Automatic Baseline</t>
        </is>
      </c>
      <c r="AA22" s="35" t="inlineStr">
        <is>
          <t>Baseline Start</t>
        </is>
      </c>
      <c r="AB22" s="35" t="inlineStr">
        <is>
          <t>Baseline End</t>
        </is>
      </c>
      <c r="AC22" s="35" t="inlineStr">
        <is>
          <t>Reference</t>
        </is>
      </c>
      <c r="AD22" s="35" t="inlineStr">
        <is>
          <t>Reference Adjusted</t>
        </is>
      </c>
      <c r="AE22" s="4" t="inlineStr">
        <is>
          <t>Spike Input</t>
        </is>
      </c>
      <c r="AF22" s="35" t="inlineStr">
        <is>
          <t>Fit</t>
        </is>
      </c>
      <c r="AG22" s="4" t="inlineStr">
        <is>
          <t>Amplification Efficiency</t>
        </is>
      </c>
      <c r="AH22" s="35" t="inlineStr">
        <is>
          <t>Amplification Status</t>
        </is>
      </c>
      <c r="AI22" s="35" t="inlineStr">
        <is>
          <t>AMPNC</t>
        </is>
      </c>
      <c r="AJ22" s="35" t="inlineStr">
        <is>
          <t>NOAMP</t>
        </is>
      </c>
      <c r="AK22" s="35" t="inlineStr">
        <is>
          <t>EXPFAIL</t>
        </is>
      </c>
      <c r="AL22" s="4" t="inlineStr">
        <is>
          <t>Protein Concentration</t>
        </is>
      </c>
      <c r="AM22" s="35" t="inlineStr">
        <is>
          <t>CQCONF</t>
        </is>
      </c>
      <c r="AP22" s="26" t="inlineStr">
        <is>
          <t>% Bias |20%|</t>
        </is>
      </c>
      <c r="AQ22" s="26" t="inlineStr">
        <is>
          <t>Dilutional Linearity |20%|</t>
        </is>
      </c>
      <c r="AR22" s="27" t="inlineStr">
        <is>
          <t>Ct Replicate %CV  |&lt;=5%|</t>
        </is>
      </c>
      <c r="AS22" s="27" t="inlineStr">
        <is>
          <t>Quantity Replicate %CV |&lt;=15%|</t>
        </is>
      </c>
    </row>
    <row r="23">
      <c r="A23" s="1" t="inlineStr">
        <is>
          <t>A4</t>
        </is>
      </c>
      <c r="B23" s="1" t="n">
        <v>4</v>
      </c>
      <c r="C23" s="1" t="inlineStr">
        <is>
          <t>UNKNOWN</t>
        </is>
      </c>
      <c r="D23" s="1" t="inlineStr">
        <is>
          <t>S1 D1</t>
        </is>
      </c>
      <c r="E23" s="1" t="inlineStr">
        <is>
          <t>CHO</t>
        </is>
      </c>
      <c r="F23" s="1" t="n">
        <v>32.3647</v>
      </c>
      <c r="G23" s="1" t="n">
        <v>32.5183</v>
      </c>
      <c r="H23" s="7" t="n">
        <v>0.8100000000000001</v>
      </c>
      <c r="I23" s="1" t="n">
        <v>0.2622</v>
      </c>
      <c r="J23" s="1" t="n">
        <v>0.0004</v>
      </c>
      <c r="K23" s="1" t="n">
        <v>0.0004</v>
      </c>
      <c r="L23" s="1" t="n">
        <v>0.0001</v>
      </c>
      <c r="M23" s="7" t="n">
        <v>17.24</v>
      </c>
      <c r="N23" s="1" t="n">
        <v>1</v>
      </c>
      <c r="O23" s="7" t="n">
        <v>0.0004</v>
      </c>
      <c r="P23" s="1" t="inlineStr"/>
      <c r="Q23" s="1" t="n">
        <v>0.9998</v>
      </c>
      <c r="R23" s="1" t="n">
        <v>-3.3008</v>
      </c>
      <c r="S23" s="1" t="n">
        <v>21.3153</v>
      </c>
      <c r="T23" s="7" t="n">
        <v>0.0004</v>
      </c>
      <c r="U23" s="7" t="n">
        <v>0.0002</v>
      </c>
      <c r="V23" s="1" t="n">
        <v>0</v>
      </c>
      <c r="W23" s="1" t="n">
        <v>0.207</v>
      </c>
      <c r="X23" s="1" t="inlineStr">
        <is>
          <t>true</t>
        </is>
      </c>
      <c r="Y23" s="1" t="n">
        <v>1</v>
      </c>
      <c r="Z23" s="1" t="inlineStr">
        <is>
          <t>Yes</t>
        </is>
      </c>
      <c r="AA23" s="1" t="n">
        <v>3</v>
      </c>
      <c r="AB23" s="1" t="n">
        <v>27</v>
      </c>
      <c r="AC23" s="1" t="n">
        <v>0</v>
      </c>
      <c r="AD23" s="1" t="n">
        <v>0.0004</v>
      </c>
      <c r="AE23" s="1" t="n">
        <v>0</v>
      </c>
      <c r="AF23" s="1" t="inlineStr">
        <is>
          <t>Linear</t>
        </is>
      </c>
      <c r="AG23" s="1" t="n">
        <v>100.89</v>
      </c>
      <c r="AH23" s="1" t="inlineStr">
        <is>
          <t>Amplification</t>
        </is>
      </c>
      <c r="AI23" s="1" t="inlineStr">
        <is>
          <t>N</t>
        </is>
      </c>
      <c r="AJ23" s="1" t="inlineStr">
        <is>
          <t>N</t>
        </is>
      </c>
      <c r="AK23" s="1" t="inlineStr">
        <is>
          <t>N</t>
        </is>
      </c>
      <c r="AL23" s="1" t="n">
        <v>1.825</v>
      </c>
      <c r="AM23" s="1" t="inlineStr">
        <is>
          <t>N</t>
        </is>
      </c>
      <c r="AP23" s="28">
        <f>100*(O23-$O$23)/$O$23</f>
        <v/>
      </c>
      <c r="AQ23" s="25">
        <f>IF(ABS(AP23)&lt;=20,"PASS","FAIL")</f>
        <v/>
      </c>
      <c r="AR23" s="25">
        <f>IF(H23&lt;=5,"PASS","FAIL")</f>
        <v/>
      </c>
      <c r="AS23" s="25">
        <f>IF(M23&lt;=15,"PASS","FAIL")</f>
        <v/>
      </c>
    </row>
    <row r="24">
      <c r="A24" s="2" t="inlineStr">
        <is>
          <t>A5</t>
        </is>
      </c>
      <c r="B24" s="2" t="n">
        <v>5</v>
      </c>
      <c r="C24" s="2" t="inlineStr">
        <is>
          <t>UNKNOWN</t>
        </is>
      </c>
      <c r="D24" s="2" t="inlineStr">
        <is>
          <t>S1 D1</t>
        </is>
      </c>
      <c r="E24" s="2" t="inlineStr">
        <is>
          <t>CHO</t>
        </is>
      </c>
      <c r="F24" s="2" t="n">
        <v>32.3692</v>
      </c>
      <c r="G24" s="2" t="n">
        <v>32.5183</v>
      </c>
      <c r="H24" s="7" t="n">
        <v>0.8100000000000001</v>
      </c>
      <c r="I24" s="2" t="n">
        <v>0.2622</v>
      </c>
      <c r="J24" s="2" t="n">
        <v>0.0004</v>
      </c>
      <c r="K24" s="2" t="n">
        <v>0.0004</v>
      </c>
      <c r="L24" s="2" t="n">
        <v>0.0001</v>
      </c>
      <c r="M24" s="7" t="n">
        <v>17.24</v>
      </c>
      <c r="N24" s="2" t="n">
        <v>1</v>
      </c>
      <c r="O24" s="7" t="n">
        <v>0.0004</v>
      </c>
      <c r="P24" s="2" t="inlineStr"/>
      <c r="Q24" s="2" t="n">
        <v>0.9998</v>
      </c>
      <c r="R24" s="2" t="n">
        <v>-3.3008</v>
      </c>
      <c r="S24" s="2" t="n">
        <v>21.3153</v>
      </c>
      <c r="T24" s="7" t="n">
        <v>0.0004</v>
      </c>
      <c r="U24" s="7" t="n">
        <v>0.0002</v>
      </c>
      <c r="V24" s="2" t="n">
        <v>0</v>
      </c>
      <c r="W24" s="2" t="n">
        <v>0.207</v>
      </c>
      <c r="X24" s="2" t="inlineStr">
        <is>
          <t>true</t>
        </is>
      </c>
      <c r="Y24" s="2" t="n">
        <v>1</v>
      </c>
      <c r="Z24" s="2" t="inlineStr">
        <is>
          <t>Yes</t>
        </is>
      </c>
      <c r="AA24" s="2" t="n">
        <v>3</v>
      </c>
      <c r="AB24" s="2" t="n">
        <v>28</v>
      </c>
      <c r="AC24" s="2" t="n">
        <v>0</v>
      </c>
      <c r="AD24" s="2" t="n">
        <v>0.0004</v>
      </c>
      <c r="AE24" s="2" t="n">
        <v>0</v>
      </c>
      <c r="AF24" s="2" t="inlineStr">
        <is>
          <t>Linear</t>
        </is>
      </c>
      <c r="AG24" s="2" t="n">
        <v>100.89</v>
      </c>
      <c r="AH24" s="2" t="inlineStr">
        <is>
          <t>Amplification</t>
        </is>
      </c>
      <c r="AI24" s="2" t="inlineStr">
        <is>
          <t>N</t>
        </is>
      </c>
      <c r="AJ24" s="2" t="inlineStr">
        <is>
          <t>N</t>
        </is>
      </c>
      <c r="AK24" s="2" t="inlineStr">
        <is>
          <t>N</t>
        </is>
      </c>
      <c r="AL24" s="2" t="n">
        <v>1.825</v>
      </c>
      <c r="AM24" s="2" t="inlineStr">
        <is>
          <t>N</t>
        </is>
      </c>
      <c r="AP24" s="28">
        <f>100*(O24-$O$23)/$O$23</f>
        <v/>
      </c>
      <c r="AQ24" s="14">
        <f>IF(ABS(AP24)&lt;=20,"PASS","FAIL")</f>
        <v/>
      </c>
      <c r="AR24" s="25">
        <f>IF(H24&lt;=5,"PASS","FAIL")</f>
        <v/>
      </c>
      <c r="AS24" s="25">
        <f>IF(M24&lt;=15,"PASS","FAIL")</f>
        <v/>
      </c>
    </row>
    <row r="25">
      <c r="A25" s="1" t="inlineStr">
        <is>
          <t>A6</t>
        </is>
      </c>
      <c r="B25" s="1" t="n">
        <v>6</v>
      </c>
      <c r="C25" s="1" t="inlineStr">
        <is>
          <t>UNKNOWN</t>
        </is>
      </c>
      <c r="D25" s="1" t="inlineStr">
        <is>
          <t>S1 D1</t>
        </is>
      </c>
      <c r="E25" s="1" t="inlineStr">
        <is>
          <t>CHO</t>
        </is>
      </c>
      <c r="F25" s="1" t="n">
        <v>32.8211</v>
      </c>
      <c r="G25" s="1" t="n">
        <v>32.5183</v>
      </c>
      <c r="H25" s="7" t="n">
        <v>0.8100000000000001</v>
      </c>
      <c r="I25" s="1" t="n">
        <v>0.2622</v>
      </c>
      <c r="J25" s="1" t="n">
        <v>0.0003</v>
      </c>
      <c r="K25" s="1" t="n">
        <v>0.0004</v>
      </c>
      <c r="L25" s="1" t="n">
        <v>0.0001</v>
      </c>
      <c r="M25" s="7" t="n">
        <v>17.24</v>
      </c>
      <c r="N25" s="1" t="n">
        <v>1</v>
      </c>
      <c r="O25" s="7" t="n">
        <v>0.0004</v>
      </c>
      <c r="P25" s="1" t="inlineStr"/>
      <c r="Q25" s="1" t="n">
        <v>0.9998</v>
      </c>
      <c r="R25" s="1" t="n">
        <v>-3.3008</v>
      </c>
      <c r="S25" s="1" t="n">
        <v>21.3153</v>
      </c>
      <c r="T25" s="7" t="n">
        <v>0.0004</v>
      </c>
      <c r="U25" s="7" t="n">
        <v>0.0002</v>
      </c>
      <c r="V25" s="1" t="n">
        <v>0</v>
      </c>
      <c r="W25" s="1" t="n">
        <v>0.207</v>
      </c>
      <c r="X25" s="1" t="inlineStr">
        <is>
          <t>true</t>
        </is>
      </c>
      <c r="Y25" s="1" t="n">
        <v>1</v>
      </c>
      <c r="Z25" s="1" t="inlineStr">
        <is>
          <t>Yes</t>
        </is>
      </c>
      <c r="AA25" s="1" t="n">
        <v>3</v>
      </c>
      <c r="AB25" s="1" t="n">
        <v>26</v>
      </c>
      <c r="AC25" s="1" t="n">
        <v>0</v>
      </c>
      <c r="AD25" s="1" t="n">
        <v>0.0004</v>
      </c>
      <c r="AE25" s="1" t="n">
        <v>0</v>
      </c>
      <c r="AF25" s="1" t="inlineStr">
        <is>
          <t>Linear</t>
        </is>
      </c>
      <c r="AG25" s="1" t="n">
        <v>100.89</v>
      </c>
      <c r="AH25" s="1" t="inlineStr">
        <is>
          <t>Amplification</t>
        </is>
      </c>
      <c r="AI25" s="1" t="inlineStr">
        <is>
          <t>N</t>
        </is>
      </c>
      <c r="AJ25" s="1" t="inlineStr">
        <is>
          <t>N</t>
        </is>
      </c>
      <c r="AK25" s="1" t="inlineStr">
        <is>
          <t>N</t>
        </is>
      </c>
      <c r="AL25" s="1" t="n">
        <v>1.825</v>
      </c>
      <c r="AM25" s="1" t="inlineStr">
        <is>
          <t>N</t>
        </is>
      </c>
      <c r="AP25" s="28">
        <f>100*(O25-$O$23)/$O$23</f>
        <v/>
      </c>
      <c r="AQ25" s="14">
        <f>IF(ABS(AP25)&lt;=20,"PASS","FAIL")</f>
        <v/>
      </c>
      <c r="AR25" s="25">
        <f>IF(H25&lt;=5,"PASS","FAIL")</f>
        <v/>
      </c>
      <c r="AS25" s="25">
        <f>IF(M25&lt;=15,"PASS","FAIL")</f>
        <v/>
      </c>
    </row>
    <row r="26">
      <c r="A26" s="1" t="inlineStr">
        <is>
          <t>B4</t>
        </is>
      </c>
      <c r="B26" s="1" t="n">
        <v>16</v>
      </c>
      <c r="C26" s="1" t="inlineStr">
        <is>
          <t>UNKNOWN</t>
        </is>
      </c>
      <c r="D26" s="1" t="inlineStr">
        <is>
          <t>S1 D2</t>
        </is>
      </c>
      <c r="E26" s="1" t="inlineStr">
        <is>
          <t>CHO</t>
        </is>
      </c>
      <c r="F26" s="1" t="n">
        <v>35.7364</v>
      </c>
      <c r="G26" s="1" t="n">
        <v>35.8319</v>
      </c>
      <c r="H26" s="1" t="n">
        <v>0.91</v>
      </c>
      <c r="I26" s="1" t="n">
        <v>0.3254</v>
      </c>
      <c r="J26" s="1" t="n">
        <v>0</v>
      </c>
      <c r="K26" s="1" t="n">
        <v>0</v>
      </c>
      <c r="L26" s="1" t="n">
        <v>0</v>
      </c>
      <c r="M26" s="1" t="n">
        <v>21.52</v>
      </c>
      <c r="N26" s="1" t="n">
        <v>10</v>
      </c>
      <c r="O26" s="1" t="n">
        <v>0.0004</v>
      </c>
      <c r="P26" s="1" t="inlineStr"/>
      <c r="Q26" s="1" t="n">
        <v>0.9998</v>
      </c>
      <c r="R26" s="1" t="n">
        <v>-3.3008</v>
      </c>
      <c r="S26" s="1" t="n">
        <v>21.3153</v>
      </c>
      <c r="T26" s="7" t="n">
        <v>0.0004</v>
      </c>
      <c r="U26" s="7" t="n">
        <v>0.0002</v>
      </c>
      <c r="V26" s="1" t="n">
        <v>0</v>
      </c>
      <c r="W26" s="1" t="n">
        <v>0.207</v>
      </c>
      <c r="X26" s="1" t="inlineStr">
        <is>
          <t>true</t>
        </is>
      </c>
      <c r="Y26" s="1" t="n">
        <v>1</v>
      </c>
      <c r="Z26" s="1" t="inlineStr">
        <is>
          <t>Yes</t>
        </is>
      </c>
      <c r="AA26" s="1" t="n">
        <v>3</v>
      </c>
      <c r="AB26" s="1" t="n">
        <v>30</v>
      </c>
      <c r="AC26" s="1" t="n">
        <v>0</v>
      </c>
      <c r="AD26" s="1" t="n">
        <v>0</v>
      </c>
      <c r="AE26" s="1" t="n">
        <v>0</v>
      </c>
      <c r="AF26" s="1" t="inlineStr">
        <is>
          <t>Linear</t>
        </is>
      </c>
      <c r="AG26" s="1" t="n">
        <v>100.89</v>
      </c>
      <c r="AH26" s="1" t="inlineStr">
        <is>
          <t>Amplification</t>
        </is>
      </c>
      <c r="AI26" s="1" t="inlineStr">
        <is>
          <t>N</t>
        </is>
      </c>
      <c r="AJ26" s="1" t="inlineStr">
        <is>
          <t>N</t>
        </is>
      </c>
      <c r="AK26" s="1" t="inlineStr">
        <is>
          <t>N</t>
        </is>
      </c>
      <c r="AL26" s="1" t="n">
        <v>1.825</v>
      </c>
      <c r="AM26" s="1" t="inlineStr">
        <is>
          <t>N</t>
        </is>
      </c>
      <c r="AP26" s="28">
        <f>100*(O26-$O$23)/$O$23</f>
        <v/>
      </c>
      <c r="AQ26" s="14">
        <f>IF(ABS(AP26)&lt;=20,"PASS","FAIL")</f>
        <v/>
      </c>
      <c r="AR26" s="25">
        <f>IF(H26&lt;=5,"PASS","FAIL")</f>
        <v/>
      </c>
      <c r="AS26" s="25">
        <f>IF(M26&lt;=15,"PASS","FAIL")</f>
        <v/>
      </c>
    </row>
    <row r="27">
      <c r="A27" s="2" t="inlineStr">
        <is>
          <t>B5</t>
        </is>
      </c>
      <c r="B27" s="2" t="n">
        <v>17</v>
      </c>
      <c r="C27" s="2" t="inlineStr">
        <is>
          <t>UNKNOWN</t>
        </is>
      </c>
      <c r="D27" s="2" t="inlineStr">
        <is>
          <t>S1 D2</t>
        </is>
      </c>
      <c r="E27" s="2" t="inlineStr">
        <is>
          <t>CHO</t>
        </is>
      </c>
      <c r="F27" s="2" t="n">
        <v>35.5648</v>
      </c>
      <c r="G27" s="2" t="n">
        <v>35.8319</v>
      </c>
      <c r="H27" s="2" t="n">
        <v>0.91</v>
      </c>
      <c r="I27" s="2" t="n">
        <v>0.3254</v>
      </c>
      <c r="J27" s="2" t="n">
        <v>0</v>
      </c>
      <c r="K27" s="2" t="n">
        <v>0</v>
      </c>
      <c r="L27" s="2" t="n">
        <v>0</v>
      </c>
      <c r="M27" s="2" t="n">
        <v>21.52</v>
      </c>
      <c r="N27" s="2" t="n">
        <v>10</v>
      </c>
      <c r="O27" s="2" t="n">
        <v>0.0004</v>
      </c>
      <c r="P27" s="2" t="inlineStr"/>
      <c r="Q27" s="2" t="n">
        <v>0.9998</v>
      </c>
      <c r="R27" s="2" t="n">
        <v>-3.3008</v>
      </c>
      <c r="S27" s="2" t="n">
        <v>21.3153</v>
      </c>
      <c r="T27" s="7" t="n">
        <v>0.0004</v>
      </c>
      <c r="U27" s="7" t="n">
        <v>0.0002</v>
      </c>
      <c r="V27" s="2" t="n">
        <v>0</v>
      </c>
      <c r="W27" s="2" t="n">
        <v>0.207</v>
      </c>
      <c r="X27" s="2" t="inlineStr">
        <is>
          <t>true</t>
        </is>
      </c>
      <c r="Y27" s="2" t="n">
        <v>1</v>
      </c>
      <c r="Z27" s="2" t="inlineStr">
        <is>
          <t>Yes</t>
        </is>
      </c>
      <c r="AA27" s="2" t="n">
        <v>3</v>
      </c>
      <c r="AB27" s="2" t="n">
        <v>30</v>
      </c>
      <c r="AC27" s="2" t="n">
        <v>0</v>
      </c>
      <c r="AD27" s="2" t="n">
        <v>0</v>
      </c>
      <c r="AE27" s="2" t="n">
        <v>0</v>
      </c>
      <c r="AF27" s="2" t="inlineStr">
        <is>
          <t>Linear</t>
        </is>
      </c>
      <c r="AG27" s="2" t="n">
        <v>100.89</v>
      </c>
      <c r="AH27" s="2" t="inlineStr">
        <is>
          <t>Amplification</t>
        </is>
      </c>
      <c r="AI27" s="2" t="inlineStr">
        <is>
          <t>N</t>
        </is>
      </c>
      <c r="AJ27" s="2" t="inlineStr">
        <is>
          <t>N</t>
        </is>
      </c>
      <c r="AK27" s="2" t="inlineStr">
        <is>
          <t>N</t>
        </is>
      </c>
      <c r="AL27" s="2" t="n">
        <v>1.825</v>
      </c>
      <c r="AM27" s="2" t="inlineStr">
        <is>
          <t>N</t>
        </is>
      </c>
      <c r="AP27" s="28">
        <f>100*(O27-$O$23)/$O$23</f>
        <v/>
      </c>
      <c r="AQ27" s="14">
        <f>IF(ABS(AP27)&lt;=20,"PASS","FAIL")</f>
        <v/>
      </c>
      <c r="AR27" s="25">
        <f>IF(H27&lt;=5,"PASS","FAIL")</f>
        <v/>
      </c>
      <c r="AS27" s="25">
        <f>IF(M27&lt;=15,"PASS","FAIL")</f>
        <v/>
      </c>
    </row>
    <row r="28">
      <c r="A28" s="1" t="inlineStr">
        <is>
          <t>B6</t>
        </is>
      </c>
      <c r="B28" s="1" t="n">
        <v>18</v>
      </c>
      <c r="C28" s="1" t="inlineStr">
        <is>
          <t>UNKNOWN</t>
        </is>
      </c>
      <c r="D28" s="1" t="inlineStr">
        <is>
          <t>S1 D2</t>
        </is>
      </c>
      <c r="E28" s="1" t="inlineStr">
        <is>
          <t>CHO</t>
        </is>
      </c>
      <c r="F28" s="1" t="n">
        <v>36.1944</v>
      </c>
      <c r="G28" s="1" t="n">
        <v>35.8319</v>
      </c>
      <c r="H28" s="1" t="n">
        <v>0.91</v>
      </c>
      <c r="I28" s="1" t="n">
        <v>0.3254</v>
      </c>
      <c r="J28" s="1" t="n">
        <v>0</v>
      </c>
      <c r="K28" s="1" t="n">
        <v>0</v>
      </c>
      <c r="L28" s="1" t="n">
        <v>0</v>
      </c>
      <c r="M28" s="1" t="n">
        <v>21.52</v>
      </c>
      <c r="N28" s="1" t="n">
        <v>10</v>
      </c>
      <c r="O28" s="1" t="n">
        <v>0.0004</v>
      </c>
      <c r="P28" s="1" t="inlineStr"/>
      <c r="Q28" s="1" t="n">
        <v>0.9998</v>
      </c>
      <c r="R28" s="1" t="n">
        <v>-3.3008</v>
      </c>
      <c r="S28" s="1" t="n">
        <v>21.3153</v>
      </c>
      <c r="T28" s="7" t="n">
        <v>0.0004</v>
      </c>
      <c r="U28" s="7" t="n">
        <v>0.0002</v>
      </c>
      <c r="V28" s="1" t="n">
        <v>0</v>
      </c>
      <c r="W28" s="1" t="n">
        <v>0.207</v>
      </c>
      <c r="X28" s="1" t="inlineStr">
        <is>
          <t>true</t>
        </is>
      </c>
      <c r="Y28" s="1" t="n">
        <v>1</v>
      </c>
      <c r="Z28" s="1" t="inlineStr">
        <is>
          <t>Yes</t>
        </is>
      </c>
      <c r="AA28" s="1" t="n">
        <v>3</v>
      </c>
      <c r="AB28" s="1" t="n">
        <v>30</v>
      </c>
      <c r="AC28" s="1" t="n">
        <v>0</v>
      </c>
      <c r="AD28" s="1" t="n">
        <v>0</v>
      </c>
      <c r="AE28" s="1" t="n">
        <v>0</v>
      </c>
      <c r="AF28" s="1" t="inlineStr">
        <is>
          <t>Linear</t>
        </is>
      </c>
      <c r="AG28" s="1" t="n">
        <v>100.89</v>
      </c>
      <c r="AH28" s="1" t="inlineStr">
        <is>
          <t>Amplification</t>
        </is>
      </c>
      <c r="AI28" s="1" t="inlineStr">
        <is>
          <t>N</t>
        </is>
      </c>
      <c r="AJ28" s="1" t="inlineStr">
        <is>
          <t>N</t>
        </is>
      </c>
      <c r="AK28" s="1" t="inlineStr">
        <is>
          <t>N</t>
        </is>
      </c>
      <c r="AL28" s="1" t="n">
        <v>1.825</v>
      </c>
      <c r="AM28" s="1" t="inlineStr">
        <is>
          <t>N</t>
        </is>
      </c>
      <c r="AP28" s="28">
        <f>100*(O28-$O$23)/$O$23</f>
        <v/>
      </c>
      <c r="AQ28" s="14">
        <f>IF(ABS(AP28)&lt;=20,"PASS","FAIL")</f>
        <v/>
      </c>
      <c r="AR28" s="25">
        <f>IF(H28&lt;=5,"PASS","FAIL")</f>
        <v/>
      </c>
      <c r="AS28" s="25">
        <f>IF(M28&lt;=15,"PASS","FAIL")</f>
        <v/>
      </c>
    </row>
    <row r="29">
      <c r="A29" s="1" t="inlineStr">
        <is>
          <t>C4</t>
        </is>
      </c>
      <c r="B29" s="1" t="n">
        <v>28</v>
      </c>
      <c r="C29" s="1" t="inlineStr">
        <is>
          <t>UNKNOWN</t>
        </is>
      </c>
      <c r="D29" s="1" t="inlineStr">
        <is>
          <t>S1 D3</t>
        </is>
      </c>
      <c r="E29" s="1" t="inlineStr">
        <is>
          <t>CHO</t>
        </is>
      </c>
      <c r="F29" s="1" t="inlineStr">
        <is>
          <t>Undetermined</t>
        </is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n">
        <v>100</v>
      </c>
      <c r="O29" s="1" t="inlineStr"/>
      <c r="P29" s="1" t="inlineStr"/>
      <c r="Q29" s="1" t="n">
        <v>0.9998</v>
      </c>
      <c r="R29" s="1" t="n">
        <v>-3.3008</v>
      </c>
      <c r="S29" s="1" t="n">
        <v>21.3153</v>
      </c>
      <c r="T29" s="1" t="n">
        <v>0.0007</v>
      </c>
      <c r="U29" s="1" t="n">
        <v>0.0004</v>
      </c>
      <c r="V29" s="1" t="n">
        <v>1</v>
      </c>
      <c r="W29" s="1" t="n">
        <v>0.207</v>
      </c>
      <c r="X29" s="1" t="inlineStr">
        <is>
          <t>true</t>
        </is>
      </c>
      <c r="Y29" s="1" t="n">
        <v>0</v>
      </c>
      <c r="Z29" s="1" t="inlineStr">
        <is>
          <t>Yes</t>
        </is>
      </c>
      <c r="AA29" s="1" t="n">
        <v>3</v>
      </c>
      <c r="AB29" s="1" t="n">
        <v>35</v>
      </c>
      <c r="AC29" s="1" t="n">
        <v>0</v>
      </c>
      <c r="AD29" s="1" t="inlineStr"/>
      <c r="AE29" s="1" t="n">
        <v>0</v>
      </c>
      <c r="AF29" s="1" t="inlineStr">
        <is>
          <t>Linear</t>
        </is>
      </c>
      <c r="AG29" s="1" t="n">
        <v>100.89</v>
      </c>
      <c r="AH29" s="1" t="inlineStr">
        <is>
          <t>No Amp</t>
        </is>
      </c>
      <c r="AI29" s="1" t="inlineStr">
        <is>
          <t>N</t>
        </is>
      </c>
      <c r="AJ29" s="1" t="inlineStr">
        <is>
          <t>N</t>
        </is>
      </c>
      <c r="AK29" s="1" t="inlineStr">
        <is>
          <t>N</t>
        </is>
      </c>
      <c r="AL29" s="1" t="n">
        <v>1.825</v>
      </c>
      <c r="AM29" s="1" t="inlineStr">
        <is>
          <t>Y</t>
        </is>
      </c>
      <c r="AP29" s="28">
        <f>100*(O29-$O$23)/$O$23</f>
        <v/>
      </c>
      <c r="AQ29" s="14">
        <f>IF(ABS(AP29)&lt;=20,"PASS","FAIL")</f>
        <v/>
      </c>
      <c r="AR29" s="25">
        <f>IF(H29&lt;=5,"PASS","FAIL")</f>
        <v/>
      </c>
      <c r="AS29" s="25">
        <f>IF(M29&lt;=15,"PASS","FAIL")</f>
        <v/>
      </c>
    </row>
    <row r="30">
      <c r="A30" s="2" t="inlineStr">
        <is>
          <t>C5</t>
        </is>
      </c>
      <c r="B30" s="2" t="n">
        <v>29</v>
      </c>
      <c r="C30" s="2" t="inlineStr">
        <is>
          <t>UNKNOWN</t>
        </is>
      </c>
      <c r="D30" s="2" t="inlineStr">
        <is>
          <t>S1 D3</t>
        </is>
      </c>
      <c r="E30" s="2" t="inlineStr">
        <is>
          <t>CHO</t>
        </is>
      </c>
      <c r="F30" s="2" t="n">
        <v>38.3456</v>
      </c>
      <c r="G30" s="2" t="n">
        <v>38.3456</v>
      </c>
      <c r="H30" s="2" t="inlineStr"/>
      <c r="I30" s="2" t="inlineStr"/>
      <c r="J30" s="2" t="n">
        <v>0</v>
      </c>
      <c r="K30" s="2" t="n">
        <v>0</v>
      </c>
      <c r="L30" s="2" t="inlineStr"/>
      <c r="M30" s="2" t="inlineStr"/>
      <c r="N30" s="2" t="n">
        <v>100</v>
      </c>
      <c r="O30" s="2" t="n">
        <v>0.0007</v>
      </c>
      <c r="P30" s="2" t="inlineStr"/>
      <c r="Q30" s="2" t="n">
        <v>0.9998</v>
      </c>
      <c r="R30" s="2" t="n">
        <v>-3.3008</v>
      </c>
      <c r="S30" s="2" t="n">
        <v>21.3153</v>
      </c>
      <c r="T30" s="2" t="n">
        <v>0.0007</v>
      </c>
      <c r="U30" s="2" t="n">
        <v>0.0004</v>
      </c>
      <c r="V30" s="2" t="n">
        <v>1</v>
      </c>
      <c r="W30" s="2" t="n">
        <v>0.207</v>
      </c>
      <c r="X30" s="2" t="inlineStr">
        <is>
          <t>true</t>
        </is>
      </c>
      <c r="Y30" s="2" t="n">
        <v>0</v>
      </c>
      <c r="Z30" s="2" t="inlineStr">
        <is>
          <t>Yes</t>
        </is>
      </c>
      <c r="AA30" s="2" t="n">
        <v>3</v>
      </c>
      <c r="AB30" s="2" t="n">
        <v>33</v>
      </c>
      <c r="AC30" s="2" t="n">
        <v>0</v>
      </c>
      <c r="AD30" s="2" t="n">
        <v>0</v>
      </c>
      <c r="AE30" s="2" t="n">
        <v>0</v>
      </c>
      <c r="AF30" s="2" t="inlineStr">
        <is>
          <t>Linear</t>
        </is>
      </c>
      <c r="AG30" s="2" t="n">
        <v>100.89</v>
      </c>
      <c r="AH30" s="2" t="inlineStr">
        <is>
          <t>Amplification</t>
        </is>
      </c>
      <c r="AI30" s="2" t="inlineStr">
        <is>
          <t>N</t>
        </is>
      </c>
      <c r="AJ30" s="2" t="inlineStr">
        <is>
          <t>N</t>
        </is>
      </c>
      <c r="AK30" s="2" t="inlineStr">
        <is>
          <t>N</t>
        </is>
      </c>
      <c r="AL30" s="2" t="n">
        <v>1.825</v>
      </c>
      <c r="AM30" s="2" t="inlineStr">
        <is>
          <t>Y</t>
        </is>
      </c>
      <c r="AP30" s="28">
        <f>100*(O30-$O$23)/$O$23</f>
        <v/>
      </c>
      <c r="AQ30" s="14">
        <f>IF(ABS(AP30)&lt;=20,"PASS","FAIL")</f>
        <v/>
      </c>
      <c r="AR30" s="25">
        <f>IF(H30&lt;=5,"PASS","FAIL")</f>
        <v/>
      </c>
      <c r="AS30" s="25">
        <f>IF(M30&lt;=15,"PASS","FAIL")</f>
        <v/>
      </c>
    </row>
    <row r="31">
      <c r="A31" s="1" t="inlineStr">
        <is>
          <t>C6</t>
        </is>
      </c>
      <c r="B31" s="1" t="n">
        <v>30</v>
      </c>
      <c r="C31" s="1" t="inlineStr">
        <is>
          <t>UNKNOWN</t>
        </is>
      </c>
      <c r="D31" s="1" t="inlineStr">
        <is>
          <t>S1 D3</t>
        </is>
      </c>
      <c r="E31" s="1" t="inlineStr">
        <is>
          <t>CHO</t>
        </is>
      </c>
      <c r="F31" s="1" t="inlineStr">
        <is>
          <t>Undetermined</t>
        </is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n">
        <v>100</v>
      </c>
      <c r="O31" s="1" t="inlineStr"/>
      <c r="P31" s="1" t="inlineStr"/>
      <c r="Q31" s="1" t="n">
        <v>0.9998</v>
      </c>
      <c r="R31" s="1" t="n">
        <v>-3.3008</v>
      </c>
      <c r="S31" s="1" t="n">
        <v>21.3153</v>
      </c>
      <c r="T31" s="1" t="n">
        <v>0.0007</v>
      </c>
      <c r="U31" s="1" t="n">
        <v>0.0004</v>
      </c>
      <c r="V31" s="1" t="n">
        <v>3</v>
      </c>
      <c r="W31" s="1" t="n">
        <v>0.207</v>
      </c>
      <c r="X31" s="1" t="inlineStr">
        <is>
          <t>true</t>
        </is>
      </c>
      <c r="Y31" s="1" t="n">
        <v>0</v>
      </c>
      <c r="Z31" s="1" t="inlineStr">
        <is>
          <t>Yes</t>
        </is>
      </c>
      <c r="AA31" s="1" t="n">
        <v>3</v>
      </c>
      <c r="AB31" s="1" t="n">
        <v>39</v>
      </c>
      <c r="AC31" s="1" t="n">
        <v>0</v>
      </c>
      <c r="AD31" s="1" t="inlineStr"/>
      <c r="AE31" s="1" t="n">
        <v>0</v>
      </c>
      <c r="AF31" s="1" t="inlineStr">
        <is>
          <t>Linear</t>
        </is>
      </c>
      <c r="AG31" s="1" t="n">
        <v>100.89</v>
      </c>
      <c r="AH31" s="1" t="inlineStr">
        <is>
          <t>No Amp</t>
        </is>
      </c>
      <c r="AI31" s="1" t="inlineStr">
        <is>
          <t>N</t>
        </is>
      </c>
      <c r="AJ31" s="1" t="inlineStr">
        <is>
          <t>Y</t>
        </is>
      </c>
      <c r="AK31" s="1" t="inlineStr">
        <is>
          <t>Y</t>
        </is>
      </c>
      <c r="AL31" s="1" t="n">
        <v>1.825</v>
      </c>
      <c r="AM31" s="1" t="inlineStr">
        <is>
          <t>Y</t>
        </is>
      </c>
      <c r="AP31" s="28">
        <f>100*(O31-$O$23)/$O$23</f>
        <v/>
      </c>
      <c r="AQ31" s="14">
        <f>IF(ABS(AP31)&lt;=20,"PASS","FAIL")</f>
        <v/>
      </c>
      <c r="AR31" s="25">
        <f>IF(H31&lt;=5,"PASS","FAIL")</f>
        <v/>
      </c>
      <c r="AS31" s="25">
        <f>IF(M31&lt;=15,"PASS","FAIL")</f>
        <v/>
      </c>
    </row>
    <row r="32">
      <c r="A32" s="1" t="inlineStr">
        <is>
          <t>D4</t>
        </is>
      </c>
      <c r="B32" s="1" t="n">
        <v>40</v>
      </c>
      <c r="C32" s="1" t="inlineStr">
        <is>
          <t>UNKNOWN</t>
        </is>
      </c>
      <c r="D32" s="1" t="inlineStr">
        <is>
          <t>S1 D4</t>
        </is>
      </c>
      <c r="E32" s="1" t="inlineStr">
        <is>
          <t>CHO</t>
        </is>
      </c>
      <c r="F32" s="1" t="inlineStr">
        <is>
          <t>Undetermined</t>
        </is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n">
        <v>1000</v>
      </c>
      <c r="O32" s="1" t="inlineStr"/>
      <c r="P32" s="1" t="inlineStr"/>
      <c r="Q32" s="1" t="n">
        <v>0.9998</v>
      </c>
      <c r="R32" s="1" t="n">
        <v>-3.3008</v>
      </c>
      <c r="S32" s="1" t="n">
        <v>21.3153</v>
      </c>
      <c r="T32" s="1" t="n">
        <v>0</v>
      </c>
      <c r="U32" s="1" t="n">
        <v>0</v>
      </c>
      <c r="V32" s="1" t="n">
        <v>3</v>
      </c>
      <c r="W32" s="1" t="n">
        <v>0.207</v>
      </c>
      <c r="X32" s="1" t="inlineStr">
        <is>
          <t>true</t>
        </is>
      </c>
      <c r="Y32" s="1" t="n">
        <v>0</v>
      </c>
      <c r="Z32" s="1" t="inlineStr">
        <is>
          <t>Yes</t>
        </is>
      </c>
      <c r="AA32" s="1" t="n">
        <v>3</v>
      </c>
      <c r="AB32" s="1" t="n">
        <v>39</v>
      </c>
      <c r="AC32" s="1" t="n">
        <v>0</v>
      </c>
      <c r="AD32" s="1" t="inlineStr"/>
      <c r="AE32" s="1" t="n">
        <v>0</v>
      </c>
      <c r="AF32" s="1" t="inlineStr">
        <is>
          <t>Linear</t>
        </is>
      </c>
      <c r="AG32" s="1" t="n">
        <v>100.89</v>
      </c>
      <c r="AH32" s="1" t="inlineStr">
        <is>
          <t>No Amp</t>
        </is>
      </c>
      <c r="AI32" s="1" t="inlineStr">
        <is>
          <t>N</t>
        </is>
      </c>
      <c r="AJ32" s="1" t="inlineStr">
        <is>
          <t>Y</t>
        </is>
      </c>
      <c r="AK32" s="1" t="inlineStr">
        <is>
          <t>Y</t>
        </is>
      </c>
      <c r="AL32" s="1" t="n">
        <v>1.825</v>
      </c>
      <c r="AM32" s="1" t="inlineStr">
        <is>
          <t>Y</t>
        </is>
      </c>
      <c r="AP32" s="28">
        <f>100*(O32-$O$23)/$O$23</f>
        <v/>
      </c>
      <c r="AQ32" s="14">
        <f>IF(ABS(AP32)&lt;=20,"PASS","FAIL")</f>
        <v/>
      </c>
      <c r="AR32" s="25">
        <f>IF(H32&lt;=5,"PASS","FAIL")</f>
        <v/>
      </c>
      <c r="AS32" s="25">
        <f>IF(M32&lt;=15,"PASS","FAIL")</f>
        <v/>
      </c>
    </row>
    <row r="33">
      <c r="A33" s="2" t="inlineStr">
        <is>
          <t>D5</t>
        </is>
      </c>
      <c r="B33" s="2" t="n">
        <v>41</v>
      </c>
      <c r="C33" s="2" t="inlineStr">
        <is>
          <t>UNKNOWN</t>
        </is>
      </c>
      <c r="D33" s="2" t="inlineStr">
        <is>
          <t>S1 D4</t>
        </is>
      </c>
      <c r="E33" s="2" t="inlineStr">
        <is>
          <t>CHO</t>
        </is>
      </c>
      <c r="F33" s="2" t="inlineStr">
        <is>
          <t>Undetermined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n">
        <v>1000</v>
      </c>
      <c r="O33" s="2" t="inlineStr"/>
      <c r="P33" s="2" t="inlineStr"/>
      <c r="Q33" s="2" t="n">
        <v>0.9998</v>
      </c>
      <c r="R33" s="2" t="n">
        <v>-3.3008</v>
      </c>
      <c r="S33" s="2" t="n">
        <v>21.3153</v>
      </c>
      <c r="T33" s="2" t="n">
        <v>0</v>
      </c>
      <c r="U33" s="2" t="n">
        <v>0</v>
      </c>
      <c r="V33" s="2" t="n">
        <v>1</v>
      </c>
      <c r="W33" s="2" t="n">
        <v>0.207</v>
      </c>
      <c r="X33" s="2" t="inlineStr">
        <is>
          <t>true</t>
        </is>
      </c>
      <c r="Y33" s="2" t="n">
        <v>0</v>
      </c>
      <c r="Z33" s="2" t="inlineStr">
        <is>
          <t>Yes</t>
        </is>
      </c>
      <c r="AA33" s="2" t="n">
        <v>3</v>
      </c>
      <c r="AB33" s="2" t="n">
        <v>35</v>
      </c>
      <c r="AC33" s="2" t="n">
        <v>0</v>
      </c>
      <c r="AD33" s="2" t="inlineStr"/>
      <c r="AE33" s="2" t="n">
        <v>0</v>
      </c>
      <c r="AF33" s="2" t="inlineStr">
        <is>
          <t>Linear</t>
        </is>
      </c>
      <c r="AG33" s="2" t="n">
        <v>100.89</v>
      </c>
      <c r="AH33" s="2" t="inlineStr">
        <is>
          <t>No Amp</t>
        </is>
      </c>
      <c r="AI33" s="2" t="inlineStr">
        <is>
          <t>N</t>
        </is>
      </c>
      <c r="AJ33" s="2" t="inlineStr">
        <is>
          <t>N</t>
        </is>
      </c>
      <c r="AK33" s="2" t="inlineStr">
        <is>
          <t>N</t>
        </is>
      </c>
      <c r="AL33" s="2" t="n">
        <v>1.825</v>
      </c>
      <c r="AM33" s="2" t="inlineStr">
        <is>
          <t>Y</t>
        </is>
      </c>
      <c r="AP33" s="28">
        <f>100*(O33-$O$23)/$O$23</f>
        <v/>
      </c>
      <c r="AQ33" s="14">
        <f>IF(ABS(AP33)&lt;=20,"PASS","FAIL")</f>
        <v/>
      </c>
      <c r="AR33" s="25">
        <f>IF(H33&lt;=5,"PASS","FAIL")</f>
        <v/>
      </c>
      <c r="AS33" s="25">
        <f>IF(M33&lt;=15,"PASS","FAIL")</f>
        <v/>
      </c>
    </row>
    <row r="34">
      <c r="A34" s="1" t="inlineStr">
        <is>
          <t>D6</t>
        </is>
      </c>
      <c r="B34" s="1" t="n">
        <v>42</v>
      </c>
      <c r="C34" s="1" t="inlineStr">
        <is>
          <t>UNKNOWN</t>
        </is>
      </c>
      <c r="D34" s="1" t="inlineStr">
        <is>
          <t>S1 D4</t>
        </is>
      </c>
      <c r="E34" s="1" t="inlineStr">
        <is>
          <t>CHO</t>
        </is>
      </c>
      <c r="F34" s="1" t="inlineStr">
        <is>
          <t>Undetermined</t>
        </is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n">
        <v>1000</v>
      </c>
      <c r="O34" s="1" t="inlineStr"/>
      <c r="P34" s="1" t="inlineStr"/>
      <c r="Q34" s="1" t="n">
        <v>0.9998</v>
      </c>
      <c r="R34" s="1" t="n">
        <v>-3.3008</v>
      </c>
      <c r="S34" s="1" t="n">
        <v>21.3153</v>
      </c>
      <c r="T34" s="1" t="n">
        <v>0</v>
      </c>
      <c r="U34" s="1" t="n">
        <v>0</v>
      </c>
      <c r="V34" s="1" t="n">
        <v>3</v>
      </c>
      <c r="W34" s="1" t="n">
        <v>0.207</v>
      </c>
      <c r="X34" s="1" t="inlineStr">
        <is>
          <t>true</t>
        </is>
      </c>
      <c r="Y34" s="1" t="n">
        <v>0</v>
      </c>
      <c r="Z34" s="1" t="inlineStr">
        <is>
          <t>Yes</t>
        </is>
      </c>
      <c r="AA34" s="1" t="n">
        <v>3</v>
      </c>
      <c r="AB34" s="1" t="n">
        <v>39</v>
      </c>
      <c r="AC34" s="1" t="n">
        <v>0</v>
      </c>
      <c r="AD34" s="1" t="inlineStr"/>
      <c r="AE34" s="1" t="n">
        <v>0</v>
      </c>
      <c r="AF34" s="1" t="inlineStr">
        <is>
          <t>Linear</t>
        </is>
      </c>
      <c r="AG34" s="1" t="n">
        <v>100.89</v>
      </c>
      <c r="AH34" s="1" t="inlineStr">
        <is>
          <t>No Amp</t>
        </is>
      </c>
      <c r="AI34" s="1" t="inlineStr">
        <is>
          <t>N</t>
        </is>
      </c>
      <c r="AJ34" s="1" t="inlineStr">
        <is>
          <t>Y</t>
        </is>
      </c>
      <c r="AK34" s="1" t="inlineStr">
        <is>
          <t>Y</t>
        </is>
      </c>
      <c r="AL34" s="1" t="n">
        <v>1.825</v>
      </c>
      <c r="AM34" s="1" t="inlineStr">
        <is>
          <t>Y</t>
        </is>
      </c>
      <c r="AP34" s="28">
        <f>100*(O34-$O$23)/$O$23</f>
        <v/>
      </c>
      <c r="AQ34" s="14">
        <f>IF(ABS(AP34)&lt;=20,"PASS","FAIL")</f>
        <v/>
      </c>
      <c r="AR34" s="25">
        <f>IF(H34&lt;=5,"PASS","FAIL")</f>
        <v/>
      </c>
      <c r="AS34" s="25">
        <f>IF(M34&lt;=15,"PASS","FAIL")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</row>
    <row r="37" ht="51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P37" s="29" t="inlineStr">
        <is>
          <t>Spike %Recovery</t>
        </is>
      </c>
      <c r="AQ37" s="30" t="inlineStr">
        <is>
          <t>Spike Recovery within 80-120%</t>
        </is>
      </c>
    </row>
    <row r="38">
      <c r="A38" s="1" t="inlineStr">
        <is>
          <t>E4</t>
        </is>
      </c>
      <c r="B38" s="1" t="n">
        <v>52</v>
      </c>
      <c r="C38" s="1" t="inlineStr">
        <is>
          <t>UNKNOWN</t>
        </is>
      </c>
      <c r="D38" s="1" t="inlineStr">
        <is>
          <t>S1 D1 S</t>
        </is>
      </c>
      <c r="E38" s="1" t="inlineStr">
        <is>
          <t>CHO</t>
        </is>
      </c>
      <c r="F38" s="1" t="n">
        <v>19.6437</v>
      </c>
      <c r="G38" s="1" t="n">
        <v>19.6189</v>
      </c>
      <c r="H38" s="1" t="n">
        <v>0.21</v>
      </c>
      <c r="I38" s="1" t="n">
        <v>0.0412</v>
      </c>
      <c r="J38" s="1" t="n">
        <v>3.2094</v>
      </c>
      <c r="K38" s="1" t="n">
        <v>3.2664</v>
      </c>
      <c r="L38" s="1" t="n">
        <v>0.09470000000000001</v>
      </c>
      <c r="M38" s="1" t="n">
        <v>2.9</v>
      </c>
      <c r="N38" s="1" t="n">
        <v>1</v>
      </c>
      <c r="O38" s="1" t="n">
        <v>3.2664</v>
      </c>
      <c r="P38" s="1" t="n">
        <v>108.88</v>
      </c>
      <c r="Q38" s="1" t="n">
        <v>0.9998</v>
      </c>
      <c r="R38" s="1" t="n">
        <v>-3.3008</v>
      </c>
      <c r="S38" s="1" t="n">
        <v>21.3153</v>
      </c>
      <c r="T38" s="7" t="n">
        <v>3.2664</v>
      </c>
      <c r="U38" s="1" t="inlineStr"/>
      <c r="V38" s="1" t="n">
        <v>0</v>
      </c>
      <c r="W38" s="1" t="n">
        <v>0.207</v>
      </c>
      <c r="X38" s="1" t="inlineStr">
        <is>
          <t>true</t>
        </is>
      </c>
      <c r="Y38" s="1" t="n">
        <v>1</v>
      </c>
      <c r="Z38" s="1" t="inlineStr">
        <is>
          <t>Yes</t>
        </is>
      </c>
      <c r="AA38" s="1" t="n">
        <v>3</v>
      </c>
      <c r="AB38" s="1" t="n">
        <v>14</v>
      </c>
      <c r="AC38" s="1" t="n">
        <v>0</v>
      </c>
      <c r="AD38" s="1" t="n">
        <v>3.2664</v>
      </c>
      <c r="AE38" s="1" t="n">
        <v>3</v>
      </c>
      <c r="AF38" s="1" t="inlineStr">
        <is>
          <t>Linear</t>
        </is>
      </c>
      <c r="AG38" s="1" t="n">
        <v>100.89</v>
      </c>
      <c r="AH38" s="1" t="inlineStr">
        <is>
          <t>Amplification</t>
        </is>
      </c>
      <c r="AI38" s="1" t="inlineStr">
        <is>
          <t>N</t>
        </is>
      </c>
      <c r="AJ38" s="1" t="inlineStr">
        <is>
          <t>N</t>
        </is>
      </c>
      <c r="AK38" s="1" t="inlineStr">
        <is>
          <t>N</t>
        </is>
      </c>
      <c r="AL38" s="1" t="inlineStr"/>
      <c r="AM38" s="1" t="inlineStr">
        <is>
          <t>N</t>
        </is>
      </c>
      <c r="AP38" s="31">
        <f>(100*(K38-K23))/AE38</f>
        <v/>
      </c>
      <c r="AQ38" s="14">
        <f>IF(AND(AP38&gt;=80,AP38&lt;=120),"PASS","FAIL")</f>
        <v/>
      </c>
      <c r="AR38" t="inlineStr"/>
      <c r="AS38" t="inlineStr"/>
    </row>
    <row r="39">
      <c r="A39" s="2" t="inlineStr">
        <is>
          <t>E5</t>
        </is>
      </c>
      <c r="B39" s="2" t="n">
        <v>53</v>
      </c>
      <c r="C39" s="2" t="inlineStr">
        <is>
          <t>UNKNOWN</t>
        </is>
      </c>
      <c r="D39" s="2" t="inlineStr">
        <is>
          <t>S1 D1 S</t>
        </is>
      </c>
      <c r="E39" s="2" t="inlineStr">
        <is>
          <t>CHO</t>
        </is>
      </c>
      <c r="F39" s="2" t="n">
        <v>19.5713</v>
      </c>
      <c r="G39" s="2" t="n">
        <v>19.6189</v>
      </c>
      <c r="H39" s="2" t="n">
        <v>0.21</v>
      </c>
      <c r="I39" s="2" t="n">
        <v>0.0412</v>
      </c>
      <c r="J39" s="2" t="n">
        <v>3.3757</v>
      </c>
      <c r="K39" s="2" t="n">
        <v>3.2664</v>
      </c>
      <c r="L39" s="2" t="n">
        <v>0.09470000000000001</v>
      </c>
      <c r="M39" s="2" t="n">
        <v>2.9</v>
      </c>
      <c r="N39" s="2" t="n">
        <v>1</v>
      </c>
      <c r="O39" s="2" t="n">
        <v>3.2664</v>
      </c>
      <c r="P39" s="2" t="n">
        <v>108.88</v>
      </c>
      <c r="Q39" s="2" t="n">
        <v>0.9998</v>
      </c>
      <c r="R39" s="2" t="n">
        <v>-3.3008</v>
      </c>
      <c r="S39" s="2" t="n">
        <v>21.3153</v>
      </c>
      <c r="T39" s="7" t="n">
        <v>3.2664</v>
      </c>
      <c r="U39" s="2" t="inlineStr"/>
      <c r="V39" s="2" t="n">
        <v>0</v>
      </c>
      <c r="W39" s="2" t="n">
        <v>0.207</v>
      </c>
      <c r="X39" s="2" t="inlineStr">
        <is>
          <t>true</t>
        </is>
      </c>
      <c r="Y39" s="2" t="n">
        <v>1</v>
      </c>
      <c r="Z39" s="2" t="inlineStr">
        <is>
          <t>Yes</t>
        </is>
      </c>
      <c r="AA39" s="2" t="n">
        <v>3</v>
      </c>
      <c r="AB39" s="2" t="n">
        <v>14</v>
      </c>
      <c r="AC39" s="2" t="n">
        <v>0</v>
      </c>
      <c r="AD39" s="2" t="n">
        <v>3.2664</v>
      </c>
      <c r="AE39" s="2" t="n">
        <v>3</v>
      </c>
      <c r="AF39" s="2" t="inlineStr">
        <is>
          <t>Linear</t>
        </is>
      </c>
      <c r="AG39" s="2" t="n">
        <v>100.89</v>
      </c>
      <c r="AH39" s="2" t="inlineStr">
        <is>
          <t>Amplification</t>
        </is>
      </c>
      <c r="AI39" s="2" t="inlineStr">
        <is>
          <t>N</t>
        </is>
      </c>
      <c r="AJ39" s="2" t="inlineStr">
        <is>
          <t>N</t>
        </is>
      </c>
      <c r="AK39" s="2" t="inlineStr">
        <is>
          <t>N</t>
        </is>
      </c>
      <c r="AL39" s="2" t="inlineStr"/>
      <c r="AM39" s="2" t="inlineStr">
        <is>
          <t>N</t>
        </is>
      </c>
      <c r="AP39" s="31">
        <f>(100*(K39-K24))/AE39</f>
        <v/>
      </c>
      <c r="AQ39" s="14">
        <f>IF(AND(AP39&gt;=80,AP39&lt;=120),"PASS","FAIL")</f>
        <v/>
      </c>
      <c r="AR39" t="inlineStr"/>
      <c r="AS39" t="inlineStr"/>
    </row>
    <row r="40">
      <c r="A40" s="1" t="inlineStr">
        <is>
          <t>E6</t>
        </is>
      </c>
      <c r="B40" s="1" t="n">
        <v>54</v>
      </c>
      <c r="C40" s="1" t="inlineStr">
        <is>
          <t>UNKNOWN</t>
        </is>
      </c>
      <c r="D40" s="1" t="inlineStr">
        <is>
          <t>S1 D1 S</t>
        </is>
      </c>
      <c r="E40" s="1" t="inlineStr">
        <is>
          <t>CHO</t>
        </is>
      </c>
      <c r="F40" s="1" t="n">
        <v>19.6417</v>
      </c>
      <c r="G40" s="1" t="n">
        <v>19.6189</v>
      </c>
      <c r="H40" s="1" t="n">
        <v>0.21</v>
      </c>
      <c r="I40" s="1" t="n">
        <v>0.0412</v>
      </c>
      <c r="J40" s="1" t="n">
        <v>3.214</v>
      </c>
      <c r="K40" s="1" t="n">
        <v>3.2664</v>
      </c>
      <c r="L40" s="1" t="n">
        <v>0.09470000000000001</v>
      </c>
      <c r="M40" s="1" t="n">
        <v>2.9</v>
      </c>
      <c r="N40" s="1" t="n">
        <v>1</v>
      </c>
      <c r="O40" s="1" t="n">
        <v>3.2664</v>
      </c>
      <c r="P40" s="1" t="n">
        <v>108.88</v>
      </c>
      <c r="Q40" s="1" t="n">
        <v>0.9998</v>
      </c>
      <c r="R40" s="1" t="n">
        <v>-3.3008</v>
      </c>
      <c r="S40" s="1" t="n">
        <v>21.3153</v>
      </c>
      <c r="T40" s="7" t="n">
        <v>3.2664</v>
      </c>
      <c r="U40" s="1" t="inlineStr"/>
      <c r="V40" s="1" t="n">
        <v>0</v>
      </c>
      <c r="W40" s="1" t="n">
        <v>0.207</v>
      </c>
      <c r="X40" s="1" t="inlineStr">
        <is>
          <t>true</t>
        </is>
      </c>
      <c r="Y40" s="1" t="n">
        <v>1</v>
      </c>
      <c r="Z40" s="1" t="inlineStr">
        <is>
          <t>Yes</t>
        </is>
      </c>
      <c r="AA40" s="1" t="n">
        <v>3</v>
      </c>
      <c r="AB40" s="1" t="n">
        <v>15</v>
      </c>
      <c r="AC40" s="1" t="n">
        <v>0</v>
      </c>
      <c r="AD40" s="1" t="n">
        <v>3.2664</v>
      </c>
      <c r="AE40" s="1" t="n">
        <v>3</v>
      </c>
      <c r="AF40" s="1" t="inlineStr">
        <is>
          <t>Linear</t>
        </is>
      </c>
      <c r="AG40" s="1" t="n">
        <v>100.89</v>
      </c>
      <c r="AH40" s="1" t="inlineStr">
        <is>
          <t>Amplification</t>
        </is>
      </c>
      <c r="AI40" s="1" t="inlineStr">
        <is>
          <t>N</t>
        </is>
      </c>
      <c r="AJ40" s="1" t="inlineStr">
        <is>
          <t>N</t>
        </is>
      </c>
      <c r="AK40" s="1" t="inlineStr">
        <is>
          <t>N</t>
        </is>
      </c>
      <c r="AL40" s="1" t="inlineStr"/>
      <c r="AM40" s="1" t="inlineStr">
        <is>
          <t>N</t>
        </is>
      </c>
      <c r="AP40" s="31">
        <f>(100*(K40-K25))/AE40</f>
        <v/>
      </c>
      <c r="AQ40" s="14">
        <f>IF(AND(AP40&gt;=80,AP40&lt;=120),"PASS","FAIL")</f>
        <v/>
      </c>
      <c r="AR40" t="inlineStr"/>
      <c r="AS40" t="inlineStr"/>
    </row>
    <row r="41">
      <c r="A41" s="1" t="inlineStr">
        <is>
          <t>F4</t>
        </is>
      </c>
      <c r="B41" s="1" t="n">
        <v>64</v>
      </c>
      <c r="C41" s="1" t="inlineStr">
        <is>
          <t>UNKNOWN</t>
        </is>
      </c>
      <c r="D41" s="1" t="inlineStr">
        <is>
          <t>S1 D2 S</t>
        </is>
      </c>
      <c r="E41" s="1" t="inlineStr">
        <is>
          <t>CHO</t>
        </is>
      </c>
      <c r="F41" s="1" t="n">
        <v>19.6439</v>
      </c>
      <c r="G41" s="1" t="n">
        <v>19.6749</v>
      </c>
      <c r="H41" s="1" t="n">
        <v>0.2</v>
      </c>
      <c r="I41" s="1" t="n">
        <v>0.0389</v>
      </c>
      <c r="J41" s="1" t="n">
        <v>3.2089</v>
      </c>
      <c r="K41" s="1" t="n">
        <v>3.1411</v>
      </c>
      <c r="L41" s="1" t="n">
        <v>0.08459999999999999</v>
      </c>
      <c r="M41" s="1" t="n">
        <v>2.69</v>
      </c>
      <c r="N41" s="1" t="n">
        <v>1</v>
      </c>
      <c r="O41" s="1" t="n">
        <v>3.1411</v>
      </c>
      <c r="P41" s="1" t="n">
        <v>104.7</v>
      </c>
      <c r="Q41" s="1" t="n">
        <v>0.9998</v>
      </c>
      <c r="R41" s="1" t="n">
        <v>-3.3008</v>
      </c>
      <c r="S41" s="1" t="n">
        <v>21.3153</v>
      </c>
      <c r="T41" s="7" t="n">
        <v>3.1411</v>
      </c>
      <c r="U41" s="1" t="inlineStr"/>
      <c r="V41" s="1" t="n">
        <v>0</v>
      </c>
      <c r="W41" s="1" t="n">
        <v>0.207</v>
      </c>
      <c r="X41" s="1" t="inlineStr">
        <is>
          <t>true</t>
        </is>
      </c>
      <c r="Y41" s="1" t="n">
        <v>1</v>
      </c>
      <c r="Z41" s="1" t="inlineStr">
        <is>
          <t>Yes</t>
        </is>
      </c>
      <c r="AA41" s="1" t="n">
        <v>3</v>
      </c>
      <c r="AB41" s="1" t="n">
        <v>14</v>
      </c>
      <c r="AC41" s="1" t="n">
        <v>0</v>
      </c>
      <c r="AD41" s="1" t="n">
        <v>3.1411</v>
      </c>
      <c r="AE41" s="1" t="n">
        <v>3</v>
      </c>
      <c r="AF41" s="1" t="inlineStr">
        <is>
          <t>Linear</t>
        </is>
      </c>
      <c r="AG41" s="1" t="n">
        <v>100.89</v>
      </c>
      <c r="AH41" s="1" t="inlineStr">
        <is>
          <t>Amplification</t>
        </is>
      </c>
      <c r="AI41" s="1" t="inlineStr">
        <is>
          <t>N</t>
        </is>
      </c>
      <c r="AJ41" s="1" t="inlineStr">
        <is>
          <t>N</t>
        </is>
      </c>
      <c r="AK41" s="1" t="inlineStr">
        <is>
          <t>N</t>
        </is>
      </c>
      <c r="AL41" s="1" t="inlineStr"/>
      <c r="AM41" s="1" t="inlineStr">
        <is>
          <t>N</t>
        </is>
      </c>
      <c r="AP41" s="31">
        <f>(100*(K41-K26))/AE41</f>
        <v/>
      </c>
      <c r="AQ41" s="14">
        <f>IF(AND(AP41&gt;=80,AP41&lt;=120),"PASS","FAIL")</f>
        <v/>
      </c>
      <c r="AR41" t="inlineStr"/>
      <c r="AS41" t="inlineStr"/>
    </row>
    <row r="42">
      <c r="A42" s="2" t="inlineStr">
        <is>
          <t>F5</t>
        </is>
      </c>
      <c r="B42" s="2" t="n">
        <v>65</v>
      </c>
      <c r="C42" s="2" t="inlineStr">
        <is>
          <t>UNKNOWN</t>
        </is>
      </c>
      <c r="D42" s="2" t="inlineStr">
        <is>
          <t>S1 D2 S</t>
        </is>
      </c>
      <c r="E42" s="2" t="inlineStr">
        <is>
          <t>CHO</t>
        </is>
      </c>
      <c r="F42" s="2" t="n">
        <v>19.6622</v>
      </c>
      <c r="G42" s="2" t="n">
        <v>19.6749</v>
      </c>
      <c r="H42" s="2" t="n">
        <v>0.2</v>
      </c>
      <c r="I42" s="2" t="n">
        <v>0.0389</v>
      </c>
      <c r="J42" s="2" t="n">
        <v>3.1682</v>
      </c>
      <c r="K42" s="2" t="n">
        <v>3.1411</v>
      </c>
      <c r="L42" s="2" t="n">
        <v>0.08459999999999999</v>
      </c>
      <c r="M42" s="2" t="n">
        <v>2.69</v>
      </c>
      <c r="N42" s="2" t="n">
        <v>1</v>
      </c>
      <c r="O42" s="2" t="n">
        <v>3.1411</v>
      </c>
      <c r="P42" s="2" t="n">
        <v>104.7</v>
      </c>
      <c r="Q42" s="2" t="n">
        <v>0.9998</v>
      </c>
      <c r="R42" s="2" t="n">
        <v>-3.3008</v>
      </c>
      <c r="S42" s="2" t="n">
        <v>21.3153</v>
      </c>
      <c r="T42" s="7" t="n">
        <v>3.1411</v>
      </c>
      <c r="U42" s="2" t="inlineStr"/>
      <c r="V42" s="2" t="n">
        <v>0</v>
      </c>
      <c r="W42" s="2" t="n">
        <v>0.207</v>
      </c>
      <c r="X42" s="2" t="inlineStr">
        <is>
          <t>true</t>
        </is>
      </c>
      <c r="Y42" s="2" t="n">
        <v>1</v>
      </c>
      <c r="Z42" s="2" t="inlineStr">
        <is>
          <t>Yes</t>
        </is>
      </c>
      <c r="AA42" s="2" t="n">
        <v>3</v>
      </c>
      <c r="AB42" s="2" t="n">
        <v>15</v>
      </c>
      <c r="AC42" s="2" t="n">
        <v>0</v>
      </c>
      <c r="AD42" s="2" t="n">
        <v>3.1411</v>
      </c>
      <c r="AE42" s="2" t="n">
        <v>3</v>
      </c>
      <c r="AF42" s="2" t="inlineStr">
        <is>
          <t>Linear</t>
        </is>
      </c>
      <c r="AG42" s="2" t="n">
        <v>100.89</v>
      </c>
      <c r="AH42" s="2" t="inlineStr">
        <is>
          <t>Amplification</t>
        </is>
      </c>
      <c r="AI42" s="2" t="inlineStr">
        <is>
          <t>N</t>
        </is>
      </c>
      <c r="AJ42" s="2" t="inlineStr">
        <is>
          <t>N</t>
        </is>
      </c>
      <c r="AK42" s="2" t="inlineStr">
        <is>
          <t>N</t>
        </is>
      </c>
      <c r="AL42" s="2" t="inlineStr"/>
      <c r="AM42" s="2" t="inlineStr">
        <is>
          <t>N</t>
        </is>
      </c>
      <c r="AP42" s="31">
        <f>(100*(K42-K27))/AE42</f>
        <v/>
      </c>
      <c r="AQ42" s="14">
        <f>IF(AND(AP42&gt;=80,AP42&lt;=120),"PASS","FAIL")</f>
        <v/>
      </c>
      <c r="AR42" t="inlineStr"/>
      <c r="AS42" t="inlineStr"/>
    </row>
    <row r="43">
      <c r="A43" s="1" t="inlineStr">
        <is>
          <t>F6</t>
        </is>
      </c>
      <c r="B43" s="1" t="n">
        <v>66</v>
      </c>
      <c r="C43" s="1" t="inlineStr">
        <is>
          <t>UNKNOWN</t>
        </is>
      </c>
      <c r="D43" s="1" t="inlineStr">
        <is>
          <t>S1 D2 S</t>
        </is>
      </c>
      <c r="E43" s="1" t="inlineStr">
        <is>
          <t>CHO</t>
        </is>
      </c>
      <c r="F43" s="1" t="n">
        <v>19.7185</v>
      </c>
      <c r="G43" s="1" t="n">
        <v>19.6749</v>
      </c>
      <c r="H43" s="1" t="n">
        <v>0.2</v>
      </c>
      <c r="I43" s="1" t="n">
        <v>0.0389</v>
      </c>
      <c r="J43" s="1" t="n">
        <v>3.0462</v>
      </c>
      <c r="K43" s="1" t="n">
        <v>3.1411</v>
      </c>
      <c r="L43" s="1" t="n">
        <v>0.08459999999999999</v>
      </c>
      <c r="M43" s="1" t="n">
        <v>2.69</v>
      </c>
      <c r="N43" s="1" t="n">
        <v>1</v>
      </c>
      <c r="O43" s="1" t="n">
        <v>3.1411</v>
      </c>
      <c r="P43" s="1" t="n">
        <v>104.7</v>
      </c>
      <c r="Q43" s="1" t="n">
        <v>0.9998</v>
      </c>
      <c r="R43" s="1" t="n">
        <v>-3.3008</v>
      </c>
      <c r="S43" s="1" t="n">
        <v>21.3153</v>
      </c>
      <c r="T43" s="7" t="n">
        <v>3.1411</v>
      </c>
      <c r="U43" s="1" t="inlineStr"/>
      <c r="V43" s="1" t="n">
        <v>0</v>
      </c>
      <c r="W43" s="1" t="n">
        <v>0.207</v>
      </c>
      <c r="X43" s="1" t="inlineStr">
        <is>
          <t>true</t>
        </is>
      </c>
      <c r="Y43" s="1" t="n">
        <v>1</v>
      </c>
      <c r="Z43" s="1" t="inlineStr">
        <is>
          <t>Yes</t>
        </is>
      </c>
      <c r="AA43" s="1" t="n">
        <v>3</v>
      </c>
      <c r="AB43" s="1" t="n">
        <v>14</v>
      </c>
      <c r="AC43" s="1" t="n">
        <v>0</v>
      </c>
      <c r="AD43" s="1" t="n">
        <v>3.1411</v>
      </c>
      <c r="AE43" s="1" t="n">
        <v>3</v>
      </c>
      <c r="AF43" s="1" t="inlineStr">
        <is>
          <t>Linear</t>
        </is>
      </c>
      <c r="AG43" s="1" t="n">
        <v>100.89</v>
      </c>
      <c r="AH43" s="1" t="inlineStr">
        <is>
          <t>Amplification</t>
        </is>
      </c>
      <c r="AI43" s="1" t="inlineStr">
        <is>
          <t>N</t>
        </is>
      </c>
      <c r="AJ43" s="1" t="inlineStr">
        <is>
          <t>N</t>
        </is>
      </c>
      <c r="AK43" s="1" t="inlineStr">
        <is>
          <t>N</t>
        </is>
      </c>
      <c r="AL43" s="1" t="inlineStr"/>
      <c r="AM43" s="1" t="inlineStr">
        <is>
          <t>N</t>
        </is>
      </c>
      <c r="AP43" s="31">
        <f>(100*(K43-K28))/AE43</f>
        <v/>
      </c>
      <c r="AQ43" s="14">
        <f>IF(AND(AP43&gt;=80,AP43&lt;=120),"PASS","FAIL")</f>
        <v/>
      </c>
      <c r="AR43" t="inlineStr"/>
      <c r="AS43" t="inlineStr"/>
    </row>
    <row r="44">
      <c r="A44" s="1" t="inlineStr">
        <is>
          <t>G4</t>
        </is>
      </c>
      <c r="B44" s="1" t="n">
        <v>76</v>
      </c>
      <c r="C44" s="1" t="inlineStr">
        <is>
          <t>UNKNOWN</t>
        </is>
      </c>
      <c r="D44" s="1" t="inlineStr">
        <is>
          <t>S1 D3 S</t>
        </is>
      </c>
      <c r="E44" s="1" t="inlineStr">
        <is>
          <t>CHO</t>
        </is>
      </c>
      <c r="F44" s="1" t="n">
        <v>19.68</v>
      </c>
      <c r="G44" s="1" t="n">
        <v>19.6959</v>
      </c>
      <c r="H44" s="1" t="n">
        <v>0.12</v>
      </c>
      <c r="I44" s="1" t="n">
        <v>0.0241</v>
      </c>
      <c r="J44" s="1" t="n">
        <v>3.1292</v>
      </c>
      <c r="K44" s="1" t="n">
        <v>3.095</v>
      </c>
      <c r="L44" s="1" t="n">
        <v>0.0517</v>
      </c>
      <c r="M44" s="1" t="n">
        <v>1.67</v>
      </c>
      <c r="N44" s="1" t="n">
        <v>1</v>
      </c>
      <c r="O44" s="1" t="n">
        <v>3.095</v>
      </c>
      <c r="P44" s="1" t="n">
        <v>103.17</v>
      </c>
      <c r="Q44" s="1" t="n">
        <v>0.9998</v>
      </c>
      <c r="R44" s="1" t="n">
        <v>-3.3008</v>
      </c>
      <c r="S44" s="1" t="n">
        <v>21.3153</v>
      </c>
      <c r="T44" s="1" t="n">
        <v>3.095</v>
      </c>
      <c r="U44" s="1" t="inlineStr"/>
      <c r="V44" s="1" t="n">
        <v>0</v>
      </c>
      <c r="W44" s="1" t="n">
        <v>0.207</v>
      </c>
      <c r="X44" s="1" t="inlineStr">
        <is>
          <t>true</t>
        </is>
      </c>
      <c r="Y44" s="1" t="n">
        <v>1</v>
      </c>
      <c r="Z44" s="1" t="inlineStr">
        <is>
          <t>Yes</t>
        </is>
      </c>
      <c r="AA44" s="1" t="n">
        <v>3</v>
      </c>
      <c r="AB44" s="1" t="n">
        <v>14</v>
      </c>
      <c r="AC44" s="1" t="n">
        <v>0</v>
      </c>
      <c r="AD44" s="1" t="n">
        <v>3.095</v>
      </c>
      <c r="AE44" s="1" t="n">
        <v>3</v>
      </c>
      <c r="AF44" s="1" t="inlineStr">
        <is>
          <t>Linear</t>
        </is>
      </c>
      <c r="AG44" s="1" t="n">
        <v>100.89</v>
      </c>
      <c r="AH44" s="1" t="inlineStr">
        <is>
          <t>Amplification</t>
        </is>
      </c>
      <c r="AI44" s="1" t="inlineStr">
        <is>
          <t>N</t>
        </is>
      </c>
      <c r="AJ44" s="1" t="inlineStr">
        <is>
          <t>N</t>
        </is>
      </c>
      <c r="AK44" s="1" t="inlineStr">
        <is>
          <t>N</t>
        </is>
      </c>
      <c r="AL44" s="1" t="inlineStr"/>
      <c r="AM44" s="1" t="inlineStr">
        <is>
          <t>N</t>
        </is>
      </c>
      <c r="AP44" s="31">
        <f>(100*(K44-K29))/AE44</f>
        <v/>
      </c>
      <c r="AQ44" s="14">
        <f>IF(AND(AP44&gt;=80,AP44&lt;=120),"PASS","FAIL")</f>
        <v/>
      </c>
      <c r="AR44" t="inlineStr"/>
      <c r="AS44" t="inlineStr"/>
    </row>
    <row r="45">
      <c r="A45" s="2" t="inlineStr">
        <is>
          <t>G5</t>
        </is>
      </c>
      <c r="B45" s="2" t="n">
        <v>77</v>
      </c>
      <c r="C45" s="2" t="inlineStr">
        <is>
          <t>UNKNOWN</t>
        </is>
      </c>
      <c r="D45" s="2" t="inlineStr">
        <is>
          <t>S1 D3 S</t>
        </is>
      </c>
      <c r="E45" s="2" t="inlineStr">
        <is>
          <t>CHO</t>
        </is>
      </c>
      <c r="F45" s="2" t="n">
        <v>19.7236</v>
      </c>
      <c r="G45" s="2" t="n">
        <v>19.6959</v>
      </c>
      <c r="H45" s="2" t="n">
        <v>0.12</v>
      </c>
      <c r="I45" s="2" t="n">
        <v>0.0241</v>
      </c>
      <c r="J45" s="2" t="n">
        <v>3.0355</v>
      </c>
      <c r="K45" s="2" t="n">
        <v>3.095</v>
      </c>
      <c r="L45" s="2" t="n">
        <v>0.0517</v>
      </c>
      <c r="M45" s="2" t="n">
        <v>1.67</v>
      </c>
      <c r="N45" s="2" t="n">
        <v>1</v>
      </c>
      <c r="O45" s="2" t="n">
        <v>3.095</v>
      </c>
      <c r="P45" s="2" t="n">
        <v>103.17</v>
      </c>
      <c r="Q45" s="2" t="n">
        <v>0.9998</v>
      </c>
      <c r="R45" s="2" t="n">
        <v>-3.3008</v>
      </c>
      <c r="S45" s="2" t="n">
        <v>21.3153</v>
      </c>
      <c r="T45" s="2" t="n">
        <v>3.095</v>
      </c>
      <c r="U45" s="2" t="inlineStr"/>
      <c r="V45" s="2" t="n">
        <v>0</v>
      </c>
      <c r="W45" s="2" t="n">
        <v>0.207</v>
      </c>
      <c r="X45" s="2" t="inlineStr">
        <is>
          <t>true</t>
        </is>
      </c>
      <c r="Y45" s="2" t="n">
        <v>1</v>
      </c>
      <c r="Z45" s="2" t="inlineStr">
        <is>
          <t>Yes</t>
        </is>
      </c>
      <c r="AA45" s="2" t="n">
        <v>3</v>
      </c>
      <c r="AB45" s="2" t="n">
        <v>14</v>
      </c>
      <c r="AC45" s="2" t="n">
        <v>0</v>
      </c>
      <c r="AD45" s="2" t="n">
        <v>3.095</v>
      </c>
      <c r="AE45" s="2" t="n">
        <v>3</v>
      </c>
      <c r="AF45" s="2" t="inlineStr">
        <is>
          <t>Linear</t>
        </is>
      </c>
      <c r="AG45" s="2" t="n">
        <v>100.89</v>
      </c>
      <c r="AH45" s="2" t="inlineStr">
        <is>
          <t>Amplification</t>
        </is>
      </c>
      <c r="AI45" s="2" t="inlineStr">
        <is>
          <t>N</t>
        </is>
      </c>
      <c r="AJ45" s="2" t="inlineStr">
        <is>
          <t>N</t>
        </is>
      </c>
      <c r="AK45" s="2" t="inlineStr">
        <is>
          <t>N</t>
        </is>
      </c>
      <c r="AL45" s="2" t="inlineStr"/>
      <c r="AM45" s="2" t="inlineStr">
        <is>
          <t>N</t>
        </is>
      </c>
      <c r="AP45" s="31">
        <f>(100*(K45-K30))/AE45</f>
        <v/>
      </c>
      <c r="AQ45" s="14">
        <f>IF(AND(AP45&gt;=80,AP45&lt;=120),"PASS","FAIL")</f>
        <v/>
      </c>
      <c r="AR45" t="inlineStr"/>
      <c r="AS45" t="inlineStr"/>
    </row>
    <row r="46">
      <c r="A46" s="1" t="inlineStr">
        <is>
          <t>G6</t>
        </is>
      </c>
      <c r="B46" s="1" t="n">
        <v>78</v>
      </c>
      <c r="C46" s="1" t="inlineStr">
        <is>
          <t>UNKNOWN</t>
        </is>
      </c>
      <c r="D46" s="1" t="inlineStr">
        <is>
          <t>S1 D3 S</t>
        </is>
      </c>
      <c r="E46" s="1" t="inlineStr">
        <is>
          <t>CHO</t>
        </is>
      </c>
      <c r="F46" s="1" t="n">
        <v>19.6841</v>
      </c>
      <c r="G46" s="1" t="n">
        <v>19.6959</v>
      </c>
      <c r="H46" s="1" t="n">
        <v>0.12</v>
      </c>
      <c r="I46" s="1" t="n">
        <v>0.0241</v>
      </c>
      <c r="J46" s="1" t="n">
        <v>3.1202</v>
      </c>
      <c r="K46" s="1" t="n">
        <v>3.095</v>
      </c>
      <c r="L46" s="1" t="n">
        <v>0.0517</v>
      </c>
      <c r="M46" s="1" t="n">
        <v>1.67</v>
      </c>
      <c r="N46" s="1" t="n">
        <v>1</v>
      </c>
      <c r="O46" s="1" t="n">
        <v>3.095</v>
      </c>
      <c r="P46" s="1" t="n">
        <v>103.17</v>
      </c>
      <c r="Q46" s="1" t="n">
        <v>0.9998</v>
      </c>
      <c r="R46" s="1" t="n">
        <v>-3.3008</v>
      </c>
      <c r="S46" s="1" t="n">
        <v>21.3153</v>
      </c>
      <c r="T46" s="1" t="n">
        <v>3.095</v>
      </c>
      <c r="U46" s="1" t="inlineStr"/>
      <c r="V46" s="1" t="n">
        <v>0</v>
      </c>
      <c r="W46" s="1" t="n">
        <v>0.207</v>
      </c>
      <c r="X46" s="1" t="inlineStr">
        <is>
          <t>true</t>
        </is>
      </c>
      <c r="Y46" s="1" t="n">
        <v>1</v>
      </c>
      <c r="Z46" s="1" t="inlineStr">
        <is>
          <t>Yes</t>
        </is>
      </c>
      <c r="AA46" s="1" t="n">
        <v>3</v>
      </c>
      <c r="AB46" s="1" t="n">
        <v>15</v>
      </c>
      <c r="AC46" s="1" t="n">
        <v>0</v>
      </c>
      <c r="AD46" s="1" t="n">
        <v>3.095</v>
      </c>
      <c r="AE46" s="1" t="n">
        <v>3</v>
      </c>
      <c r="AF46" s="1" t="inlineStr">
        <is>
          <t>Linear</t>
        </is>
      </c>
      <c r="AG46" s="1" t="n">
        <v>100.89</v>
      </c>
      <c r="AH46" s="1" t="inlineStr">
        <is>
          <t>Amplification</t>
        </is>
      </c>
      <c r="AI46" s="1" t="inlineStr">
        <is>
          <t>N</t>
        </is>
      </c>
      <c r="AJ46" s="1" t="inlineStr">
        <is>
          <t>N</t>
        </is>
      </c>
      <c r="AK46" s="1" t="inlineStr">
        <is>
          <t>N</t>
        </is>
      </c>
      <c r="AL46" s="1" t="inlineStr"/>
      <c r="AM46" s="1" t="inlineStr">
        <is>
          <t>N</t>
        </is>
      </c>
      <c r="AP46" s="31">
        <f>(100*(K46-K31))/AE46</f>
        <v/>
      </c>
      <c r="AQ46" s="14">
        <f>IF(AND(AP46&gt;=80,AP46&lt;=120),"PASS","FAIL")</f>
        <v/>
      </c>
      <c r="AR46" t="inlineStr"/>
      <c r="AS46" t="inlineStr"/>
    </row>
    <row r="47">
      <c r="A47" s="1" t="inlineStr">
        <is>
          <t>H4</t>
        </is>
      </c>
      <c r="B47" s="1" t="n">
        <v>88</v>
      </c>
      <c r="C47" s="1" t="inlineStr">
        <is>
          <t>UNKNOWN</t>
        </is>
      </c>
      <c r="D47" s="1" t="inlineStr">
        <is>
          <t>S1 D4 S</t>
        </is>
      </c>
      <c r="E47" s="1" t="inlineStr">
        <is>
          <t>CHO</t>
        </is>
      </c>
      <c r="F47" s="1" t="n">
        <v>19.6611</v>
      </c>
      <c r="G47" s="1" t="n">
        <v>19.7067</v>
      </c>
      <c r="H47" s="1" t="n">
        <v>0.22</v>
      </c>
      <c r="I47" s="1" t="n">
        <v>0.0424</v>
      </c>
      <c r="J47" s="1" t="n">
        <v>3.1707</v>
      </c>
      <c r="K47" s="1" t="n">
        <v>3.0723</v>
      </c>
      <c r="L47" s="1" t="n">
        <v>0.0912</v>
      </c>
      <c r="M47" s="1" t="n">
        <v>2.97</v>
      </c>
      <c r="N47" s="1" t="n">
        <v>1</v>
      </c>
      <c r="O47" s="1" t="n">
        <v>3.0723</v>
      </c>
      <c r="P47" s="1" t="n">
        <v>102.41</v>
      </c>
      <c r="Q47" s="1" t="n">
        <v>0.9998</v>
      </c>
      <c r="R47" s="1" t="n">
        <v>-3.3008</v>
      </c>
      <c r="S47" s="1" t="n">
        <v>21.3153</v>
      </c>
      <c r="T47" s="1" t="n">
        <v>3.0723</v>
      </c>
      <c r="U47" s="1" t="inlineStr"/>
      <c r="V47" s="1" t="n">
        <v>0</v>
      </c>
      <c r="W47" s="1" t="n">
        <v>0.207</v>
      </c>
      <c r="X47" s="1" t="inlineStr">
        <is>
          <t>true</t>
        </is>
      </c>
      <c r="Y47" s="1" t="n">
        <v>1</v>
      </c>
      <c r="Z47" s="1" t="inlineStr">
        <is>
          <t>Yes</t>
        </is>
      </c>
      <c r="AA47" s="1" t="n">
        <v>3</v>
      </c>
      <c r="AB47" s="1" t="n">
        <v>14</v>
      </c>
      <c r="AC47" s="1" t="n">
        <v>0</v>
      </c>
      <c r="AD47" s="1" t="n">
        <v>3.0723</v>
      </c>
      <c r="AE47" s="1" t="n">
        <v>3</v>
      </c>
      <c r="AF47" s="1" t="inlineStr">
        <is>
          <t>Linear</t>
        </is>
      </c>
      <c r="AG47" s="1" t="n">
        <v>100.89</v>
      </c>
      <c r="AH47" s="1" t="inlineStr">
        <is>
          <t>Amplification</t>
        </is>
      </c>
      <c r="AI47" s="1" t="inlineStr">
        <is>
          <t>N</t>
        </is>
      </c>
      <c r="AJ47" s="1" t="inlineStr">
        <is>
          <t>N</t>
        </is>
      </c>
      <c r="AK47" s="1" t="inlineStr">
        <is>
          <t>N</t>
        </is>
      </c>
      <c r="AL47" s="1" t="inlineStr"/>
      <c r="AM47" s="1" t="inlineStr">
        <is>
          <t>N</t>
        </is>
      </c>
      <c r="AP47" s="31">
        <f>(100*(K47-K32))/AE47</f>
        <v/>
      </c>
      <c r="AQ47" s="14">
        <f>IF(AND(AP47&gt;=80,AP47&lt;=120),"PASS","FAIL")</f>
        <v/>
      </c>
      <c r="AR47" t="inlineStr"/>
      <c r="AS47" t="inlineStr"/>
    </row>
    <row r="48">
      <c r="A48" s="2" t="inlineStr">
        <is>
          <t>H5</t>
        </is>
      </c>
      <c r="B48" s="2" t="n">
        <v>89</v>
      </c>
      <c r="C48" s="2" t="inlineStr">
        <is>
          <t>UNKNOWN</t>
        </is>
      </c>
      <c r="D48" s="2" t="inlineStr">
        <is>
          <t>S1 D4 S</t>
        </is>
      </c>
      <c r="E48" s="2" t="inlineStr">
        <is>
          <t>CHO</t>
        </is>
      </c>
      <c r="F48" s="2" t="n">
        <v>19.7449</v>
      </c>
      <c r="G48" s="2" t="n">
        <v>19.7067</v>
      </c>
      <c r="H48" s="2" t="n">
        <v>0.22</v>
      </c>
      <c r="I48" s="2" t="n">
        <v>0.0424</v>
      </c>
      <c r="J48" s="2" t="n">
        <v>2.9907</v>
      </c>
      <c r="K48" s="2" t="n">
        <v>3.0723</v>
      </c>
      <c r="L48" s="2" t="n">
        <v>0.0912</v>
      </c>
      <c r="M48" s="2" t="n">
        <v>2.97</v>
      </c>
      <c r="N48" s="2" t="n">
        <v>1</v>
      </c>
      <c r="O48" s="2" t="n">
        <v>3.0723</v>
      </c>
      <c r="P48" s="2" t="n">
        <v>102.41</v>
      </c>
      <c r="Q48" s="2" t="n">
        <v>0.9998</v>
      </c>
      <c r="R48" s="2" t="n">
        <v>-3.3008</v>
      </c>
      <c r="S48" s="2" t="n">
        <v>21.3153</v>
      </c>
      <c r="T48" s="2" t="n">
        <v>3.0723</v>
      </c>
      <c r="U48" s="2" t="inlineStr"/>
      <c r="V48" s="2" t="n">
        <v>0</v>
      </c>
      <c r="W48" s="2" t="n">
        <v>0.207</v>
      </c>
      <c r="X48" s="2" t="inlineStr">
        <is>
          <t>true</t>
        </is>
      </c>
      <c r="Y48" s="2" t="n">
        <v>1</v>
      </c>
      <c r="Z48" s="2" t="inlineStr">
        <is>
          <t>Yes</t>
        </is>
      </c>
      <c r="AA48" s="2" t="n">
        <v>3</v>
      </c>
      <c r="AB48" s="2" t="n">
        <v>15</v>
      </c>
      <c r="AC48" s="2" t="n">
        <v>0</v>
      </c>
      <c r="AD48" s="2" t="n">
        <v>3.0723</v>
      </c>
      <c r="AE48" s="2" t="n">
        <v>3</v>
      </c>
      <c r="AF48" s="2" t="inlineStr">
        <is>
          <t>Linear</t>
        </is>
      </c>
      <c r="AG48" s="2" t="n">
        <v>100.89</v>
      </c>
      <c r="AH48" s="2" t="inlineStr">
        <is>
          <t>Amplification</t>
        </is>
      </c>
      <c r="AI48" s="2" t="inlineStr">
        <is>
          <t>N</t>
        </is>
      </c>
      <c r="AJ48" s="2" t="inlineStr">
        <is>
          <t>N</t>
        </is>
      </c>
      <c r="AK48" s="2" t="inlineStr">
        <is>
          <t>N</t>
        </is>
      </c>
      <c r="AL48" s="2" t="inlineStr"/>
      <c r="AM48" s="2" t="inlineStr">
        <is>
          <t>N</t>
        </is>
      </c>
      <c r="AP48" s="31">
        <f>(100*(K48-K33))/AE48</f>
        <v/>
      </c>
      <c r="AQ48" s="14">
        <f>IF(AND(AP48&gt;=80,AP48&lt;=120),"PASS","FAIL")</f>
        <v/>
      </c>
      <c r="AR48" t="inlineStr"/>
      <c r="AS48" t="inlineStr"/>
    </row>
    <row r="49">
      <c r="A49" s="1" t="inlineStr">
        <is>
          <t>H6</t>
        </is>
      </c>
      <c r="B49" s="1" t="n">
        <v>90</v>
      </c>
      <c r="C49" s="1" t="inlineStr">
        <is>
          <t>UNKNOWN</t>
        </is>
      </c>
      <c r="D49" s="1" t="inlineStr">
        <is>
          <t>S1 D4 S</t>
        </is>
      </c>
      <c r="E49" s="1" t="inlineStr">
        <is>
          <t>CHO</t>
        </is>
      </c>
      <c r="F49" s="1" t="n">
        <v>19.7142</v>
      </c>
      <c r="G49" s="1" t="n">
        <v>19.7067</v>
      </c>
      <c r="H49" s="1" t="n">
        <v>0.22</v>
      </c>
      <c r="I49" s="1" t="n">
        <v>0.0424</v>
      </c>
      <c r="J49" s="1" t="n">
        <v>3.0555</v>
      </c>
      <c r="K49" s="1" t="n">
        <v>3.0723</v>
      </c>
      <c r="L49" s="1" t="n">
        <v>0.0912</v>
      </c>
      <c r="M49" s="1" t="n">
        <v>2.97</v>
      </c>
      <c r="N49" s="1" t="n">
        <v>1</v>
      </c>
      <c r="O49" s="1" t="n">
        <v>3.0723</v>
      </c>
      <c r="P49" s="1" t="n">
        <v>102.41</v>
      </c>
      <c r="Q49" s="1" t="n">
        <v>0.9998</v>
      </c>
      <c r="R49" s="1" t="n">
        <v>-3.3008</v>
      </c>
      <c r="S49" s="1" t="n">
        <v>21.3153</v>
      </c>
      <c r="T49" s="1" t="n">
        <v>3.0723</v>
      </c>
      <c r="U49" s="1" t="inlineStr"/>
      <c r="V49" s="1" t="n">
        <v>0</v>
      </c>
      <c r="W49" s="1" t="n">
        <v>0.207</v>
      </c>
      <c r="X49" s="1" t="inlineStr">
        <is>
          <t>true</t>
        </is>
      </c>
      <c r="Y49" s="1" t="n">
        <v>1</v>
      </c>
      <c r="Z49" s="1" t="inlineStr">
        <is>
          <t>Yes</t>
        </is>
      </c>
      <c r="AA49" s="1" t="n">
        <v>3</v>
      </c>
      <c r="AB49" s="1" t="n">
        <v>15</v>
      </c>
      <c r="AC49" s="1" t="n">
        <v>0</v>
      </c>
      <c r="AD49" s="1" t="n">
        <v>3.0723</v>
      </c>
      <c r="AE49" s="1" t="n">
        <v>3</v>
      </c>
      <c r="AF49" s="1" t="inlineStr">
        <is>
          <t>Linear</t>
        </is>
      </c>
      <c r="AG49" s="1" t="n">
        <v>100.89</v>
      </c>
      <c r="AH49" s="1" t="inlineStr">
        <is>
          <t>Amplification</t>
        </is>
      </c>
      <c r="AI49" s="1" t="inlineStr">
        <is>
          <t>N</t>
        </is>
      </c>
      <c r="AJ49" s="1" t="inlineStr">
        <is>
          <t>N</t>
        </is>
      </c>
      <c r="AK49" s="1" t="inlineStr">
        <is>
          <t>N</t>
        </is>
      </c>
      <c r="AL49" s="1" t="inlineStr"/>
      <c r="AM49" s="1" t="inlineStr">
        <is>
          <t>N</t>
        </is>
      </c>
      <c r="AP49" s="31">
        <f>(100*(K49-K34))/AE49</f>
        <v/>
      </c>
      <c r="AQ49" s="14">
        <f>IF(AND(AP49&gt;=80,AP49&lt;=120),"PASS","FAIL")</f>
        <v/>
      </c>
      <c r="AR49" t="inlineStr"/>
      <c r="AS4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2026-07-20T21:57:02Z</dcterms:created>
  <dcterms:modified xsi:type="dcterms:W3CDTF">2026-08-02T16:15:54Z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lcf76f155ced4ddcb4097134ff3c332f" fmtid="{D5CDD505-2E9C-101B-9397-08002B2CF9AE}" pid="2">
    <vt:lpwstr/>
  </property>
  <property name="PublishingExpirationDate" fmtid="{D5CDD505-2E9C-101B-9397-08002B2CF9AE}" pid="3">
    <vt:lpwstr/>
  </property>
  <property name="PublishingStartDate" fmtid="{D5CDD505-2E9C-101B-9397-08002B2CF9AE}" pid="4">
    <vt:lpwstr/>
  </property>
  <property name="TaxCatchAll" fmtid="{D5CDD505-2E9C-101B-9397-08002B2CF9AE}" pid="5">
    <vt:lpwstr/>
  </property>
  <property name="MediaServiceImageTags" fmtid="{D5CDD505-2E9C-101B-9397-08002B2CF9AE}" pid="6">
    <vt:lpwstr/>
  </property>
  <property name="ContentTypeId" fmtid="{D5CDD505-2E9C-101B-9397-08002B2CF9AE}" pid="7">
    <vt:lpwstr>0x0101007B47CF41F3FFF54AA27407E6010842D5</vt:lpwstr>
  </property>
</Properties>
</file>